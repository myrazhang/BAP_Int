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polimi365-my.sharepoint.com/personal/10627690_polimi_it/Documents/01_Research/01_DEO_BD/BAP_Int_MZ_EP/Antonio Costa code/"/>
    </mc:Choice>
  </mc:AlternateContent>
  <xr:revisionPtr revIDLastSave="8" documentId="114_{B94915E4-BE15-4671-AF0F-5840A13B4DB1}" xr6:coauthVersionLast="45" xr6:coauthVersionMax="45" xr10:uidLastSave="{97ED5808-2ABD-4373-A52F-1406C3D39B92}"/>
  <bookViews>
    <workbookView xWindow="-98" yWindow="-98" windowWidth="22695" windowHeight="14595" tabRatio="681" xr2:uid="{00000000-000D-0000-FFFF-FFFF00000000}"/>
  </bookViews>
  <sheets>
    <sheet name="Problem" sheetId="1" r:id="rId1"/>
    <sheet name="Settings" sheetId="8" state="hidden" r:id="rId2"/>
    <sheet name="process time" sheetId="2" r:id="rId3"/>
    <sheet name="PSO_results" sheetId="11" r:id="rId4"/>
    <sheet name="GA_results" sheetId="13" r:id="rId5"/>
    <sheet name="DE_results" sheetId="18" r:id="rId6"/>
    <sheet name="MTS_results" sheetId="12" r:id="rId7"/>
    <sheet name="teta" sheetId="16" r:id="rId8"/>
    <sheet name="times" sheetId="19" r:id="rId9"/>
    <sheet name="ANALYSIS" sheetId="20" r:id="rId10"/>
    <sheet name="BS" sheetId="21" r:id="rId11"/>
    <sheet name="CPLEX" sheetId="22" r:id="rId12"/>
  </sheets>
  <definedNames>
    <definedName name="LSGRGeng_RelaxBounds" localSheetId="0" hidden="1">2</definedName>
    <definedName name="optqeng_autostop" localSheetId="0" hidden="1">0</definedName>
    <definedName name="optqeng_boundfreq" localSheetId="0" hidden="1">0.5</definedName>
    <definedName name="optqeng_checkdup" localSheetId="0" hidden="1">1</definedName>
    <definedName name="optqeng_fixedseed" localSheetId="0" hidden="1">1</definedName>
    <definedName name="optqeng_iters" localSheetId="0" hidden="1">100</definedName>
    <definedName name="optqeng_numsol" localSheetId="0" hidden="1">1</definedName>
    <definedName name="optqeng_objpre" localSheetId="0" hidden="1">0.00001</definedName>
    <definedName name="optqeng_rndseed" localSheetId="0" hidden="1">999</definedName>
    <definedName name="optqeng_varpre" localSheetId="0" hidden="1">0.00001</definedName>
    <definedName name="param_extinc" localSheetId="0" hidden="1">0.5</definedName>
    <definedName name="param_iisbnd" localSheetId="0" hidden="1">0</definedName>
    <definedName name="param_nsfeas" localSheetId="0" hidden="1">0</definedName>
    <definedName name="solver_adj" localSheetId="0" hidden="1">Problem!$B$14:$E$14</definedName>
    <definedName name="solver_adj_ob" localSheetId="0" hidden="1">1</definedName>
    <definedName name="solver_adj_ob1" localSheetId="0" hidden="1">1</definedName>
    <definedName name="solver_cha" localSheetId="0" hidden="1">0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vg" localSheetId="0" hidden="1">0.0001</definedName>
    <definedName name="solver_dia" localSheetId="0" hidden="1">1</definedName>
    <definedName name="solver_disp" hidden="1">0</definedName>
    <definedName name="solver_drv" localSheetId="0" hidden="1">1</definedName>
    <definedName name="solver_eng" localSheetId="0" hidden="1">12</definedName>
    <definedName name="solver_est" localSheetId="0" hidden="1">1</definedName>
    <definedName name="solver_fns" localSheetId="0" hidden="1">0</definedName>
    <definedName name="solver_glb" localSheetId="0" hidden="1">-1E+30</definedName>
    <definedName name="solver_gub" localSheetId="0" hidden="1">1E+30</definedName>
    <definedName name="solver_iao" localSheetId="0" hidden="1">0</definedName>
    <definedName name="solver_inc" localSheetId="0" hidden="1">0</definedName>
    <definedName name="solver_int" localSheetId="0" hidden="1">2</definedName>
    <definedName name="solver_irs" localSheetId="0" hidden="1">0</definedName>
    <definedName name="solver_ism" localSheetId="0" hidden="1">0</definedName>
    <definedName name="solver_itr" localSheetId="0" hidden="1">20</definedName>
    <definedName name="solver_kiv" localSheetId="0" hidden="1">2E+30</definedName>
    <definedName name="solver_legacy" localSheetId="0" hidden="1">0</definedName>
    <definedName name="solver_lhs_ob1" localSheetId="0" hidden="1">0</definedName>
    <definedName name="solver_lhs_ob2" localSheetId="0" hidden="1">0</definedName>
    <definedName name="solver_lhs_ob3" localSheetId="0" hidden="1">0</definedName>
    <definedName name="solver_lhs1" localSheetId="0" hidden="1">Problem!$B$14:$E$14</definedName>
    <definedName name="solver_lhs2" localSheetId="0" hidden="1">Problem!$B$14:$E$14</definedName>
    <definedName name="solver_lhs3" localSheetId="0" hidden="1">Problem!$B$14:$E$14</definedName>
    <definedName name="solver_lin" localSheetId="0" hidden="1">2</definedName>
    <definedName name="solver_loc" localSheetId="0" hidden="1">4</definedName>
    <definedName name="solver_log" localSheetId="0" hidden="1">1</definedName>
    <definedName name="solver_lva" localSheetId="0" hidden="1">0</definedName>
    <definedName name="solver_mda" localSheetId="0" hidden="1">4</definedName>
    <definedName name="solver_mdlsearch" localSheetId="0" hidden="1">1</definedName>
    <definedName name="solver_mip" localSheetId="0" hidden="1">2147483647</definedName>
    <definedName name="solver_mni" localSheetId="0" hidden="1">30</definedName>
    <definedName name="solver_mod" localSheetId="0" hidden="1">3</definedName>
    <definedName name="solver_mrt" localSheetId="0" hidden="1">0.075</definedName>
    <definedName name="solver_msl" localSheetId="0" hidden="1">0</definedName>
    <definedName name="solver_neg" localSheetId="0" hidden="1">0</definedName>
    <definedName name="solver_nod" localSheetId="0" hidden="1">2147483647</definedName>
    <definedName name="solver_nopt" localSheetId="0" hidden="1">1</definedName>
    <definedName name="solver_nsopt" localSheetId="0" hidden="1">-1</definedName>
    <definedName name="solver_ntr" localSheetId="0" hidden="1">2</definedName>
    <definedName name="solver_ntri" hidden="1">1</definedName>
    <definedName name="solver_num" localSheetId="0" hidden="1">3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fun" localSheetId="0" hidden="1">Problem!#REF!</definedName>
    <definedName name="solver_opt" localSheetId="0" hidden="1">Problem!$E$24</definedName>
    <definedName name="solver_opt_ob" localSheetId="0" hidden="1">1</definedName>
    <definedName name="solver_pre" localSheetId="0" hidden="1">0.000001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l1" localSheetId="0" hidden="1">1</definedName>
    <definedName name="solver_rel2" localSheetId="0" hidden="1">3</definedName>
    <definedName name="solver_rel3" localSheetId="0" hidden="1">4</definedName>
    <definedName name="solver_rep" localSheetId="0" hidden="1">0</definedName>
    <definedName name="solver_rhs1" localSheetId="0" hidden="1">Problem!$B$17:$E$17</definedName>
    <definedName name="solver_rhs2" localSheetId="0" hidden="1">Problem!$B$18:$E$18</definedName>
    <definedName name="solver_rlx" localSheetId="0" hidden="1">0</definedName>
    <definedName name="solver_rsd" localSheetId="0" hidden="1">0</definedName>
    <definedName name="solver_rsmp" hidden="1">2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v" localSheetId="0" hidden="1">1</definedName>
    <definedName name="solver_scl" localSheetId="0" hidden="1">0</definedName>
    <definedName name="solver_seed" hidden="1">0</definedName>
    <definedName name="solver_sel" localSheetId="0" hidden="1">1</definedName>
    <definedName name="solver_sho" localSheetId="0" hidden="1">0</definedName>
    <definedName name="solver_slv" localSheetId="0" hidden="1">0</definedName>
    <definedName name="solver_slvu" localSheetId="0" hidden="1">0</definedName>
    <definedName name="solver_spid" localSheetId="0" hidden="1">" "</definedName>
    <definedName name="solver_srvr" localSheetId="0" hidden="1">" "</definedName>
    <definedName name="solver_ssz" localSheetId="0" hidden="1">0</definedName>
    <definedName name="solver_tim" localSheetId="0" hidden="1">2147483647</definedName>
    <definedName name="solver_tms" localSheetId="0" hidden="1">0</definedName>
    <definedName name="solver_tol" localSheetId="0" hidden="1">0</definedName>
    <definedName name="solver_typ" localSheetId="0" hidden="1">2</definedName>
    <definedName name="solver_ubigm" localSheetId="0" hidden="1">1000000</definedName>
    <definedName name="solver_umod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12</definedName>
    <definedName name="solver_vir" localSheetId="0" hidden="1">1</definedName>
    <definedName name="solver_vol" localSheetId="0" hidden="1">0</definedName>
    <definedName name="solver_vst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" i="1" l="1"/>
  <c r="E164" i="18" l="1"/>
  <c r="E164" i="13"/>
  <c r="E164" i="11"/>
  <c r="J164" i="21" l="1"/>
  <c r="I164" i="21"/>
  <c r="C164" i="21"/>
  <c r="S4" i="21" s="1"/>
  <c r="T4" i="21" s="1"/>
  <c r="R4" i="21"/>
  <c r="L44" i="19"/>
  <c r="J50" i="19"/>
  <c r="J52" i="19"/>
  <c r="C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C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C6" i="20"/>
  <c r="P6" i="20"/>
  <c r="Q6" i="20"/>
  <c r="R6" i="20"/>
  <c r="S6" i="20"/>
  <c r="T6" i="20"/>
  <c r="U6" i="20"/>
  <c r="V6" i="20"/>
  <c r="W6" i="20"/>
  <c r="X6" i="20"/>
  <c r="Y6" i="20"/>
  <c r="Z6" i="20"/>
  <c r="AA6" i="20"/>
  <c r="AB6" i="20"/>
  <c r="AC6" i="20"/>
  <c r="AD6" i="20"/>
  <c r="AE6" i="20"/>
  <c r="AF6" i="20"/>
  <c r="AG6" i="20"/>
  <c r="AH6" i="20"/>
  <c r="AI6" i="20"/>
  <c r="AJ6" i="20"/>
  <c r="C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C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C9" i="20"/>
  <c r="P9" i="20"/>
  <c r="Q9" i="20"/>
  <c r="R9" i="20"/>
  <c r="S9" i="20"/>
  <c r="T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AI9" i="20"/>
  <c r="AJ9" i="20"/>
  <c r="C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C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C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C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C14" i="20"/>
  <c r="P14" i="20"/>
  <c r="Q14" i="20"/>
  <c r="R14" i="20"/>
  <c r="S14" i="20"/>
  <c r="T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AH14" i="20"/>
  <c r="AI14" i="20"/>
  <c r="AJ14" i="20"/>
  <c r="C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C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C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I17" i="20"/>
  <c r="AJ17" i="20"/>
  <c r="C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C19" i="20"/>
  <c r="P19" i="20"/>
  <c r="Q19" i="20"/>
  <c r="R19" i="20"/>
  <c r="S19" i="20"/>
  <c r="T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AH19" i="20"/>
  <c r="AI19" i="20"/>
  <c r="AJ19" i="20"/>
  <c r="AK19" i="20"/>
  <c r="M19" i="20" s="1"/>
  <c r="D19" i="20" s="1"/>
  <c r="C20" i="20"/>
  <c r="P20" i="20"/>
  <c r="Q20" i="20"/>
  <c r="R20" i="20"/>
  <c r="S20" i="20"/>
  <c r="T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AH20" i="20"/>
  <c r="AI20" i="20"/>
  <c r="AJ20" i="20"/>
  <c r="C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C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C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C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C25" i="20"/>
  <c r="P25" i="20"/>
  <c r="Q25" i="20"/>
  <c r="R25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AI25" i="20"/>
  <c r="AJ25" i="20"/>
  <c r="C26" i="20"/>
  <c r="P26" i="20"/>
  <c r="Q26" i="20"/>
  <c r="R26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AJ26" i="20"/>
  <c r="C27" i="20"/>
  <c r="P27" i="20"/>
  <c r="Q27" i="20"/>
  <c r="R27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AI27" i="20"/>
  <c r="AJ27" i="20"/>
  <c r="C28" i="20"/>
  <c r="P28" i="20"/>
  <c r="Q28" i="20"/>
  <c r="R28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AH28" i="20"/>
  <c r="AI28" i="20"/>
  <c r="AJ28" i="20"/>
  <c r="C29" i="20"/>
  <c r="P29" i="20"/>
  <c r="Q29" i="20"/>
  <c r="R29" i="20"/>
  <c r="S29" i="20"/>
  <c r="T29" i="20"/>
  <c r="U29" i="20"/>
  <c r="V29" i="20"/>
  <c r="W29" i="20"/>
  <c r="X29" i="20"/>
  <c r="Y29" i="20"/>
  <c r="Z29" i="20"/>
  <c r="AA29" i="20"/>
  <c r="AB29" i="20"/>
  <c r="AC29" i="20"/>
  <c r="AD29" i="20"/>
  <c r="AE29" i="20"/>
  <c r="AF29" i="20"/>
  <c r="AG29" i="20"/>
  <c r="AH29" i="20"/>
  <c r="AI29" i="20"/>
  <c r="AJ29" i="20"/>
  <c r="C30" i="20"/>
  <c r="P30" i="20"/>
  <c r="Q30" i="20"/>
  <c r="R30" i="20"/>
  <c r="S30" i="20"/>
  <c r="T30" i="20"/>
  <c r="U30" i="20"/>
  <c r="V30" i="20"/>
  <c r="W30" i="20"/>
  <c r="X30" i="20"/>
  <c r="Y30" i="20"/>
  <c r="Z30" i="20"/>
  <c r="AA30" i="20"/>
  <c r="AB30" i="20"/>
  <c r="AC30" i="20"/>
  <c r="AD30" i="20"/>
  <c r="AE30" i="20"/>
  <c r="AF30" i="20"/>
  <c r="AG30" i="20"/>
  <c r="AH30" i="20"/>
  <c r="AI30" i="20"/>
  <c r="AJ30" i="20"/>
  <c r="C31" i="20"/>
  <c r="P31" i="20"/>
  <c r="Q31" i="20"/>
  <c r="R31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AH31" i="20"/>
  <c r="AI31" i="20"/>
  <c r="AJ31" i="20"/>
  <c r="C32" i="20"/>
  <c r="P32" i="20"/>
  <c r="Q32" i="20"/>
  <c r="R32" i="20"/>
  <c r="S32" i="20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AH32" i="20"/>
  <c r="AI32" i="20"/>
  <c r="AJ32" i="20"/>
  <c r="C33" i="20"/>
  <c r="P33" i="20"/>
  <c r="Q33" i="20"/>
  <c r="R33" i="20"/>
  <c r="S33" i="20"/>
  <c r="T33" i="20"/>
  <c r="U33" i="20"/>
  <c r="V33" i="20"/>
  <c r="W33" i="20"/>
  <c r="X33" i="20"/>
  <c r="Y33" i="20"/>
  <c r="Z33" i="20"/>
  <c r="AA33" i="20"/>
  <c r="AB33" i="20"/>
  <c r="AC33" i="20"/>
  <c r="AD33" i="20"/>
  <c r="AE33" i="20"/>
  <c r="AF33" i="20"/>
  <c r="AG33" i="20"/>
  <c r="AH33" i="20"/>
  <c r="AI33" i="20"/>
  <c r="AJ33" i="20"/>
  <c r="C34" i="20"/>
  <c r="P34" i="20"/>
  <c r="Q34" i="20"/>
  <c r="R34" i="20"/>
  <c r="S34" i="20"/>
  <c r="T34" i="20"/>
  <c r="U34" i="20"/>
  <c r="V34" i="20"/>
  <c r="W34" i="20"/>
  <c r="X34" i="20"/>
  <c r="Y34" i="20"/>
  <c r="Z34" i="20"/>
  <c r="AA34" i="20"/>
  <c r="AB34" i="20"/>
  <c r="AC34" i="20"/>
  <c r="AD34" i="20"/>
  <c r="AE34" i="20"/>
  <c r="AF34" i="20"/>
  <c r="AG34" i="20"/>
  <c r="AH34" i="20"/>
  <c r="AI34" i="20"/>
  <c r="AJ34" i="20"/>
  <c r="C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AI35" i="20"/>
  <c r="AJ35" i="20"/>
  <c r="C36" i="20"/>
  <c r="P36" i="20"/>
  <c r="Q36" i="20"/>
  <c r="R36" i="20"/>
  <c r="S36" i="20"/>
  <c r="T36" i="20"/>
  <c r="U36" i="20"/>
  <c r="V36" i="20"/>
  <c r="W36" i="20"/>
  <c r="X36" i="20"/>
  <c r="Y36" i="20"/>
  <c r="Z36" i="20"/>
  <c r="AA36" i="20"/>
  <c r="AB36" i="20"/>
  <c r="AC36" i="20"/>
  <c r="AD36" i="20"/>
  <c r="AE36" i="20"/>
  <c r="AF36" i="20"/>
  <c r="AG36" i="20"/>
  <c r="AH36" i="20"/>
  <c r="AI36" i="20"/>
  <c r="AJ36" i="20"/>
  <c r="C37" i="20"/>
  <c r="P37" i="20"/>
  <c r="Q37" i="20"/>
  <c r="R37" i="20"/>
  <c r="S37" i="20"/>
  <c r="T37" i="20"/>
  <c r="U37" i="20"/>
  <c r="V37" i="20"/>
  <c r="W37" i="20"/>
  <c r="X37" i="20"/>
  <c r="Y37" i="20"/>
  <c r="Z37" i="20"/>
  <c r="AA37" i="20"/>
  <c r="AB37" i="20"/>
  <c r="AC37" i="20"/>
  <c r="AD37" i="20"/>
  <c r="AE37" i="20"/>
  <c r="AF37" i="20"/>
  <c r="AG37" i="20"/>
  <c r="AH37" i="20"/>
  <c r="AI37" i="20"/>
  <c r="AJ37" i="20"/>
  <c r="C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AI38" i="20"/>
  <c r="AJ38" i="20"/>
  <c r="C39" i="20"/>
  <c r="P39" i="20"/>
  <c r="Q39" i="20"/>
  <c r="R39" i="20"/>
  <c r="S39" i="20"/>
  <c r="T39" i="20"/>
  <c r="U39" i="20"/>
  <c r="V39" i="20"/>
  <c r="W39" i="20"/>
  <c r="X39" i="20"/>
  <c r="Y39" i="20"/>
  <c r="Z39" i="20"/>
  <c r="AA39" i="20"/>
  <c r="AB39" i="20"/>
  <c r="AC39" i="20"/>
  <c r="AD39" i="20"/>
  <c r="AE39" i="20"/>
  <c r="AF39" i="20"/>
  <c r="AG39" i="20"/>
  <c r="AH39" i="20"/>
  <c r="AI39" i="20"/>
  <c r="AJ39" i="20"/>
  <c r="C40" i="20"/>
  <c r="P40" i="20"/>
  <c r="Q40" i="20"/>
  <c r="R40" i="20"/>
  <c r="S40" i="20"/>
  <c r="T40" i="20"/>
  <c r="U40" i="20"/>
  <c r="V40" i="20"/>
  <c r="W40" i="20"/>
  <c r="X40" i="20"/>
  <c r="Y40" i="20"/>
  <c r="Z40" i="20"/>
  <c r="AA40" i="20"/>
  <c r="AB40" i="20"/>
  <c r="AC40" i="20"/>
  <c r="AD40" i="20"/>
  <c r="AE40" i="20"/>
  <c r="AF40" i="20"/>
  <c r="AG40" i="20"/>
  <c r="AH40" i="20"/>
  <c r="AI40" i="20"/>
  <c r="AJ40" i="20"/>
  <c r="C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AJ41" i="20"/>
  <c r="C42" i="20"/>
  <c r="P42" i="20"/>
  <c r="Q42" i="20"/>
  <c r="R42" i="20"/>
  <c r="S42" i="20"/>
  <c r="T42" i="20"/>
  <c r="U42" i="20"/>
  <c r="V42" i="20"/>
  <c r="W42" i="20"/>
  <c r="X42" i="20"/>
  <c r="Y42" i="20"/>
  <c r="Z42" i="20"/>
  <c r="AA42" i="20"/>
  <c r="AB42" i="20"/>
  <c r="AC42" i="20"/>
  <c r="AD42" i="20"/>
  <c r="AE42" i="20"/>
  <c r="AF42" i="20"/>
  <c r="AG42" i="20"/>
  <c r="AH42" i="20"/>
  <c r="AI42" i="20"/>
  <c r="AJ42" i="20"/>
  <c r="C43" i="20"/>
  <c r="P43" i="20"/>
  <c r="Q43" i="20"/>
  <c r="R43" i="20"/>
  <c r="S43" i="20"/>
  <c r="T43" i="20"/>
  <c r="U43" i="20"/>
  <c r="V43" i="20"/>
  <c r="W43" i="20"/>
  <c r="X43" i="20"/>
  <c r="Y43" i="20"/>
  <c r="Z43" i="20"/>
  <c r="AA43" i="20"/>
  <c r="AB43" i="20"/>
  <c r="AC43" i="20"/>
  <c r="AD43" i="20"/>
  <c r="AE43" i="20"/>
  <c r="AF43" i="20"/>
  <c r="AG43" i="20"/>
  <c r="AH43" i="20"/>
  <c r="AI43" i="20"/>
  <c r="AJ43" i="20"/>
  <c r="C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B44" i="20"/>
  <c r="AC44" i="20"/>
  <c r="AD44" i="20"/>
  <c r="AE44" i="20"/>
  <c r="AF44" i="20"/>
  <c r="AG44" i="20"/>
  <c r="AH44" i="20"/>
  <c r="AI44" i="20"/>
  <c r="AJ44" i="20"/>
  <c r="C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B45" i="20"/>
  <c r="AC45" i="20"/>
  <c r="AD45" i="20"/>
  <c r="AE45" i="20"/>
  <c r="AF45" i="20"/>
  <c r="AG45" i="20"/>
  <c r="AH45" i="20"/>
  <c r="AI45" i="20"/>
  <c r="AJ45" i="20"/>
  <c r="C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B46" i="20"/>
  <c r="AC46" i="20"/>
  <c r="AD46" i="20"/>
  <c r="AE46" i="20"/>
  <c r="AF46" i="20"/>
  <c r="AG46" i="20"/>
  <c r="AH46" i="20"/>
  <c r="AI46" i="20"/>
  <c r="AJ46" i="20"/>
  <c r="C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B47" i="20"/>
  <c r="AC47" i="20"/>
  <c r="AD47" i="20"/>
  <c r="AE47" i="20"/>
  <c r="AF47" i="20"/>
  <c r="AG47" i="20"/>
  <c r="AH47" i="20"/>
  <c r="AI47" i="20"/>
  <c r="AJ47" i="20"/>
  <c r="C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B48" i="20"/>
  <c r="AC48" i="20"/>
  <c r="AD48" i="20"/>
  <c r="AE48" i="20"/>
  <c r="AF48" i="20"/>
  <c r="AG48" i="20"/>
  <c r="AH48" i="20"/>
  <c r="AI48" i="20"/>
  <c r="AJ48" i="20"/>
  <c r="C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B49" i="20"/>
  <c r="AC49" i="20"/>
  <c r="AD49" i="20"/>
  <c r="AE49" i="20"/>
  <c r="AF49" i="20"/>
  <c r="AG49" i="20"/>
  <c r="AH49" i="20"/>
  <c r="AI49" i="20"/>
  <c r="AJ49" i="20"/>
  <c r="C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B50" i="20"/>
  <c r="AC50" i="20"/>
  <c r="AD50" i="20"/>
  <c r="AE50" i="20"/>
  <c r="AF50" i="20"/>
  <c r="AG50" i="20"/>
  <c r="AH50" i="20"/>
  <c r="AI50" i="20"/>
  <c r="AJ50" i="20"/>
  <c r="C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B51" i="20"/>
  <c r="AC51" i="20"/>
  <c r="AD51" i="20"/>
  <c r="AE51" i="20"/>
  <c r="AF51" i="20"/>
  <c r="AG51" i="20"/>
  <c r="AH51" i="20"/>
  <c r="AI51" i="20"/>
  <c r="AJ51" i="20"/>
  <c r="C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I52" i="20"/>
  <c r="AJ52" i="20"/>
  <c r="C53" i="20"/>
  <c r="P53" i="20"/>
  <c r="Q53" i="20"/>
  <c r="R53" i="20"/>
  <c r="S53" i="20"/>
  <c r="T53" i="20"/>
  <c r="U53" i="20"/>
  <c r="V53" i="20"/>
  <c r="W53" i="20"/>
  <c r="X53" i="20"/>
  <c r="Y53" i="20"/>
  <c r="Z53" i="20"/>
  <c r="AA53" i="20"/>
  <c r="AB53" i="20"/>
  <c r="AC53" i="20"/>
  <c r="AD53" i="20"/>
  <c r="AE53" i="20"/>
  <c r="AF53" i="20"/>
  <c r="AG53" i="20"/>
  <c r="AH53" i="20"/>
  <c r="AI53" i="20"/>
  <c r="AJ53" i="20"/>
  <c r="C54" i="20"/>
  <c r="P54" i="20"/>
  <c r="Q54" i="20"/>
  <c r="R54" i="20"/>
  <c r="S54" i="20"/>
  <c r="T54" i="20"/>
  <c r="U54" i="20"/>
  <c r="V54" i="20"/>
  <c r="W54" i="20"/>
  <c r="X54" i="20"/>
  <c r="Y54" i="20"/>
  <c r="Z54" i="20"/>
  <c r="AA54" i="20"/>
  <c r="AB54" i="20"/>
  <c r="AC54" i="20"/>
  <c r="AD54" i="20"/>
  <c r="AE54" i="20"/>
  <c r="AF54" i="20"/>
  <c r="AG54" i="20"/>
  <c r="AH54" i="20"/>
  <c r="AI54" i="20"/>
  <c r="AJ54" i="20"/>
  <c r="C55" i="20"/>
  <c r="P55" i="20"/>
  <c r="Q55" i="20"/>
  <c r="R55" i="20"/>
  <c r="S55" i="20"/>
  <c r="T55" i="20"/>
  <c r="U55" i="20"/>
  <c r="V55" i="20"/>
  <c r="W55" i="20"/>
  <c r="X55" i="20"/>
  <c r="Y55" i="20"/>
  <c r="Z55" i="20"/>
  <c r="AA55" i="20"/>
  <c r="AB55" i="20"/>
  <c r="AC55" i="20"/>
  <c r="AD55" i="20"/>
  <c r="AE55" i="20"/>
  <c r="AF55" i="20"/>
  <c r="AG55" i="20"/>
  <c r="AH55" i="20"/>
  <c r="AI55" i="20"/>
  <c r="AJ55" i="20"/>
  <c r="C56" i="20"/>
  <c r="P56" i="20"/>
  <c r="Q56" i="20"/>
  <c r="R56" i="20"/>
  <c r="S56" i="20"/>
  <c r="T56" i="20"/>
  <c r="U56" i="20"/>
  <c r="V56" i="20"/>
  <c r="W56" i="20"/>
  <c r="X56" i="20"/>
  <c r="Y56" i="20"/>
  <c r="Z56" i="20"/>
  <c r="AA56" i="20"/>
  <c r="AB56" i="20"/>
  <c r="AC56" i="20"/>
  <c r="AD56" i="20"/>
  <c r="AE56" i="20"/>
  <c r="AF56" i="20"/>
  <c r="AG56" i="20"/>
  <c r="AH56" i="20"/>
  <c r="AI56" i="20"/>
  <c r="AJ56" i="20"/>
  <c r="C57" i="20"/>
  <c r="P57" i="20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C58" i="20"/>
  <c r="P58" i="20"/>
  <c r="Q58" i="20"/>
  <c r="R58" i="20"/>
  <c r="S58" i="20"/>
  <c r="T58" i="20"/>
  <c r="U58" i="20"/>
  <c r="V58" i="20"/>
  <c r="W58" i="20"/>
  <c r="X58" i="20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C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C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C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C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C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C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C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C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C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I67" i="20"/>
  <c r="AJ67" i="20"/>
  <c r="C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AI68" i="20"/>
  <c r="AJ68" i="20"/>
  <c r="C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AI69" i="20"/>
  <c r="AJ69" i="20"/>
  <c r="C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C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AI71" i="20"/>
  <c r="AJ71" i="20"/>
  <c r="C72" i="20"/>
  <c r="N72" i="20" s="1"/>
  <c r="P72" i="20"/>
  <c r="Q72" i="20"/>
  <c r="R72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AI72" i="20"/>
  <c r="AJ72" i="20"/>
  <c r="C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AI73" i="20"/>
  <c r="AJ73" i="20"/>
  <c r="C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AB74" i="20"/>
  <c r="AC74" i="20"/>
  <c r="AD74" i="20"/>
  <c r="AE74" i="20"/>
  <c r="AF74" i="20"/>
  <c r="AG74" i="20"/>
  <c r="AH74" i="20"/>
  <c r="AI74" i="20"/>
  <c r="AJ74" i="20"/>
  <c r="C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AI75" i="20"/>
  <c r="AJ75" i="20"/>
  <c r="C76" i="20"/>
  <c r="N76" i="20" s="1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C77" i="20"/>
  <c r="P77" i="20"/>
  <c r="Q77" i="20"/>
  <c r="R77" i="20"/>
  <c r="S77" i="20"/>
  <c r="T77" i="20"/>
  <c r="U77" i="20"/>
  <c r="V77" i="20"/>
  <c r="W77" i="20"/>
  <c r="X77" i="20"/>
  <c r="Y77" i="20"/>
  <c r="Z77" i="20"/>
  <c r="AA77" i="20"/>
  <c r="AB77" i="20"/>
  <c r="AC77" i="20"/>
  <c r="AD77" i="20"/>
  <c r="AE77" i="20"/>
  <c r="AF77" i="20"/>
  <c r="AG77" i="20"/>
  <c r="AH77" i="20"/>
  <c r="AI77" i="20"/>
  <c r="AJ77" i="20"/>
  <c r="C78" i="20"/>
  <c r="P78" i="20"/>
  <c r="Q78" i="20"/>
  <c r="R78" i="20"/>
  <c r="S78" i="20"/>
  <c r="T78" i="20"/>
  <c r="U78" i="20"/>
  <c r="V78" i="20"/>
  <c r="W78" i="20"/>
  <c r="X78" i="20"/>
  <c r="Y78" i="20"/>
  <c r="Z78" i="20"/>
  <c r="AA78" i="20"/>
  <c r="AB78" i="20"/>
  <c r="AC78" i="20"/>
  <c r="AD78" i="20"/>
  <c r="AE78" i="20"/>
  <c r="AF78" i="20"/>
  <c r="AG78" i="20"/>
  <c r="AH78" i="20"/>
  <c r="AI78" i="20"/>
  <c r="AJ78" i="20"/>
  <c r="C79" i="20"/>
  <c r="P79" i="20"/>
  <c r="Q79" i="20"/>
  <c r="R79" i="20"/>
  <c r="S79" i="20"/>
  <c r="T79" i="20"/>
  <c r="U79" i="20"/>
  <c r="V79" i="20"/>
  <c r="W79" i="20"/>
  <c r="X79" i="20"/>
  <c r="Y79" i="20"/>
  <c r="Z79" i="20"/>
  <c r="AA79" i="20"/>
  <c r="AB79" i="20"/>
  <c r="AC79" i="20"/>
  <c r="AD79" i="20"/>
  <c r="AE79" i="20"/>
  <c r="AF79" i="20"/>
  <c r="AG79" i="20"/>
  <c r="AH79" i="20"/>
  <c r="AI79" i="20"/>
  <c r="AJ79" i="20"/>
  <c r="C80" i="20"/>
  <c r="N80" i="20" s="1"/>
  <c r="P80" i="20"/>
  <c r="Q80" i="20"/>
  <c r="R80" i="20"/>
  <c r="S80" i="20"/>
  <c r="T80" i="20"/>
  <c r="U80" i="20"/>
  <c r="V80" i="20"/>
  <c r="W80" i="20"/>
  <c r="X80" i="20"/>
  <c r="Y80" i="20"/>
  <c r="Z80" i="20"/>
  <c r="AA80" i="20"/>
  <c r="AB80" i="20"/>
  <c r="AC80" i="20"/>
  <c r="AD80" i="20"/>
  <c r="AE80" i="20"/>
  <c r="AF80" i="20"/>
  <c r="AG80" i="20"/>
  <c r="AH80" i="20"/>
  <c r="AI80" i="20"/>
  <c r="AJ80" i="20"/>
  <c r="C81" i="20"/>
  <c r="P81" i="20"/>
  <c r="Q81" i="20"/>
  <c r="R81" i="20"/>
  <c r="S81" i="20"/>
  <c r="T81" i="20"/>
  <c r="U81" i="20"/>
  <c r="V81" i="20"/>
  <c r="W81" i="20"/>
  <c r="X81" i="20"/>
  <c r="Y81" i="20"/>
  <c r="Z81" i="20"/>
  <c r="AA81" i="20"/>
  <c r="AB81" i="20"/>
  <c r="AC81" i="20"/>
  <c r="AD81" i="20"/>
  <c r="AE81" i="20"/>
  <c r="AF81" i="20"/>
  <c r="AG81" i="20"/>
  <c r="AH81" i="20"/>
  <c r="AI81" i="20"/>
  <c r="AJ81" i="20"/>
  <c r="AK81" i="20"/>
  <c r="M81" i="20" s="1"/>
  <c r="D81" i="20" s="1"/>
  <c r="C82" i="20"/>
  <c r="P82" i="20"/>
  <c r="Q82" i="20"/>
  <c r="R82" i="20"/>
  <c r="S82" i="20"/>
  <c r="T82" i="20"/>
  <c r="U82" i="20"/>
  <c r="V82" i="20"/>
  <c r="W82" i="20"/>
  <c r="X82" i="20"/>
  <c r="Y82" i="20"/>
  <c r="Z82" i="20"/>
  <c r="AA82" i="20"/>
  <c r="AB82" i="20"/>
  <c r="AC82" i="20"/>
  <c r="AD82" i="20"/>
  <c r="AE82" i="20"/>
  <c r="AF82" i="20"/>
  <c r="AG82" i="20"/>
  <c r="AH82" i="20"/>
  <c r="AI82" i="20"/>
  <c r="AJ82" i="20"/>
  <c r="C83" i="20"/>
  <c r="P83" i="20"/>
  <c r="Q83" i="20"/>
  <c r="R83" i="20"/>
  <c r="S83" i="20"/>
  <c r="T83" i="20"/>
  <c r="U83" i="20"/>
  <c r="V83" i="20"/>
  <c r="W83" i="20"/>
  <c r="X83" i="20"/>
  <c r="Y83" i="20"/>
  <c r="Z83" i="20"/>
  <c r="AA83" i="20"/>
  <c r="AB83" i="20"/>
  <c r="AC83" i="20"/>
  <c r="AD83" i="20"/>
  <c r="AE83" i="20"/>
  <c r="AF83" i="20"/>
  <c r="AG83" i="20"/>
  <c r="AH83" i="20"/>
  <c r="AI83" i="20"/>
  <c r="AJ83" i="20"/>
  <c r="C84" i="20"/>
  <c r="P84" i="20"/>
  <c r="Q84" i="20"/>
  <c r="R84" i="20"/>
  <c r="S84" i="20"/>
  <c r="T84" i="20"/>
  <c r="U84" i="20"/>
  <c r="V84" i="20"/>
  <c r="W84" i="20"/>
  <c r="X84" i="20"/>
  <c r="Y84" i="20"/>
  <c r="Z84" i="20"/>
  <c r="AA84" i="20"/>
  <c r="AB84" i="20"/>
  <c r="AC84" i="20"/>
  <c r="AD84" i="20"/>
  <c r="AE84" i="20"/>
  <c r="AF84" i="20"/>
  <c r="AG84" i="20"/>
  <c r="AH84" i="20"/>
  <c r="AI84" i="20"/>
  <c r="AJ84" i="20"/>
  <c r="C85" i="20"/>
  <c r="P85" i="20"/>
  <c r="Q85" i="20"/>
  <c r="R85" i="20"/>
  <c r="S85" i="20"/>
  <c r="T85" i="20"/>
  <c r="U85" i="20"/>
  <c r="V85" i="20"/>
  <c r="W85" i="20"/>
  <c r="X85" i="20"/>
  <c r="Y85" i="20"/>
  <c r="Z85" i="20"/>
  <c r="AA85" i="20"/>
  <c r="AB85" i="20"/>
  <c r="AC85" i="20"/>
  <c r="AD85" i="20"/>
  <c r="AE85" i="20"/>
  <c r="AF85" i="20"/>
  <c r="AG85" i="20"/>
  <c r="AH85" i="20"/>
  <c r="AI85" i="20"/>
  <c r="AJ85" i="20"/>
  <c r="C86" i="20"/>
  <c r="P86" i="20"/>
  <c r="Q86" i="20"/>
  <c r="R86" i="20"/>
  <c r="S86" i="20"/>
  <c r="T86" i="20"/>
  <c r="U86" i="20"/>
  <c r="V86" i="20"/>
  <c r="W86" i="20"/>
  <c r="X86" i="20"/>
  <c r="Y86" i="20"/>
  <c r="Z86" i="20"/>
  <c r="AA86" i="20"/>
  <c r="AB86" i="20"/>
  <c r="AC86" i="20"/>
  <c r="AD86" i="20"/>
  <c r="AE86" i="20"/>
  <c r="AF86" i="20"/>
  <c r="AG86" i="20"/>
  <c r="AH86" i="20"/>
  <c r="AI86" i="20"/>
  <c r="AJ86" i="20"/>
  <c r="C87" i="20"/>
  <c r="P87" i="20"/>
  <c r="Q87" i="20"/>
  <c r="R87" i="20"/>
  <c r="S87" i="20"/>
  <c r="T87" i="20"/>
  <c r="U87" i="20"/>
  <c r="V87" i="20"/>
  <c r="W87" i="20"/>
  <c r="X87" i="20"/>
  <c r="Y87" i="20"/>
  <c r="Z87" i="20"/>
  <c r="AA87" i="20"/>
  <c r="AB87" i="20"/>
  <c r="AC87" i="20"/>
  <c r="AD87" i="20"/>
  <c r="AE87" i="20"/>
  <c r="AF87" i="20"/>
  <c r="AG87" i="20"/>
  <c r="AH87" i="20"/>
  <c r="AI87" i="20"/>
  <c r="AJ87" i="20"/>
  <c r="C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B88" i="20"/>
  <c r="AC88" i="20"/>
  <c r="AD88" i="20"/>
  <c r="AE88" i="20"/>
  <c r="AF88" i="20"/>
  <c r="AG88" i="20"/>
  <c r="AH88" i="20"/>
  <c r="AI88" i="20"/>
  <c r="AJ88" i="20"/>
  <c r="C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F89" i="20"/>
  <c r="AG89" i="20"/>
  <c r="AH89" i="20"/>
  <c r="AI89" i="20"/>
  <c r="AJ89" i="20"/>
  <c r="C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B90" i="20"/>
  <c r="AC90" i="20"/>
  <c r="AD90" i="20"/>
  <c r="AE90" i="20"/>
  <c r="AF90" i="20"/>
  <c r="AG90" i="20"/>
  <c r="AH90" i="20"/>
  <c r="AI90" i="20"/>
  <c r="AJ90" i="20"/>
  <c r="C91" i="20"/>
  <c r="P91" i="20"/>
  <c r="Q91" i="20"/>
  <c r="R91" i="20"/>
  <c r="S91" i="20"/>
  <c r="T91" i="20"/>
  <c r="U91" i="20"/>
  <c r="V91" i="20"/>
  <c r="W91" i="20"/>
  <c r="X91" i="20"/>
  <c r="Y91" i="20"/>
  <c r="Z91" i="20"/>
  <c r="AA91" i="20"/>
  <c r="AB91" i="20"/>
  <c r="AC91" i="20"/>
  <c r="AD91" i="20"/>
  <c r="AE91" i="20"/>
  <c r="AF91" i="20"/>
  <c r="AG91" i="20"/>
  <c r="AH91" i="20"/>
  <c r="AI91" i="20"/>
  <c r="AJ91" i="20"/>
  <c r="C92" i="20"/>
  <c r="P92" i="20"/>
  <c r="Q92" i="20"/>
  <c r="R92" i="20"/>
  <c r="S92" i="20"/>
  <c r="T92" i="20"/>
  <c r="U92" i="20"/>
  <c r="V92" i="20"/>
  <c r="W92" i="20"/>
  <c r="X92" i="20"/>
  <c r="Y92" i="20"/>
  <c r="Z92" i="20"/>
  <c r="AA92" i="20"/>
  <c r="AB92" i="20"/>
  <c r="AC92" i="20"/>
  <c r="AD92" i="20"/>
  <c r="AE92" i="20"/>
  <c r="AF92" i="20"/>
  <c r="AG92" i="20"/>
  <c r="AH92" i="20"/>
  <c r="AI92" i="20"/>
  <c r="AJ92" i="20"/>
  <c r="C93" i="20"/>
  <c r="P93" i="20"/>
  <c r="Q93" i="20"/>
  <c r="R93" i="20"/>
  <c r="S93" i="20"/>
  <c r="T93" i="20"/>
  <c r="U93" i="20"/>
  <c r="V93" i="20"/>
  <c r="W93" i="20"/>
  <c r="X93" i="20"/>
  <c r="Y93" i="20"/>
  <c r="Z93" i="20"/>
  <c r="AA93" i="20"/>
  <c r="AB93" i="20"/>
  <c r="AC93" i="20"/>
  <c r="AD93" i="20"/>
  <c r="AE93" i="20"/>
  <c r="AF93" i="20"/>
  <c r="AG93" i="20"/>
  <c r="AH93" i="20"/>
  <c r="AI93" i="20"/>
  <c r="AJ93" i="20"/>
  <c r="C94" i="20"/>
  <c r="P94" i="20"/>
  <c r="Q94" i="20"/>
  <c r="R94" i="20"/>
  <c r="S94" i="20"/>
  <c r="T94" i="20"/>
  <c r="U94" i="20"/>
  <c r="V94" i="20"/>
  <c r="W94" i="20"/>
  <c r="X94" i="20"/>
  <c r="Y94" i="20"/>
  <c r="Z94" i="20"/>
  <c r="AA94" i="20"/>
  <c r="AB94" i="20"/>
  <c r="AC94" i="20"/>
  <c r="AD94" i="20"/>
  <c r="AE94" i="20"/>
  <c r="AF94" i="20"/>
  <c r="AG94" i="20"/>
  <c r="AH94" i="20"/>
  <c r="AI94" i="20"/>
  <c r="AJ94" i="20"/>
  <c r="C95" i="20"/>
  <c r="P95" i="20"/>
  <c r="Q95" i="20"/>
  <c r="R95" i="20"/>
  <c r="S95" i="20"/>
  <c r="T95" i="20"/>
  <c r="U95" i="20"/>
  <c r="V95" i="20"/>
  <c r="W95" i="20"/>
  <c r="X95" i="20"/>
  <c r="Y95" i="20"/>
  <c r="Z95" i="20"/>
  <c r="AA95" i="20"/>
  <c r="AB95" i="20"/>
  <c r="AC95" i="20"/>
  <c r="AD95" i="20"/>
  <c r="AE95" i="20"/>
  <c r="AF95" i="20"/>
  <c r="AG95" i="20"/>
  <c r="AH95" i="20"/>
  <c r="AI95" i="20"/>
  <c r="AJ95" i="20"/>
  <c r="C96" i="20"/>
  <c r="P96" i="20"/>
  <c r="Q96" i="20"/>
  <c r="R96" i="20"/>
  <c r="S96" i="20"/>
  <c r="T96" i="20"/>
  <c r="U96" i="20"/>
  <c r="V96" i="20"/>
  <c r="W96" i="20"/>
  <c r="X96" i="20"/>
  <c r="Y96" i="20"/>
  <c r="Z96" i="20"/>
  <c r="AA96" i="20"/>
  <c r="AB96" i="20"/>
  <c r="AC96" i="20"/>
  <c r="AD96" i="20"/>
  <c r="AE96" i="20"/>
  <c r="AF96" i="20"/>
  <c r="AG96" i="20"/>
  <c r="AH96" i="20"/>
  <c r="AI96" i="20"/>
  <c r="AJ96" i="20"/>
  <c r="C97" i="20"/>
  <c r="P97" i="20"/>
  <c r="Q97" i="20"/>
  <c r="R97" i="20"/>
  <c r="S97" i="20"/>
  <c r="T97" i="20"/>
  <c r="U97" i="20"/>
  <c r="V97" i="20"/>
  <c r="W97" i="20"/>
  <c r="X97" i="20"/>
  <c r="Y97" i="20"/>
  <c r="Z97" i="20"/>
  <c r="AA97" i="20"/>
  <c r="AB97" i="20"/>
  <c r="AC97" i="20"/>
  <c r="AD97" i="20"/>
  <c r="AE97" i="20"/>
  <c r="AF97" i="20"/>
  <c r="AG97" i="20"/>
  <c r="AH97" i="20"/>
  <c r="AI97" i="20"/>
  <c r="AJ97" i="20"/>
  <c r="C98" i="20"/>
  <c r="P98" i="20"/>
  <c r="Q98" i="20"/>
  <c r="R98" i="20"/>
  <c r="S98" i="20"/>
  <c r="T98" i="20"/>
  <c r="U98" i="20"/>
  <c r="V98" i="20"/>
  <c r="W98" i="20"/>
  <c r="X98" i="20"/>
  <c r="Y98" i="20"/>
  <c r="Z98" i="20"/>
  <c r="AA98" i="20"/>
  <c r="AB98" i="20"/>
  <c r="AC98" i="20"/>
  <c r="AD98" i="20"/>
  <c r="AE98" i="20"/>
  <c r="AF98" i="20"/>
  <c r="AG98" i="20"/>
  <c r="AH98" i="20"/>
  <c r="AI98" i="20"/>
  <c r="AJ98" i="20"/>
  <c r="C99" i="20"/>
  <c r="P99" i="20"/>
  <c r="Q99" i="20"/>
  <c r="R99" i="20"/>
  <c r="S99" i="20"/>
  <c r="T99" i="20"/>
  <c r="U99" i="20"/>
  <c r="V99" i="20"/>
  <c r="W99" i="20"/>
  <c r="X99" i="20"/>
  <c r="Y99" i="20"/>
  <c r="Z99" i="20"/>
  <c r="AA99" i="20"/>
  <c r="AB99" i="20"/>
  <c r="AC99" i="20"/>
  <c r="AD99" i="20"/>
  <c r="AE99" i="20"/>
  <c r="AF99" i="20"/>
  <c r="AG99" i="20"/>
  <c r="AH99" i="20"/>
  <c r="AI99" i="20"/>
  <c r="AJ99" i="20"/>
  <c r="C100" i="20"/>
  <c r="P100" i="20"/>
  <c r="Q100" i="20"/>
  <c r="R100" i="20"/>
  <c r="S100" i="20"/>
  <c r="T100" i="20"/>
  <c r="U100" i="20"/>
  <c r="V100" i="20"/>
  <c r="W100" i="20"/>
  <c r="X100" i="20"/>
  <c r="Y100" i="20"/>
  <c r="Z100" i="20"/>
  <c r="AA100" i="20"/>
  <c r="AB100" i="20"/>
  <c r="AC100" i="20"/>
  <c r="AD100" i="20"/>
  <c r="AE100" i="20"/>
  <c r="AF100" i="20"/>
  <c r="AG100" i="20"/>
  <c r="AH100" i="20"/>
  <c r="AI100" i="20"/>
  <c r="AJ100" i="20"/>
  <c r="C101" i="20"/>
  <c r="P101" i="20"/>
  <c r="Q101" i="20"/>
  <c r="R101" i="20"/>
  <c r="S101" i="20"/>
  <c r="T101" i="20"/>
  <c r="U101" i="20"/>
  <c r="V101" i="20"/>
  <c r="W101" i="20"/>
  <c r="X101" i="20"/>
  <c r="Y101" i="20"/>
  <c r="Z101" i="20"/>
  <c r="AA101" i="20"/>
  <c r="AB101" i="20"/>
  <c r="AC101" i="20"/>
  <c r="AD101" i="20"/>
  <c r="AE101" i="20"/>
  <c r="AF101" i="20"/>
  <c r="AG101" i="20"/>
  <c r="AH101" i="20"/>
  <c r="AI101" i="20"/>
  <c r="AJ101" i="20"/>
  <c r="C102" i="20"/>
  <c r="P102" i="20"/>
  <c r="Q102" i="20"/>
  <c r="R102" i="20"/>
  <c r="S102" i="20"/>
  <c r="T102" i="20"/>
  <c r="U102" i="20"/>
  <c r="V102" i="20"/>
  <c r="W102" i="20"/>
  <c r="X102" i="20"/>
  <c r="Y102" i="20"/>
  <c r="Z102" i="20"/>
  <c r="AA102" i="20"/>
  <c r="AB102" i="20"/>
  <c r="AC102" i="20"/>
  <c r="AD102" i="20"/>
  <c r="AE102" i="20"/>
  <c r="AF102" i="20"/>
  <c r="AG102" i="20"/>
  <c r="AH102" i="20"/>
  <c r="AI102" i="20"/>
  <c r="AJ102" i="20"/>
  <c r="C103" i="20"/>
  <c r="P103" i="20"/>
  <c r="Q103" i="20"/>
  <c r="R103" i="20"/>
  <c r="S103" i="20"/>
  <c r="T103" i="20"/>
  <c r="U103" i="20"/>
  <c r="V103" i="20"/>
  <c r="W103" i="20"/>
  <c r="X103" i="20"/>
  <c r="Y103" i="20"/>
  <c r="Z103" i="20"/>
  <c r="AA103" i="20"/>
  <c r="AB103" i="20"/>
  <c r="AC103" i="20"/>
  <c r="AD103" i="20"/>
  <c r="AE103" i="20"/>
  <c r="AF103" i="20"/>
  <c r="AG103" i="20"/>
  <c r="AH103" i="20"/>
  <c r="AI103" i="20"/>
  <c r="AJ103" i="20"/>
  <c r="C104" i="20"/>
  <c r="P104" i="20"/>
  <c r="Q104" i="20"/>
  <c r="R104" i="20"/>
  <c r="S104" i="20"/>
  <c r="T104" i="20"/>
  <c r="U104" i="20"/>
  <c r="V104" i="20"/>
  <c r="W104" i="20"/>
  <c r="X104" i="20"/>
  <c r="Y104" i="20"/>
  <c r="Z104" i="20"/>
  <c r="AA104" i="20"/>
  <c r="AB104" i="20"/>
  <c r="AC104" i="20"/>
  <c r="AD104" i="20"/>
  <c r="AE104" i="20"/>
  <c r="AF104" i="20"/>
  <c r="AG104" i="20"/>
  <c r="AH104" i="20"/>
  <c r="AI104" i="20"/>
  <c r="AJ104" i="20"/>
  <c r="C105" i="20"/>
  <c r="P105" i="20"/>
  <c r="Q105" i="20"/>
  <c r="R105" i="20"/>
  <c r="S105" i="20"/>
  <c r="T105" i="20"/>
  <c r="U105" i="20"/>
  <c r="V105" i="20"/>
  <c r="W105" i="20"/>
  <c r="X105" i="20"/>
  <c r="Y105" i="20"/>
  <c r="Z105" i="20"/>
  <c r="AA105" i="20"/>
  <c r="AB105" i="20"/>
  <c r="AC105" i="20"/>
  <c r="AD105" i="20"/>
  <c r="AE105" i="20"/>
  <c r="AF105" i="20"/>
  <c r="AG105" i="20"/>
  <c r="AH105" i="20"/>
  <c r="AI105" i="20"/>
  <c r="AJ105" i="20"/>
  <c r="C106" i="20"/>
  <c r="P106" i="20"/>
  <c r="Q106" i="20"/>
  <c r="R106" i="20"/>
  <c r="S106" i="20"/>
  <c r="T106" i="20"/>
  <c r="U106" i="20"/>
  <c r="V106" i="20"/>
  <c r="W106" i="20"/>
  <c r="X106" i="20"/>
  <c r="Y106" i="20"/>
  <c r="Z106" i="20"/>
  <c r="AA106" i="20"/>
  <c r="AB106" i="20"/>
  <c r="AC106" i="20"/>
  <c r="AD106" i="20"/>
  <c r="AE106" i="20"/>
  <c r="AF106" i="20"/>
  <c r="AG106" i="20"/>
  <c r="AH106" i="20"/>
  <c r="AI106" i="20"/>
  <c r="AJ106" i="20"/>
  <c r="C107" i="20"/>
  <c r="P107" i="20"/>
  <c r="Q107" i="20"/>
  <c r="R107" i="20"/>
  <c r="S107" i="20"/>
  <c r="T107" i="20"/>
  <c r="U107" i="20"/>
  <c r="V107" i="20"/>
  <c r="W107" i="20"/>
  <c r="X107" i="20"/>
  <c r="Y107" i="20"/>
  <c r="Z107" i="20"/>
  <c r="AA107" i="20"/>
  <c r="AB107" i="20"/>
  <c r="AC107" i="20"/>
  <c r="AD107" i="20"/>
  <c r="AE107" i="20"/>
  <c r="AF107" i="20"/>
  <c r="AG107" i="20"/>
  <c r="AH107" i="20"/>
  <c r="AI107" i="20"/>
  <c r="AJ107" i="20"/>
  <c r="C108" i="20"/>
  <c r="P108" i="20"/>
  <c r="Q108" i="20"/>
  <c r="R108" i="20"/>
  <c r="S108" i="20"/>
  <c r="T108" i="20"/>
  <c r="U108" i="20"/>
  <c r="V108" i="20"/>
  <c r="W108" i="20"/>
  <c r="X108" i="20"/>
  <c r="Y108" i="20"/>
  <c r="Z108" i="20"/>
  <c r="AA108" i="20"/>
  <c r="AB108" i="20"/>
  <c r="AC108" i="20"/>
  <c r="AD108" i="20"/>
  <c r="AE108" i="20"/>
  <c r="AF108" i="20"/>
  <c r="AG108" i="20"/>
  <c r="AH108" i="20"/>
  <c r="AI108" i="20"/>
  <c r="AJ108" i="20"/>
  <c r="C109" i="20"/>
  <c r="P109" i="20"/>
  <c r="Q109" i="20"/>
  <c r="R109" i="20"/>
  <c r="S109" i="20"/>
  <c r="T109" i="20"/>
  <c r="U109" i="20"/>
  <c r="V109" i="20"/>
  <c r="W109" i="20"/>
  <c r="X109" i="20"/>
  <c r="Y109" i="20"/>
  <c r="Z109" i="20"/>
  <c r="AA109" i="20"/>
  <c r="AB109" i="20"/>
  <c r="AC109" i="20"/>
  <c r="AD109" i="20"/>
  <c r="AE109" i="20"/>
  <c r="AF109" i="20"/>
  <c r="AG109" i="20"/>
  <c r="AH109" i="20"/>
  <c r="AI109" i="20"/>
  <c r="AJ109" i="20"/>
  <c r="C110" i="20"/>
  <c r="P110" i="20"/>
  <c r="Q110" i="20"/>
  <c r="R110" i="20"/>
  <c r="S110" i="20"/>
  <c r="T110" i="20"/>
  <c r="U110" i="20"/>
  <c r="V110" i="20"/>
  <c r="W110" i="20"/>
  <c r="X110" i="20"/>
  <c r="Y110" i="20"/>
  <c r="Z110" i="20"/>
  <c r="AA110" i="20"/>
  <c r="AB110" i="20"/>
  <c r="AC110" i="20"/>
  <c r="AD110" i="20"/>
  <c r="AE110" i="20"/>
  <c r="AF110" i="20"/>
  <c r="AG110" i="20"/>
  <c r="AH110" i="20"/>
  <c r="AI110" i="20"/>
  <c r="AJ110" i="20"/>
  <c r="C111" i="20"/>
  <c r="P111" i="20"/>
  <c r="Q111" i="20"/>
  <c r="R111" i="20"/>
  <c r="S111" i="20"/>
  <c r="T111" i="20"/>
  <c r="U111" i="20"/>
  <c r="V111" i="20"/>
  <c r="W111" i="20"/>
  <c r="X111" i="20"/>
  <c r="Y111" i="20"/>
  <c r="Z111" i="20"/>
  <c r="AA111" i="20"/>
  <c r="AB111" i="20"/>
  <c r="AC111" i="20"/>
  <c r="AD111" i="20"/>
  <c r="AE111" i="20"/>
  <c r="AF111" i="20"/>
  <c r="AG111" i="20"/>
  <c r="AH111" i="20"/>
  <c r="AI111" i="20"/>
  <c r="AJ111" i="20"/>
  <c r="C112" i="20"/>
  <c r="P112" i="20"/>
  <c r="Q112" i="20"/>
  <c r="R112" i="20"/>
  <c r="S112" i="20"/>
  <c r="T112" i="20"/>
  <c r="U112" i="20"/>
  <c r="V112" i="20"/>
  <c r="W112" i="20"/>
  <c r="X112" i="20"/>
  <c r="Y112" i="20"/>
  <c r="Z112" i="20"/>
  <c r="AA112" i="20"/>
  <c r="AB112" i="20"/>
  <c r="AC112" i="20"/>
  <c r="AD112" i="20"/>
  <c r="AE112" i="20"/>
  <c r="AF112" i="20"/>
  <c r="AG112" i="20"/>
  <c r="AH112" i="20"/>
  <c r="AI112" i="20"/>
  <c r="AJ112" i="20"/>
  <c r="C113" i="20"/>
  <c r="P113" i="20"/>
  <c r="Q113" i="20"/>
  <c r="R113" i="20"/>
  <c r="S113" i="20"/>
  <c r="T113" i="20"/>
  <c r="U113" i="20"/>
  <c r="V113" i="20"/>
  <c r="W113" i="20"/>
  <c r="X113" i="20"/>
  <c r="Y113" i="20"/>
  <c r="Z113" i="20"/>
  <c r="AA113" i="20"/>
  <c r="AB113" i="20"/>
  <c r="AC113" i="20"/>
  <c r="AD113" i="20"/>
  <c r="AE113" i="20"/>
  <c r="AF113" i="20"/>
  <c r="AG113" i="20"/>
  <c r="AH113" i="20"/>
  <c r="AI113" i="20"/>
  <c r="AJ113" i="20"/>
  <c r="C114" i="20"/>
  <c r="P114" i="20"/>
  <c r="Q114" i="20"/>
  <c r="R114" i="20"/>
  <c r="S114" i="20"/>
  <c r="T114" i="20"/>
  <c r="U114" i="20"/>
  <c r="V114" i="20"/>
  <c r="W114" i="20"/>
  <c r="X114" i="20"/>
  <c r="Y114" i="20"/>
  <c r="Z114" i="20"/>
  <c r="AA114" i="20"/>
  <c r="AB114" i="20"/>
  <c r="AC114" i="20"/>
  <c r="AD114" i="20"/>
  <c r="AE114" i="20"/>
  <c r="AF114" i="20"/>
  <c r="AG114" i="20"/>
  <c r="AH114" i="20"/>
  <c r="AI114" i="20"/>
  <c r="AJ114" i="20"/>
  <c r="C115" i="20"/>
  <c r="P115" i="20"/>
  <c r="Q115" i="20"/>
  <c r="R115" i="20"/>
  <c r="S115" i="20"/>
  <c r="T115" i="20"/>
  <c r="U115" i="20"/>
  <c r="V115" i="20"/>
  <c r="W115" i="20"/>
  <c r="X115" i="20"/>
  <c r="Y115" i="20"/>
  <c r="Z115" i="20"/>
  <c r="AA115" i="20"/>
  <c r="AB115" i="20"/>
  <c r="AC115" i="20"/>
  <c r="AD115" i="20"/>
  <c r="AE115" i="20"/>
  <c r="AF115" i="20"/>
  <c r="AG115" i="20"/>
  <c r="AH115" i="20"/>
  <c r="AI115" i="20"/>
  <c r="AJ115" i="20"/>
  <c r="C116" i="20"/>
  <c r="P116" i="20"/>
  <c r="Q116" i="20"/>
  <c r="R116" i="20"/>
  <c r="S116" i="20"/>
  <c r="T116" i="20"/>
  <c r="U116" i="20"/>
  <c r="V116" i="20"/>
  <c r="W116" i="20"/>
  <c r="X116" i="20"/>
  <c r="Y116" i="20"/>
  <c r="Z116" i="20"/>
  <c r="AA116" i="20"/>
  <c r="AB116" i="20"/>
  <c r="AC116" i="20"/>
  <c r="AD116" i="20"/>
  <c r="AE116" i="20"/>
  <c r="AF116" i="20"/>
  <c r="AG116" i="20"/>
  <c r="AH116" i="20"/>
  <c r="AI116" i="20"/>
  <c r="AJ116" i="20"/>
  <c r="C117" i="20"/>
  <c r="P117" i="20"/>
  <c r="Q117" i="20"/>
  <c r="R117" i="20"/>
  <c r="S117" i="20"/>
  <c r="T117" i="20"/>
  <c r="U117" i="20"/>
  <c r="V117" i="20"/>
  <c r="W117" i="20"/>
  <c r="X117" i="20"/>
  <c r="Y117" i="20"/>
  <c r="Z117" i="20"/>
  <c r="AA117" i="20"/>
  <c r="AB117" i="20"/>
  <c r="AC117" i="20"/>
  <c r="AD117" i="20"/>
  <c r="AE117" i="20"/>
  <c r="AF117" i="20"/>
  <c r="AG117" i="20"/>
  <c r="AH117" i="20"/>
  <c r="AI117" i="20"/>
  <c r="AJ117" i="20"/>
  <c r="C118" i="20"/>
  <c r="P118" i="20"/>
  <c r="Q118" i="20"/>
  <c r="R118" i="20"/>
  <c r="S118" i="20"/>
  <c r="T118" i="20"/>
  <c r="U118" i="20"/>
  <c r="V118" i="20"/>
  <c r="W118" i="20"/>
  <c r="X118" i="20"/>
  <c r="Y118" i="20"/>
  <c r="Z118" i="20"/>
  <c r="AA118" i="20"/>
  <c r="AB118" i="20"/>
  <c r="AC118" i="20"/>
  <c r="AD118" i="20"/>
  <c r="AE118" i="20"/>
  <c r="AF118" i="20"/>
  <c r="AG118" i="20"/>
  <c r="AH118" i="20"/>
  <c r="AI118" i="20"/>
  <c r="AJ118" i="20"/>
  <c r="C119" i="20"/>
  <c r="P119" i="20"/>
  <c r="Q119" i="20"/>
  <c r="R119" i="20"/>
  <c r="S119" i="20"/>
  <c r="T119" i="20"/>
  <c r="U119" i="20"/>
  <c r="V119" i="20"/>
  <c r="W119" i="20"/>
  <c r="X119" i="20"/>
  <c r="Y119" i="20"/>
  <c r="Z119" i="20"/>
  <c r="AA119" i="20"/>
  <c r="AB119" i="20"/>
  <c r="AC119" i="20"/>
  <c r="AD119" i="20"/>
  <c r="AE119" i="20"/>
  <c r="AF119" i="20"/>
  <c r="AG119" i="20"/>
  <c r="AH119" i="20"/>
  <c r="AI119" i="20"/>
  <c r="AJ119" i="20"/>
  <c r="C120" i="20"/>
  <c r="P120" i="20"/>
  <c r="Q120" i="20"/>
  <c r="R120" i="20"/>
  <c r="S120" i="20"/>
  <c r="T120" i="20"/>
  <c r="U120" i="20"/>
  <c r="V120" i="20"/>
  <c r="W120" i="20"/>
  <c r="X120" i="20"/>
  <c r="Y120" i="20"/>
  <c r="Z120" i="20"/>
  <c r="AA120" i="20"/>
  <c r="AB120" i="20"/>
  <c r="AC120" i="20"/>
  <c r="AD120" i="20"/>
  <c r="AE120" i="20"/>
  <c r="AF120" i="20"/>
  <c r="AG120" i="20"/>
  <c r="AH120" i="20"/>
  <c r="AI120" i="20"/>
  <c r="AJ120" i="20"/>
  <c r="C121" i="20"/>
  <c r="P121" i="20"/>
  <c r="Q121" i="20"/>
  <c r="R121" i="20"/>
  <c r="S121" i="20"/>
  <c r="T121" i="20"/>
  <c r="U121" i="20"/>
  <c r="V121" i="20"/>
  <c r="W121" i="20"/>
  <c r="X121" i="20"/>
  <c r="Y121" i="20"/>
  <c r="Z121" i="20"/>
  <c r="AA121" i="20"/>
  <c r="AB121" i="20"/>
  <c r="AC121" i="20"/>
  <c r="AD121" i="20"/>
  <c r="AE121" i="20"/>
  <c r="AF121" i="20"/>
  <c r="AG121" i="20"/>
  <c r="AH121" i="20"/>
  <c r="AI121" i="20"/>
  <c r="AJ121" i="20"/>
  <c r="C122" i="20"/>
  <c r="P122" i="20"/>
  <c r="Q122" i="20"/>
  <c r="R122" i="20"/>
  <c r="S122" i="20"/>
  <c r="T122" i="20"/>
  <c r="U122" i="20"/>
  <c r="V122" i="20"/>
  <c r="W122" i="20"/>
  <c r="X122" i="20"/>
  <c r="Y122" i="20"/>
  <c r="Z122" i="20"/>
  <c r="AA122" i="20"/>
  <c r="AB122" i="20"/>
  <c r="AC122" i="20"/>
  <c r="AD122" i="20"/>
  <c r="AE122" i="20"/>
  <c r="AF122" i="20"/>
  <c r="AG122" i="20"/>
  <c r="AH122" i="20"/>
  <c r="AI122" i="20"/>
  <c r="AJ122" i="20"/>
  <c r="C123" i="20"/>
  <c r="P123" i="20"/>
  <c r="Q123" i="20"/>
  <c r="R123" i="20"/>
  <c r="S123" i="20"/>
  <c r="T123" i="20"/>
  <c r="U123" i="20"/>
  <c r="V123" i="20"/>
  <c r="W123" i="20"/>
  <c r="X123" i="20"/>
  <c r="Y123" i="20"/>
  <c r="Z123" i="20"/>
  <c r="AA123" i="20"/>
  <c r="AB123" i="20"/>
  <c r="AC123" i="20"/>
  <c r="AD123" i="20"/>
  <c r="AE123" i="20"/>
  <c r="AF123" i="20"/>
  <c r="AG123" i="20"/>
  <c r="AH123" i="20"/>
  <c r="AI123" i="20"/>
  <c r="AJ123" i="20"/>
  <c r="C124" i="20"/>
  <c r="P124" i="20"/>
  <c r="Q124" i="20"/>
  <c r="R124" i="20"/>
  <c r="S124" i="20"/>
  <c r="T124" i="20"/>
  <c r="U124" i="20"/>
  <c r="V124" i="20"/>
  <c r="W124" i="20"/>
  <c r="X124" i="20"/>
  <c r="Y124" i="20"/>
  <c r="Z124" i="20"/>
  <c r="AA124" i="20"/>
  <c r="AB124" i="20"/>
  <c r="AC124" i="20"/>
  <c r="AD124" i="20"/>
  <c r="AE124" i="20"/>
  <c r="AF124" i="20"/>
  <c r="AG124" i="20"/>
  <c r="AH124" i="20"/>
  <c r="AI124" i="20"/>
  <c r="AJ124" i="20"/>
  <c r="C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C126" i="20"/>
  <c r="P126" i="20"/>
  <c r="Q126" i="20"/>
  <c r="R126" i="20"/>
  <c r="S126" i="20"/>
  <c r="T126" i="20"/>
  <c r="U126" i="20"/>
  <c r="V126" i="20"/>
  <c r="W126" i="20"/>
  <c r="X126" i="20"/>
  <c r="Y126" i="20"/>
  <c r="Z126" i="20"/>
  <c r="AA126" i="20"/>
  <c r="AB126" i="20"/>
  <c r="AC126" i="20"/>
  <c r="AD126" i="20"/>
  <c r="AE126" i="20"/>
  <c r="AF126" i="20"/>
  <c r="AG126" i="20"/>
  <c r="AH126" i="20"/>
  <c r="AI126" i="20"/>
  <c r="AJ126" i="20"/>
  <c r="C127" i="20"/>
  <c r="P127" i="20"/>
  <c r="Q127" i="20"/>
  <c r="R127" i="20"/>
  <c r="S127" i="20"/>
  <c r="T127" i="20"/>
  <c r="U127" i="20"/>
  <c r="V127" i="20"/>
  <c r="W127" i="20"/>
  <c r="X127" i="20"/>
  <c r="Y127" i="20"/>
  <c r="Z127" i="20"/>
  <c r="AA127" i="20"/>
  <c r="AB127" i="20"/>
  <c r="AC127" i="20"/>
  <c r="AD127" i="20"/>
  <c r="AE127" i="20"/>
  <c r="AF127" i="20"/>
  <c r="AG127" i="20"/>
  <c r="AH127" i="20"/>
  <c r="AI127" i="20"/>
  <c r="AJ127" i="20"/>
  <c r="C128" i="20"/>
  <c r="P128" i="20"/>
  <c r="Q128" i="20"/>
  <c r="R128" i="20"/>
  <c r="S128" i="20"/>
  <c r="T128" i="20"/>
  <c r="U128" i="20"/>
  <c r="V128" i="20"/>
  <c r="W128" i="20"/>
  <c r="X128" i="20"/>
  <c r="Y128" i="20"/>
  <c r="Z128" i="20"/>
  <c r="AA128" i="20"/>
  <c r="AB128" i="20"/>
  <c r="AC128" i="20"/>
  <c r="AD128" i="20"/>
  <c r="AE128" i="20"/>
  <c r="AF128" i="20"/>
  <c r="AG128" i="20"/>
  <c r="AH128" i="20"/>
  <c r="AI128" i="20"/>
  <c r="AJ128" i="20"/>
  <c r="C129" i="20"/>
  <c r="P129" i="20"/>
  <c r="Q129" i="20"/>
  <c r="R129" i="20"/>
  <c r="S129" i="20"/>
  <c r="T129" i="20"/>
  <c r="U129" i="20"/>
  <c r="V129" i="20"/>
  <c r="W129" i="20"/>
  <c r="X129" i="20"/>
  <c r="Y129" i="20"/>
  <c r="Z129" i="20"/>
  <c r="AA129" i="20"/>
  <c r="AB129" i="20"/>
  <c r="AC129" i="20"/>
  <c r="AD129" i="20"/>
  <c r="AE129" i="20"/>
  <c r="AF129" i="20"/>
  <c r="AG129" i="20"/>
  <c r="AH129" i="20"/>
  <c r="AI129" i="20"/>
  <c r="AJ129" i="20"/>
  <c r="C130" i="20"/>
  <c r="P130" i="20"/>
  <c r="Q130" i="20"/>
  <c r="R130" i="20"/>
  <c r="S130" i="20"/>
  <c r="T130" i="20"/>
  <c r="U130" i="20"/>
  <c r="V130" i="20"/>
  <c r="W130" i="20"/>
  <c r="X130" i="20"/>
  <c r="Y130" i="20"/>
  <c r="Z130" i="20"/>
  <c r="AA130" i="20"/>
  <c r="AB130" i="20"/>
  <c r="AC130" i="20"/>
  <c r="AD130" i="20"/>
  <c r="AE130" i="20"/>
  <c r="AF130" i="20"/>
  <c r="AG130" i="20"/>
  <c r="AH130" i="20"/>
  <c r="AI130" i="20"/>
  <c r="AJ130" i="20"/>
  <c r="C131" i="20"/>
  <c r="P131" i="20"/>
  <c r="Q131" i="20"/>
  <c r="R131" i="20"/>
  <c r="S131" i="20"/>
  <c r="T131" i="20"/>
  <c r="U131" i="20"/>
  <c r="V131" i="20"/>
  <c r="W131" i="20"/>
  <c r="X131" i="20"/>
  <c r="Y131" i="20"/>
  <c r="Z131" i="20"/>
  <c r="AA131" i="20"/>
  <c r="AB131" i="20"/>
  <c r="AC131" i="20"/>
  <c r="AD131" i="20"/>
  <c r="AE131" i="20"/>
  <c r="AF131" i="20"/>
  <c r="AG131" i="20"/>
  <c r="AH131" i="20"/>
  <c r="AI131" i="20"/>
  <c r="AJ131" i="20"/>
  <c r="C132" i="20"/>
  <c r="P132" i="20"/>
  <c r="Q132" i="20"/>
  <c r="R132" i="20"/>
  <c r="S132" i="20"/>
  <c r="T132" i="20"/>
  <c r="U132" i="20"/>
  <c r="V132" i="20"/>
  <c r="W132" i="20"/>
  <c r="X132" i="20"/>
  <c r="Y132" i="20"/>
  <c r="Z132" i="20"/>
  <c r="AA132" i="20"/>
  <c r="AB132" i="20"/>
  <c r="AC132" i="20"/>
  <c r="AD132" i="20"/>
  <c r="AE132" i="20"/>
  <c r="AF132" i="20"/>
  <c r="AG132" i="20"/>
  <c r="AH132" i="20"/>
  <c r="AI132" i="20"/>
  <c r="AJ132" i="20"/>
  <c r="C133" i="20"/>
  <c r="P133" i="20"/>
  <c r="Q133" i="20"/>
  <c r="R133" i="20"/>
  <c r="S133" i="20"/>
  <c r="T133" i="20"/>
  <c r="U133" i="20"/>
  <c r="V133" i="20"/>
  <c r="W133" i="20"/>
  <c r="X133" i="20"/>
  <c r="Y133" i="20"/>
  <c r="Z133" i="20"/>
  <c r="AA133" i="20"/>
  <c r="AB133" i="20"/>
  <c r="AC133" i="20"/>
  <c r="AD133" i="20"/>
  <c r="AE133" i="20"/>
  <c r="AF133" i="20"/>
  <c r="AG133" i="20"/>
  <c r="AH133" i="20"/>
  <c r="AI133" i="20"/>
  <c r="AJ133" i="20"/>
  <c r="C134" i="20"/>
  <c r="P134" i="20"/>
  <c r="Q134" i="20"/>
  <c r="R134" i="20"/>
  <c r="S134" i="20"/>
  <c r="T134" i="20"/>
  <c r="U134" i="20"/>
  <c r="V134" i="20"/>
  <c r="W134" i="20"/>
  <c r="X134" i="20"/>
  <c r="Y134" i="20"/>
  <c r="Z134" i="20"/>
  <c r="AA134" i="20"/>
  <c r="AB134" i="20"/>
  <c r="AC134" i="20"/>
  <c r="AD134" i="20"/>
  <c r="AE134" i="20"/>
  <c r="AF134" i="20"/>
  <c r="AG134" i="20"/>
  <c r="AH134" i="20"/>
  <c r="AI134" i="20"/>
  <c r="AJ134" i="20"/>
  <c r="C135" i="20"/>
  <c r="P135" i="20"/>
  <c r="Q135" i="20"/>
  <c r="R135" i="20"/>
  <c r="S135" i="20"/>
  <c r="T135" i="20"/>
  <c r="U135" i="20"/>
  <c r="V135" i="20"/>
  <c r="W135" i="20"/>
  <c r="X135" i="20"/>
  <c r="Y135" i="20"/>
  <c r="Z135" i="20"/>
  <c r="AA135" i="20"/>
  <c r="AB135" i="20"/>
  <c r="AC135" i="20"/>
  <c r="AD135" i="20"/>
  <c r="AE135" i="20"/>
  <c r="AF135" i="20"/>
  <c r="AG135" i="20"/>
  <c r="AH135" i="20"/>
  <c r="AI135" i="20"/>
  <c r="AJ135" i="20"/>
  <c r="C136" i="20"/>
  <c r="P136" i="20"/>
  <c r="Q136" i="20"/>
  <c r="R136" i="20"/>
  <c r="S136" i="20"/>
  <c r="T136" i="20"/>
  <c r="U136" i="20"/>
  <c r="V136" i="20"/>
  <c r="W136" i="20"/>
  <c r="X136" i="20"/>
  <c r="Y136" i="20"/>
  <c r="Z136" i="20"/>
  <c r="AA136" i="20"/>
  <c r="AB136" i="20"/>
  <c r="AC136" i="20"/>
  <c r="AD136" i="20"/>
  <c r="AE136" i="20"/>
  <c r="AF136" i="20"/>
  <c r="AG136" i="20"/>
  <c r="AH136" i="20"/>
  <c r="AI136" i="20"/>
  <c r="AJ136" i="20"/>
  <c r="C137" i="20"/>
  <c r="P137" i="20"/>
  <c r="Q137" i="20"/>
  <c r="R137" i="20"/>
  <c r="S137" i="20"/>
  <c r="T137" i="20"/>
  <c r="U137" i="20"/>
  <c r="V137" i="20"/>
  <c r="W137" i="20"/>
  <c r="X137" i="20"/>
  <c r="Y137" i="20"/>
  <c r="Z137" i="20"/>
  <c r="AA137" i="20"/>
  <c r="AB137" i="20"/>
  <c r="AC137" i="20"/>
  <c r="AD137" i="20"/>
  <c r="AE137" i="20"/>
  <c r="AF137" i="20"/>
  <c r="AG137" i="20"/>
  <c r="AH137" i="20"/>
  <c r="AI137" i="20"/>
  <c r="AJ137" i="20"/>
  <c r="C138" i="20"/>
  <c r="P138" i="20"/>
  <c r="Q138" i="20"/>
  <c r="R138" i="20"/>
  <c r="S138" i="20"/>
  <c r="T138" i="20"/>
  <c r="U138" i="20"/>
  <c r="V138" i="20"/>
  <c r="W138" i="20"/>
  <c r="X138" i="20"/>
  <c r="Y138" i="20"/>
  <c r="Z138" i="20"/>
  <c r="AA138" i="20"/>
  <c r="AB138" i="20"/>
  <c r="AC138" i="20"/>
  <c r="AD138" i="20"/>
  <c r="AE138" i="20"/>
  <c r="AF138" i="20"/>
  <c r="AG138" i="20"/>
  <c r="AH138" i="20"/>
  <c r="AI138" i="20"/>
  <c r="AJ138" i="20"/>
  <c r="C139" i="20"/>
  <c r="P139" i="20"/>
  <c r="AK139" i="20" s="1"/>
  <c r="M139" i="20" s="1"/>
  <c r="D139" i="20" s="1"/>
  <c r="Q139" i="20"/>
  <c r="R139" i="20"/>
  <c r="S139" i="20"/>
  <c r="T139" i="20"/>
  <c r="U139" i="20"/>
  <c r="V139" i="20"/>
  <c r="W139" i="20"/>
  <c r="X139" i="20"/>
  <c r="Y139" i="20"/>
  <c r="Z139" i="20"/>
  <c r="AA139" i="20"/>
  <c r="AB139" i="20"/>
  <c r="AC139" i="20"/>
  <c r="AD139" i="20"/>
  <c r="AE139" i="20"/>
  <c r="AF139" i="20"/>
  <c r="AG139" i="20"/>
  <c r="AH139" i="20"/>
  <c r="AI139" i="20"/>
  <c r="AJ139" i="20"/>
  <c r="C140" i="20"/>
  <c r="P140" i="20"/>
  <c r="Q140" i="20"/>
  <c r="R140" i="20"/>
  <c r="S140" i="20"/>
  <c r="T140" i="20"/>
  <c r="U140" i="20"/>
  <c r="V140" i="20"/>
  <c r="W140" i="20"/>
  <c r="X140" i="20"/>
  <c r="Y140" i="20"/>
  <c r="Z140" i="20"/>
  <c r="AA140" i="20"/>
  <c r="AB140" i="20"/>
  <c r="AC140" i="20"/>
  <c r="AD140" i="20"/>
  <c r="AE140" i="20"/>
  <c r="AF140" i="20"/>
  <c r="AG140" i="20"/>
  <c r="AH140" i="20"/>
  <c r="AI140" i="20"/>
  <c r="AJ140" i="20"/>
  <c r="C141" i="20"/>
  <c r="P141" i="20"/>
  <c r="Q141" i="20"/>
  <c r="R141" i="20"/>
  <c r="S141" i="20"/>
  <c r="T141" i="20"/>
  <c r="U141" i="20"/>
  <c r="V141" i="20"/>
  <c r="W141" i="20"/>
  <c r="X141" i="20"/>
  <c r="Y141" i="20"/>
  <c r="Z141" i="20"/>
  <c r="AA141" i="20"/>
  <c r="AB141" i="20"/>
  <c r="AC141" i="20"/>
  <c r="AD141" i="20"/>
  <c r="AE141" i="20"/>
  <c r="AF141" i="20"/>
  <c r="AG141" i="20"/>
  <c r="AH141" i="20"/>
  <c r="AI141" i="20"/>
  <c r="AJ141" i="20"/>
  <c r="C142" i="20"/>
  <c r="P142" i="20"/>
  <c r="Q142" i="20"/>
  <c r="R142" i="20"/>
  <c r="S142" i="20"/>
  <c r="T142" i="20"/>
  <c r="U142" i="20"/>
  <c r="V142" i="20"/>
  <c r="W142" i="20"/>
  <c r="X142" i="20"/>
  <c r="Y142" i="20"/>
  <c r="Z142" i="20"/>
  <c r="AA142" i="20"/>
  <c r="AB142" i="20"/>
  <c r="AC142" i="20"/>
  <c r="AD142" i="20"/>
  <c r="AE142" i="20"/>
  <c r="AF142" i="20"/>
  <c r="AG142" i="20"/>
  <c r="AH142" i="20"/>
  <c r="AI142" i="20"/>
  <c r="AJ142" i="20"/>
  <c r="C143" i="20"/>
  <c r="P143" i="20"/>
  <c r="Q143" i="20"/>
  <c r="R143" i="20"/>
  <c r="S143" i="20"/>
  <c r="T143" i="20"/>
  <c r="U143" i="20"/>
  <c r="V143" i="20"/>
  <c r="W143" i="20"/>
  <c r="X143" i="20"/>
  <c r="Y143" i="20"/>
  <c r="Z143" i="20"/>
  <c r="AA143" i="20"/>
  <c r="AB143" i="20"/>
  <c r="AC143" i="20"/>
  <c r="AD143" i="20"/>
  <c r="AE143" i="20"/>
  <c r="AF143" i="20"/>
  <c r="AG143" i="20"/>
  <c r="AH143" i="20"/>
  <c r="AI143" i="20"/>
  <c r="AJ143" i="20"/>
  <c r="C144" i="20"/>
  <c r="P144" i="20"/>
  <c r="Q144" i="20"/>
  <c r="R144" i="20"/>
  <c r="S144" i="20"/>
  <c r="T144" i="20"/>
  <c r="U144" i="20"/>
  <c r="V144" i="20"/>
  <c r="W144" i="20"/>
  <c r="X144" i="20"/>
  <c r="Y144" i="20"/>
  <c r="Z144" i="20"/>
  <c r="AA144" i="20"/>
  <c r="AB144" i="20"/>
  <c r="AC144" i="20"/>
  <c r="AD144" i="20"/>
  <c r="AE144" i="20"/>
  <c r="AF144" i="20"/>
  <c r="AG144" i="20"/>
  <c r="AH144" i="20"/>
  <c r="AI144" i="20"/>
  <c r="AJ144" i="20"/>
  <c r="C145" i="20"/>
  <c r="P145" i="20"/>
  <c r="Q145" i="20"/>
  <c r="R145" i="20"/>
  <c r="S145" i="20"/>
  <c r="T145" i="20"/>
  <c r="U145" i="20"/>
  <c r="V145" i="20"/>
  <c r="W145" i="20"/>
  <c r="X145" i="20"/>
  <c r="Y145" i="20"/>
  <c r="Z145" i="20"/>
  <c r="AA145" i="20"/>
  <c r="AB145" i="20"/>
  <c r="AC145" i="20"/>
  <c r="AD145" i="20"/>
  <c r="AE145" i="20"/>
  <c r="AF145" i="20"/>
  <c r="AG145" i="20"/>
  <c r="AH145" i="20"/>
  <c r="AI145" i="20"/>
  <c r="AJ145" i="20"/>
  <c r="C146" i="20"/>
  <c r="P146" i="20"/>
  <c r="Q146" i="20"/>
  <c r="R146" i="20"/>
  <c r="S146" i="20"/>
  <c r="T146" i="20"/>
  <c r="U146" i="20"/>
  <c r="V146" i="20"/>
  <c r="W146" i="20"/>
  <c r="X146" i="20"/>
  <c r="Y146" i="20"/>
  <c r="Z146" i="20"/>
  <c r="AA146" i="20"/>
  <c r="AB146" i="20"/>
  <c r="AC146" i="20"/>
  <c r="AD146" i="20"/>
  <c r="AE146" i="20"/>
  <c r="AF146" i="20"/>
  <c r="AG146" i="20"/>
  <c r="AH146" i="20"/>
  <c r="AI146" i="20"/>
  <c r="AJ146" i="20"/>
  <c r="C147" i="20"/>
  <c r="P147" i="20"/>
  <c r="Q147" i="20"/>
  <c r="R147" i="20"/>
  <c r="S147" i="20"/>
  <c r="T147" i="20"/>
  <c r="U147" i="20"/>
  <c r="V147" i="20"/>
  <c r="W147" i="20"/>
  <c r="X147" i="20"/>
  <c r="Y147" i="20"/>
  <c r="Z147" i="20"/>
  <c r="AA147" i="20"/>
  <c r="AB147" i="20"/>
  <c r="AC147" i="20"/>
  <c r="AD147" i="20"/>
  <c r="AE147" i="20"/>
  <c r="AF147" i="20"/>
  <c r="AG147" i="20"/>
  <c r="AH147" i="20"/>
  <c r="AI147" i="20"/>
  <c r="AJ147" i="20"/>
  <c r="C148" i="20"/>
  <c r="P148" i="20"/>
  <c r="Q148" i="20"/>
  <c r="R148" i="20"/>
  <c r="S148" i="20"/>
  <c r="T148" i="20"/>
  <c r="U148" i="20"/>
  <c r="V148" i="20"/>
  <c r="W148" i="20"/>
  <c r="X148" i="20"/>
  <c r="Y148" i="20"/>
  <c r="Z148" i="20"/>
  <c r="AA148" i="20"/>
  <c r="AB148" i="20"/>
  <c r="AC148" i="20"/>
  <c r="AD148" i="20"/>
  <c r="AE148" i="20"/>
  <c r="AF148" i="20"/>
  <c r="AG148" i="20"/>
  <c r="AH148" i="20"/>
  <c r="AI148" i="20"/>
  <c r="AJ148" i="20"/>
  <c r="C149" i="20"/>
  <c r="P149" i="20"/>
  <c r="Q149" i="20"/>
  <c r="R149" i="20"/>
  <c r="S149" i="20"/>
  <c r="T149" i="20"/>
  <c r="U149" i="20"/>
  <c r="V149" i="20"/>
  <c r="W149" i="20"/>
  <c r="X149" i="20"/>
  <c r="Y149" i="20"/>
  <c r="Z149" i="20"/>
  <c r="AA149" i="20"/>
  <c r="AB149" i="20"/>
  <c r="AC149" i="20"/>
  <c r="AD149" i="20"/>
  <c r="AE149" i="20"/>
  <c r="AF149" i="20"/>
  <c r="AG149" i="20"/>
  <c r="AH149" i="20"/>
  <c r="AI149" i="20"/>
  <c r="AJ149" i="20"/>
  <c r="C150" i="20"/>
  <c r="P150" i="20"/>
  <c r="Q150" i="20"/>
  <c r="R150" i="20"/>
  <c r="S150" i="20"/>
  <c r="T150" i="20"/>
  <c r="U150" i="20"/>
  <c r="V150" i="20"/>
  <c r="W150" i="20"/>
  <c r="X150" i="20"/>
  <c r="Y150" i="20"/>
  <c r="Z150" i="20"/>
  <c r="AA150" i="20"/>
  <c r="AB150" i="20"/>
  <c r="AC150" i="20"/>
  <c r="AD150" i="20"/>
  <c r="AE150" i="20"/>
  <c r="AF150" i="20"/>
  <c r="AG150" i="20"/>
  <c r="AH150" i="20"/>
  <c r="AI150" i="20"/>
  <c r="AJ150" i="20"/>
  <c r="C151" i="20"/>
  <c r="N151" i="20" s="1"/>
  <c r="P151" i="20"/>
  <c r="Q151" i="20"/>
  <c r="R151" i="20"/>
  <c r="S151" i="20"/>
  <c r="T151" i="20"/>
  <c r="U151" i="20"/>
  <c r="V151" i="20"/>
  <c r="W151" i="20"/>
  <c r="X151" i="20"/>
  <c r="Y151" i="20"/>
  <c r="Z151" i="20"/>
  <c r="AA151" i="20"/>
  <c r="AB151" i="20"/>
  <c r="AC151" i="20"/>
  <c r="AD151" i="20"/>
  <c r="AE151" i="20"/>
  <c r="AF151" i="20"/>
  <c r="AG151" i="20"/>
  <c r="AH151" i="20"/>
  <c r="AI151" i="20"/>
  <c r="AJ151" i="20"/>
  <c r="C152" i="20"/>
  <c r="P152" i="20"/>
  <c r="Q152" i="20"/>
  <c r="R152" i="20"/>
  <c r="S152" i="20"/>
  <c r="T152" i="20"/>
  <c r="U152" i="20"/>
  <c r="V152" i="20"/>
  <c r="W152" i="20"/>
  <c r="X152" i="20"/>
  <c r="Y152" i="20"/>
  <c r="Z152" i="20"/>
  <c r="AA152" i="20"/>
  <c r="AB152" i="20"/>
  <c r="AC152" i="20"/>
  <c r="AD152" i="20"/>
  <c r="AE152" i="20"/>
  <c r="AF152" i="20"/>
  <c r="AG152" i="20"/>
  <c r="AH152" i="20"/>
  <c r="AI152" i="20"/>
  <c r="AJ152" i="20"/>
  <c r="C153" i="20"/>
  <c r="P153" i="20"/>
  <c r="Q153" i="20"/>
  <c r="R153" i="20"/>
  <c r="S153" i="20"/>
  <c r="T153" i="20"/>
  <c r="U153" i="20"/>
  <c r="V153" i="20"/>
  <c r="W153" i="20"/>
  <c r="X153" i="20"/>
  <c r="Y153" i="20"/>
  <c r="Z153" i="20"/>
  <c r="AA153" i="20"/>
  <c r="AB153" i="20"/>
  <c r="AC153" i="20"/>
  <c r="AD153" i="20"/>
  <c r="AE153" i="20"/>
  <c r="AF153" i="20"/>
  <c r="AG153" i="20"/>
  <c r="AH153" i="20"/>
  <c r="AI153" i="20"/>
  <c r="AJ153" i="20"/>
  <c r="C154" i="20"/>
  <c r="P154" i="20"/>
  <c r="Q154" i="20"/>
  <c r="R154" i="20"/>
  <c r="S154" i="20"/>
  <c r="T154" i="20"/>
  <c r="U154" i="20"/>
  <c r="V154" i="20"/>
  <c r="W154" i="20"/>
  <c r="X154" i="20"/>
  <c r="Y154" i="20"/>
  <c r="Z154" i="20"/>
  <c r="AA154" i="20"/>
  <c r="AB154" i="20"/>
  <c r="AC154" i="20"/>
  <c r="AD154" i="20"/>
  <c r="AE154" i="20"/>
  <c r="AF154" i="20"/>
  <c r="AG154" i="20"/>
  <c r="AH154" i="20"/>
  <c r="AI154" i="20"/>
  <c r="AJ154" i="20"/>
  <c r="C155" i="20"/>
  <c r="P155" i="20"/>
  <c r="Q155" i="20"/>
  <c r="R155" i="20"/>
  <c r="S155" i="20"/>
  <c r="T155" i="20"/>
  <c r="U155" i="20"/>
  <c r="V155" i="20"/>
  <c r="W155" i="20"/>
  <c r="X155" i="20"/>
  <c r="Y155" i="20"/>
  <c r="Z155" i="20"/>
  <c r="AA155" i="20"/>
  <c r="AB155" i="20"/>
  <c r="AC155" i="20"/>
  <c r="AD155" i="20"/>
  <c r="AE155" i="20"/>
  <c r="AF155" i="20"/>
  <c r="AG155" i="20"/>
  <c r="AH155" i="20"/>
  <c r="AI155" i="20"/>
  <c r="AJ155" i="20"/>
  <c r="C156" i="20"/>
  <c r="P156" i="20"/>
  <c r="Q156" i="20"/>
  <c r="R156" i="20"/>
  <c r="S156" i="20"/>
  <c r="T156" i="20"/>
  <c r="U156" i="20"/>
  <c r="V156" i="20"/>
  <c r="W156" i="20"/>
  <c r="X156" i="20"/>
  <c r="Y156" i="20"/>
  <c r="Z156" i="20"/>
  <c r="AA156" i="20"/>
  <c r="AB156" i="20"/>
  <c r="AC156" i="20"/>
  <c r="AD156" i="20"/>
  <c r="AE156" i="20"/>
  <c r="AF156" i="20"/>
  <c r="AG156" i="20"/>
  <c r="AH156" i="20"/>
  <c r="AI156" i="20"/>
  <c r="AJ156" i="20"/>
  <c r="C157" i="20"/>
  <c r="P157" i="20"/>
  <c r="Q157" i="20"/>
  <c r="R157" i="20"/>
  <c r="S157" i="20"/>
  <c r="T157" i="20"/>
  <c r="U157" i="20"/>
  <c r="V157" i="20"/>
  <c r="W157" i="20"/>
  <c r="X157" i="20"/>
  <c r="Y157" i="20"/>
  <c r="Z157" i="20"/>
  <c r="AA157" i="20"/>
  <c r="AB157" i="20"/>
  <c r="AC157" i="20"/>
  <c r="AD157" i="20"/>
  <c r="AE157" i="20"/>
  <c r="AF157" i="20"/>
  <c r="AG157" i="20"/>
  <c r="AH157" i="20"/>
  <c r="AI157" i="20"/>
  <c r="AJ157" i="20"/>
  <c r="C158" i="20"/>
  <c r="P158" i="20"/>
  <c r="Q158" i="20"/>
  <c r="R158" i="20"/>
  <c r="S158" i="20"/>
  <c r="T158" i="20"/>
  <c r="U158" i="20"/>
  <c r="V158" i="20"/>
  <c r="W158" i="20"/>
  <c r="X158" i="20"/>
  <c r="Y158" i="20"/>
  <c r="Z158" i="20"/>
  <c r="AA158" i="20"/>
  <c r="AB158" i="20"/>
  <c r="AC158" i="20"/>
  <c r="AD158" i="20"/>
  <c r="AE158" i="20"/>
  <c r="AF158" i="20"/>
  <c r="AG158" i="20"/>
  <c r="AH158" i="20"/>
  <c r="AI158" i="20"/>
  <c r="AJ158" i="20"/>
  <c r="C159" i="20"/>
  <c r="N159" i="20" s="1"/>
  <c r="P159" i="20"/>
  <c r="Q159" i="20"/>
  <c r="R159" i="20"/>
  <c r="S159" i="20"/>
  <c r="T159" i="20"/>
  <c r="U159" i="20"/>
  <c r="V159" i="20"/>
  <c r="W159" i="20"/>
  <c r="X159" i="20"/>
  <c r="Y159" i="20"/>
  <c r="Z159" i="20"/>
  <c r="AA159" i="20"/>
  <c r="AB159" i="20"/>
  <c r="AC159" i="20"/>
  <c r="AD159" i="20"/>
  <c r="AE159" i="20"/>
  <c r="AF159" i="20"/>
  <c r="AG159" i="20"/>
  <c r="AH159" i="20"/>
  <c r="AI159" i="20"/>
  <c r="AJ159" i="20"/>
  <c r="C160" i="20"/>
  <c r="P160" i="20"/>
  <c r="Q160" i="20"/>
  <c r="R160" i="20"/>
  <c r="S160" i="20"/>
  <c r="T160" i="20"/>
  <c r="U160" i="20"/>
  <c r="V160" i="20"/>
  <c r="W160" i="20"/>
  <c r="X160" i="20"/>
  <c r="Y160" i="20"/>
  <c r="Z160" i="20"/>
  <c r="AA160" i="20"/>
  <c r="AB160" i="20"/>
  <c r="AC160" i="20"/>
  <c r="AD160" i="20"/>
  <c r="AE160" i="20"/>
  <c r="AF160" i="20"/>
  <c r="AG160" i="20"/>
  <c r="AH160" i="20"/>
  <c r="AI160" i="20"/>
  <c r="AJ160" i="20"/>
  <c r="C161" i="20"/>
  <c r="P161" i="20"/>
  <c r="Q161" i="20"/>
  <c r="R161" i="20"/>
  <c r="S161" i="20"/>
  <c r="T161" i="20"/>
  <c r="U161" i="20"/>
  <c r="V161" i="20"/>
  <c r="W161" i="20"/>
  <c r="X161" i="20"/>
  <c r="Y161" i="20"/>
  <c r="Z161" i="20"/>
  <c r="AA161" i="20"/>
  <c r="AB161" i="20"/>
  <c r="AC161" i="20"/>
  <c r="AD161" i="20"/>
  <c r="AE161" i="20"/>
  <c r="AF161" i="20"/>
  <c r="AG161" i="20"/>
  <c r="AH161" i="20"/>
  <c r="AI161" i="20"/>
  <c r="AJ161" i="20"/>
  <c r="C162" i="20"/>
  <c r="P162" i="20"/>
  <c r="Q162" i="20"/>
  <c r="R162" i="20"/>
  <c r="S162" i="20"/>
  <c r="T162" i="20"/>
  <c r="U162" i="20"/>
  <c r="V162" i="20"/>
  <c r="W162" i="20"/>
  <c r="X162" i="20"/>
  <c r="Y162" i="20"/>
  <c r="Z162" i="20"/>
  <c r="AA162" i="20"/>
  <c r="AB162" i="20"/>
  <c r="AC162" i="20"/>
  <c r="AD162" i="20"/>
  <c r="AE162" i="20"/>
  <c r="AF162" i="20"/>
  <c r="AG162" i="20"/>
  <c r="AH162" i="20"/>
  <c r="AI162" i="20"/>
  <c r="AJ162" i="20"/>
  <c r="C163" i="20"/>
  <c r="P163" i="20"/>
  <c r="Q163" i="20"/>
  <c r="R163" i="20"/>
  <c r="S163" i="20"/>
  <c r="T163" i="20"/>
  <c r="U163" i="20"/>
  <c r="V163" i="20"/>
  <c r="W163" i="20"/>
  <c r="X163" i="20"/>
  <c r="Y163" i="20"/>
  <c r="Z163" i="20"/>
  <c r="AA163" i="20"/>
  <c r="AB163" i="20"/>
  <c r="AC163" i="20"/>
  <c r="AD163" i="20"/>
  <c r="AE163" i="20"/>
  <c r="AF163" i="20"/>
  <c r="AG163" i="20"/>
  <c r="AH163" i="20"/>
  <c r="AI163" i="20"/>
  <c r="AJ163" i="20"/>
  <c r="E4" i="20"/>
  <c r="E5" i="20"/>
  <c r="E6" i="20"/>
  <c r="E7" i="20"/>
  <c r="E8" i="20"/>
  <c r="E9" i="20"/>
  <c r="E10" i="20"/>
  <c r="N10" i="20" s="1"/>
  <c r="E11" i="20"/>
  <c r="E12" i="20"/>
  <c r="E13" i="20"/>
  <c r="E14" i="20"/>
  <c r="N14" i="20" s="1"/>
  <c r="E15" i="20"/>
  <c r="E16" i="20"/>
  <c r="E17" i="20"/>
  <c r="E18" i="20"/>
  <c r="N18" i="20" s="1"/>
  <c r="E19" i="20"/>
  <c r="F19" i="20" s="1"/>
  <c r="E20" i="20"/>
  <c r="E21" i="20"/>
  <c r="E22" i="20"/>
  <c r="E23" i="20"/>
  <c r="E24" i="20"/>
  <c r="E25" i="20"/>
  <c r="E26" i="20"/>
  <c r="N26" i="20" s="1"/>
  <c r="E27" i="20"/>
  <c r="E28" i="20"/>
  <c r="E29" i="20"/>
  <c r="E30" i="20"/>
  <c r="N30" i="20" s="1"/>
  <c r="E31" i="20"/>
  <c r="E32" i="20"/>
  <c r="E33" i="20"/>
  <c r="E34" i="20"/>
  <c r="N34" i="20" s="1"/>
  <c r="E35" i="20"/>
  <c r="E36" i="20"/>
  <c r="E37" i="20"/>
  <c r="E38" i="20"/>
  <c r="E39" i="20"/>
  <c r="E40" i="20"/>
  <c r="E41" i="20"/>
  <c r="E42" i="20"/>
  <c r="N42" i="20" s="1"/>
  <c r="E43" i="20"/>
  <c r="E44" i="20"/>
  <c r="E45" i="20"/>
  <c r="E46" i="20"/>
  <c r="N46" i="20" s="1"/>
  <c r="E47" i="20"/>
  <c r="E48" i="20"/>
  <c r="E49" i="20"/>
  <c r="E50" i="20"/>
  <c r="N50" i="20" s="1"/>
  <c r="E51" i="20"/>
  <c r="E52" i="20"/>
  <c r="E53" i="20"/>
  <c r="E54" i="20"/>
  <c r="E55" i="20"/>
  <c r="E56" i="20"/>
  <c r="E57" i="20"/>
  <c r="E58" i="20"/>
  <c r="N58" i="20" s="1"/>
  <c r="E59" i="20"/>
  <c r="E60" i="20"/>
  <c r="E61" i="20"/>
  <c r="E62" i="20"/>
  <c r="N62" i="20" s="1"/>
  <c r="E63" i="20"/>
  <c r="E64" i="20"/>
  <c r="E65" i="20"/>
  <c r="E66" i="20"/>
  <c r="N66" i="20" s="1"/>
  <c r="E67" i="20"/>
  <c r="E68" i="20"/>
  <c r="E69" i="20"/>
  <c r="E70" i="20"/>
  <c r="N70" i="20" s="1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N86" i="20" s="1"/>
  <c r="E87" i="20"/>
  <c r="E88" i="20"/>
  <c r="E89" i="20"/>
  <c r="E90" i="20"/>
  <c r="E91" i="20"/>
  <c r="E92" i="20"/>
  <c r="E93" i="20"/>
  <c r="E94" i="20"/>
  <c r="N94" i="20" s="1"/>
  <c r="E95" i="20"/>
  <c r="E96" i="20"/>
  <c r="E97" i="20"/>
  <c r="E98" i="20"/>
  <c r="E99" i="20"/>
  <c r="E100" i="20"/>
  <c r="E101" i="20"/>
  <c r="E102" i="20"/>
  <c r="N102" i="20" s="1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N118" i="20" s="1"/>
  <c r="E119" i="20"/>
  <c r="E120" i="20"/>
  <c r="E121" i="20"/>
  <c r="E122" i="20"/>
  <c r="E123" i="20"/>
  <c r="E124" i="20"/>
  <c r="E125" i="20"/>
  <c r="E126" i="20"/>
  <c r="N126" i="20" s="1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N142" i="20" s="1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K137" i="20"/>
  <c r="K138" i="20"/>
  <c r="K139" i="20"/>
  <c r="K140" i="20"/>
  <c r="K141" i="20"/>
  <c r="K142" i="20"/>
  <c r="K143" i="20"/>
  <c r="K144" i="20"/>
  <c r="K145" i="20"/>
  <c r="K146" i="20"/>
  <c r="K147" i="20"/>
  <c r="K148" i="20"/>
  <c r="K149" i="20"/>
  <c r="K150" i="20"/>
  <c r="K151" i="20"/>
  <c r="K152" i="20"/>
  <c r="K153" i="20"/>
  <c r="K154" i="20"/>
  <c r="K155" i="20"/>
  <c r="K156" i="20"/>
  <c r="K157" i="20"/>
  <c r="K158" i="20"/>
  <c r="K159" i="20"/>
  <c r="K160" i="20"/>
  <c r="K161" i="20"/>
  <c r="K162" i="20"/>
  <c r="K163" i="20"/>
  <c r="I4" i="20"/>
  <c r="I5" i="20"/>
  <c r="N5" i="20" s="1"/>
  <c r="I6" i="20"/>
  <c r="I7" i="20"/>
  <c r="I8" i="20"/>
  <c r="I9" i="20"/>
  <c r="N9" i="20" s="1"/>
  <c r="I10" i="20"/>
  <c r="I11" i="20"/>
  <c r="I12" i="20"/>
  <c r="I13" i="20"/>
  <c r="N13" i="20" s="1"/>
  <c r="I14" i="20"/>
  <c r="I15" i="20"/>
  <c r="I16" i="20"/>
  <c r="I17" i="20"/>
  <c r="N17" i="20" s="1"/>
  <c r="I18" i="20"/>
  <c r="I19" i="20"/>
  <c r="I20" i="20"/>
  <c r="I21" i="20"/>
  <c r="N21" i="20" s="1"/>
  <c r="I22" i="20"/>
  <c r="I23" i="20"/>
  <c r="I24" i="20"/>
  <c r="I25" i="20"/>
  <c r="N25" i="20" s="1"/>
  <c r="I26" i="20"/>
  <c r="I27" i="20"/>
  <c r="I28" i="20"/>
  <c r="I29" i="20"/>
  <c r="N29" i="20" s="1"/>
  <c r="I30" i="20"/>
  <c r="I31" i="20"/>
  <c r="I32" i="20"/>
  <c r="I33" i="20"/>
  <c r="N33" i="20" s="1"/>
  <c r="I34" i="20"/>
  <c r="I35" i="20"/>
  <c r="I36" i="20"/>
  <c r="I37" i="20"/>
  <c r="N37" i="20" s="1"/>
  <c r="I38" i="20"/>
  <c r="I39" i="20"/>
  <c r="I40" i="20"/>
  <c r="I41" i="20"/>
  <c r="N41" i="20" s="1"/>
  <c r="I42" i="20"/>
  <c r="I43" i="20"/>
  <c r="I44" i="20"/>
  <c r="I45" i="20"/>
  <c r="N45" i="20" s="1"/>
  <c r="I46" i="20"/>
  <c r="I47" i="20"/>
  <c r="I48" i="20"/>
  <c r="I49" i="20"/>
  <c r="N49" i="20" s="1"/>
  <c r="I50" i="20"/>
  <c r="I51" i="20"/>
  <c r="I52" i="20"/>
  <c r="I53" i="20"/>
  <c r="N53" i="20" s="1"/>
  <c r="I54" i="20"/>
  <c r="I55" i="20"/>
  <c r="I56" i="20"/>
  <c r="I57" i="20"/>
  <c r="N57" i="20" s="1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N74" i="20" s="1"/>
  <c r="I75" i="20"/>
  <c r="I76" i="20"/>
  <c r="I77" i="20"/>
  <c r="I78" i="20"/>
  <c r="I79" i="20"/>
  <c r="I80" i="20"/>
  <c r="I81" i="20"/>
  <c r="I82" i="20"/>
  <c r="N82" i="20" s="1"/>
  <c r="I83" i="20"/>
  <c r="I84" i="20"/>
  <c r="I85" i="20"/>
  <c r="I86" i="20"/>
  <c r="I87" i="20"/>
  <c r="I88" i="20"/>
  <c r="I89" i="20"/>
  <c r="I90" i="20"/>
  <c r="N90" i="20" s="1"/>
  <c r="I91" i="20"/>
  <c r="I92" i="20"/>
  <c r="I93" i="20"/>
  <c r="I94" i="20"/>
  <c r="I95" i="20"/>
  <c r="I96" i="20"/>
  <c r="I97" i="20"/>
  <c r="I98" i="20"/>
  <c r="N98" i="20" s="1"/>
  <c r="I99" i="20"/>
  <c r="I100" i="20"/>
  <c r="I101" i="20"/>
  <c r="I102" i="20"/>
  <c r="I103" i="20"/>
  <c r="I104" i="20"/>
  <c r="I105" i="20"/>
  <c r="I106" i="20"/>
  <c r="N106" i="20" s="1"/>
  <c r="I107" i="20"/>
  <c r="I108" i="20"/>
  <c r="I109" i="20"/>
  <c r="I110" i="20"/>
  <c r="I111" i="20"/>
  <c r="I112" i="20"/>
  <c r="I113" i="20"/>
  <c r="I114" i="20"/>
  <c r="N114" i="20" s="1"/>
  <c r="I115" i="20"/>
  <c r="I116" i="20"/>
  <c r="I117" i="20"/>
  <c r="I118" i="20"/>
  <c r="I119" i="20"/>
  <c r="I120" i="20"/>
  <c r="I121" i="20"/>
  <c r="I122" i="20"/>
  <c r="N122" i="20" s="1"/>
  <c r="I123" i="20"/>
  <c r="I124" i="20"/>
  <c r="I125" i="20"/>
  <c r="I126" i="20"/>
  <c r="I127" i="20"/>
  <c r="I128" i="20"/>
  <c r="I129" i="20"/>
  <c r="I130" i="20"/>
  <c r="N130" i="20" s="1"/>
  <c r="I131" i="20"/>
  <c r="I132" i="20"/>
  <c r="I133" i="20"/>
  <c r="I134" i="20"/>
  <c r="N134" i="20" s="1"/>
  <c r="I135" i="20"/>
  <c r="I136" i="20"/>
  <c r="I137" i="20"/>
  <c r="I138" i="20"/>
  <c r="N138" i="20" s="1"/>
  <c r="I139" i="20"/>
  <c r="I140" i="20"/>
  <c r="I141" i="20"/>
  <c r="I142" i="20"/>
  <c r="I143" i="20"/>
  <c r="I144" i="20"/>
  <c r="I145" i="20"/>
  <c r="I146" i="20"/>
  <c r="N146" i="20" s="1"/>
  <c r="I147" i="20"/>
  <c r="I148" i="20"/>
  <c r="I149" i="20"/>
  <c r="I150" i="20"/>
  <c r="N150" i="20" s="1"/>
  <c r="I151" i="20"/>
  <c r="I152" i="20"/>
  <c r="I153" i="20"/>
  <c r="I154" i="20"/>
  <c r="N154" i="20" s="1"/>
  <c r="I155" i="20"/>
  <c r="I156" i="20"/>
  <c r="N156" i="20" s="1"/>
  <c r="I157" i="20"/>
  <c r="I158" i="20"/>
  <c r="I159" i="20"/>
  <c r="I160" i="20"/>
  <c r="I161" i="20"/>
  <c r="I162" i="20"/>
  <c r="N162" i="20" s="1"/>
  <c r="I163" i="20"/>
  <c r="N160" i="20"/>
  <c r="N158" i="20"/>
  <c r="N152" i="20"/>
  <c r="N148" i="20"/>
  <c r="N144" i="20"/>
  <c r="N140" i="20"/>
  <c r="N136" i="20"/>
  <c r="N132" i="20"/>
  <c r="N128" i="20"/>
  <c r="N124" i="20"/>
  <c r="N120" i="20"/>
  <c r="N116" i="20"/>
  <c r="N112" i="20"/>
  <c r="N110" i="20"/>
  <c r="N108" i="20"/>
  <c r="N104" i="20"/>
  <c r="N100" i="20"/>
  <c r="N96" i="20"/>
  <c r="N92" i="20"/>
  <c r="N88" i="20"/>
  <c r="N84" i="20"/>
  <c r="N78" i="20"/>
  <c r="N68" i="20"/>
  <c r="N64" i="20"/>
  <c r="N60" i="20"/>
  <c r="N56" i="20"/>
  <c r="N55" i="20"/>
  <c r="N54" i="20"/>
  <c r="N52" i="20"/>
  <c r="N51" i="20"/>
  <c r="N48" i="20"/>
  <c r="N47" i="20"/>
  <c r="N44" i="20"/>
  <c r="N43" i="20"/>
  <c r="N40" i="20"/>
  <c r="N39" i="20"/>
  <c r="N38" i="20"/>
  <c r="N36" i="20"/>
  <c r="N35" i="20"/>
  <c r="N32" i="20"/>
  <c r="N31" i="20"/>
  <c r="N28" i="20"/>
  <c r="N27" i="20"/>
  <c r="N24" i="20"/>
  <c r="N23" i="20"/>
  <c r="N22" i="20"/>
  <c r="N20" i="20"/>
  <c r="N19" i="20"/>
  <c r="N16" i="20"/>
  <c r="N15" i="20"/>
  <c r="N12" i="20"/>
  <c r="N11" i="20"/>
  <c r="N8" i="20"/>
  <c r="N7" i="20"/>
  <c r="N6" i="20"/>
  <c r="N4" i="20"/>
  <c r="AW12" i="19"/>
  <c r="AX16" i="19" s="1"/>
  <c r="AZ16" i="19"/>
  <c r="BC16" i="19"/>
  <c r="BF16" i="19"/>
  <c r="BG16" i="19"/>
  <c r="BL16" i="19"/>
  <c r="BM16" i="19"/>
  <c r="BP16" i="19"/>
  <c r="BA16" i="19"/>
  <c r="K52" i="19"/>
  <c r="L52" i="19"/>
  <c r="M52" i="19"/>
  <c r="N52" i="19"/>
  <c r="O52" i="19"/>
  <c r="O49" i="19"/>
  <c r="O51" i="19" s="1"/>
  <c r="P52" i="19"/>
  <c r="Q52" i="19"/>
  <c r="R52" i="19"/>
  <c r="S52" i="19"/>
  <c r="T52" i="19"/>
  <c r="U52" i="19"/>
  <c r="V52" i="19"/>
  <c r="W52" i="19"/>
  <c r="W49" i="19"/>
  <c r="W51" i="19" s="1"/>
  <c r="X52" i="19"/>
  <c r="Y52" i="19"/>
  <c r="Z52" i="19"/>
  <c r="AA52" i="19"/>
  <c r="AB52" i="19"/>
  <c r="AC52" i="19"/>
  <c r="AD52" i="19"/>
  <c r="AE52" i="19"/>
  <c r="AE49" i="19"/>
  <c r="AE51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DE52" i="19"/>
  <c r="J49" i="19"/>
  <c r="J51" i="19" s="1"/>
  <c r="BH49" i="19"/>
  <c r="BH51" i="19" s="1"/>
  <c r="BH50" i="19"/>
  <c r="BI49" i="19"/>
  <c r="BJ49" i="19"/>
  <c r="BJ51" i="19" s="1"/>
  <c r="BK49" i="19"/>
  <c r="BL49" i="19"/>
  <c r="BL51" i="19" s="1"/>
  <c r="BM49" i="19"/>
  <c r="BM50" i="19"/>
  <c r="BN49" i="19"/>
  <c r="BN50" i="19"/>
  <c r="BO49" i="19"/>
  <c r="BO50" i="19"/>
  <c r="BO51" i="19" s="1"/>
  <c r="BP49" i="19"/>
  <c r="BP50" i="19"/>
  <c r="BQ49" i="19"/>
  <c r="BR49" i="19"/>
  <c r="BS49" i="19"/>
  <c r="BT49" i="19"/>
  <c r="BU49" i="19"/>
  <c r="BU50" i="19"/>
  <c r="BV49" i="19"/>
  <c r="BV50" i="19"/>
  <c r="BV51" i="19" s="1"/>
  <c r="BW49" i="19"/>
  <c r="BW50" i="19"/>
  <c r="BX49" i="19"/>
  <c r="BX50" i="19"/>
  <c r="BY49" i="19"/>
  <c r="BZ49" i="19"/>
  <c r="CA49" i="19"/>
  <c r="CB49" i="19"/>
  <c r="CC49" i="19"/>
  <c r="CC50" i="19"/>
  <c r="CD49" i="19"/>
  <c r="CD50" i="19"/>
  <c r="CD51" i="19"/>
  <c r="CE49" i="19"/>
  <c r="CE50" i="19"/>
  <c r="CE51" i="19" s="1"/>
  <c r="CF49" i="19"/>
  <c r="CF50" i="19"/>
  <c r="CG49" i="19"/>
  <c r="CH49" i="19"/>
  <c r="CI49" i="19"/>
  <c r="CI51" i="19" s="1"/>
  <c r="CJ49" i="19"/>
  <c r="CK49" i="19"/>
  <c r="CK50" i="19"/>
  <c r="CL49" i="19"/>
  <c r="CL51" i="19" s="1"/>
  <c r="CL50" i="19"/>
  <c r="CM49" i="19"/>
  <c r="CM50" i="19"/>
  <c r="CM51" i="19" s="1"/>
  <c r="CN49" i="19"/>
  <c r="CN50" i="19"/>
  <c r="CO49" i="19"/>
  <c r="CP49" i="19"/>
  <c r="CQ49" i="19"/>
  <c r="CR49" i="19"/>
  <c r="CS49" i="19"/>
  <c r="CS50" i="19"/>
  <c r="CT49" i="19"/>
  <c r="CT51" i="19" s="1"/>
  <c r="CT50" i="19"/>
  <c r="CU49" i="19"/>
  <c r="CU50" i="19"/>
  <c r="CU51" i="19" s="1"/>
  <c r="CV49" i="19"/>
  <c r="CV50" i="19"/>
  <c r="CW49" i="19"/>
  <c r="CX49" i="19"/>
  <c r="CY49" i="19"/>
  <c r="CZ49" i="19"/>
  <c r="DA49" i="19"/>
  <c r="DA50" i="19"/>
  <c r="DB49" i="19"/>
  <c r="DB50" i="19"/>
  <c r="DB51" i="19"/>
  <c r="DC49" i="19"/>
  <c r="DC50" i="19"/>
  <c r="DD49" i="19"/>
  <c r="DD50" i="19"/>
  <c r="DE49" i="19"/>
  <c r="BI50" i="19"/>
  <c r="BJ50" i="19"/>
  <c r="BK50" i="19"/>
  <c r="BK51" i="19" s="1"/>
  <c r="BL50" i="19"/>
  <c r="BQ50" i="19"/>
  <c r="BR50" i="19"/>
  <c r="BS50" i="19"/>
  <c r="BS51" i="19" s="1"/>
  <c r="BT50" i="19"/>
  <c r="BY50" i="19"/>
  <c r="BZ50" i="19"/>
  <c r="CA50" i="19"/>
  <c r="CA51" i="19" s="1"/>
  <c r="CB50" i="19"/>
  <c r="CB51" i="19"/>
  <c r="CG50" i="19"/>
  <c r="CH50" i="19"/>
  <c r="CI50" i="19"/>
  <c r="CJ50" i="19"/>
  <c r="CO50" i="19"/>
  <c r="CO51" i="19" s="1"/>
  <c r="CP50" i="19"/>
  <c r="CP51" i="19" s="1"/>
  <c r="CQ50" i="19"/>
  <c r="CR50" i="19"/>
  <c r="CR51" i="19"/>
  <c r="CW50" i="19"/>
  <c r="CW51" i="19" s="1"/>
  <c r="CX50" i="19"/>
  <c r="CY50" i="19"/>
  <c r="CZ50" i="19"/>
  <c r="DE50" i="19"/>
  <c r="BQ51" i="19"/>
  <c r="CG51" i="19"/>
  <c r="CY51" i="19"/>
  <c r="AF49" i="19"/>
  <c r="AF50" i="19"/>
  <c r="AF51" i="19"/>
  <c r="AG49" i="19"/>
  <c r="AG50" i="19"/>
  <c r="AN49" i="19"/>
  <c r="AN50" i="19"/>
  <c r="AO49" i="19"/>
  <c r="AO50" i="19"/>
  <c r="AP49" i="19"/>
  <c r="AP50" i="19"/>
  <c r="AP51" i="19"/>
  <c r="AV49" i="19"/>
  <c r="AV50" i="19"/>
  <c r="AV51" i="19" s="1"/>
  <c r="AW49" i="19"/>
  <c r="AW50" i="19"/>
  <c r="AX49" i="19"/>
  <c r="AX50" i="19"/>
  <c r="BD49" i="19"/>
  <c r="BD51" i="19" s="1"/>
  <c r="BD50" i="19"/>
  <c r="BE49" i="19"/>
  <c r="BE50" i="19"/>
  <c r="BE51" i="19" s="1"/>
  <c r="BF49" i="19"/>
  <c r="BF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H50" i="19"/>
  <c r="AI50" i="19"/>
  <c r="AJ50" i="19"/>
  <c r="AK50" i="19"/>
  <c r="AK49" i="19"/>
  <c r="AK51" i="19" s="1"/>
  <c r="AL50" i="19"/>
  <c r="AL51" i="19" s="1"/>
  <c r="AL49" i="19"/>
  <c r="AM50" i="19"/>
  <c r="AM49" i="19"/>
  <c r="AM51" i="19" s="1"/>
  <c r="AQ50" i="19"/>
  <c r="AR50" i="19"/>
  <c r="AS50" i="19"/>
  <c r="AS51" i="19" s="1"/>
  <c r="AT50" i="19"/>
  <c r="AT49" i="19"/>
  <c r="AU50" i="19"/>
  <c r="AU49" i="19"/>
  <c r="AU51" i="19"/>
  <c r="AY50" i="19"/>
  <c r="AZ50" i="19"/>
  <c r="BA50" i="19"/>
  <c r="BB50" i="19"/>
  <c r="BB49" i="19"/>
  <c r="BC50" i="19"/>
  <c r="BC49" i="19"/>
  <c r="BC51" i="19" s="1"/>
  <c r="BG50" i="19"/>
  <c r="BG51" i="19" s="1"/>
  <c r="M49" i="19"/>
  <c r="M51" i="19"/>
  <c r="N49" i="19"/>
  <c r="N51" i="19"/>
  <c r="U49" i="19"/>
  <c r="U51" i="19"/>
  <c r="V49" i="19"/>
  <c r="V51" i="19"/>
  <c r="AC49" i="19"/>
  <c r="AC51" i="19"/>
  <c r="AD49" i="19"/>
  <c r="AD51" i="19"/>
  <c r="AQ49" i="19"/>
  <c r="AQ51" i="19"/>
  <c r="AR49" i="19"/>
  <c r="AR51" i="19"/>
  <c r="AS49" i="19"/>
  <c r="AY49" i="19"/>
  <c r="AY51" i="19"/>
  <c r="AZ49" i="19"/>
  <c r="AZ51" i="19"/>
  <c r="BA49" i="19"/>
  <c r="BA51" i="19"/>
  <c r="BG49" i="19"/>
  <c r="K49" i="19"/>
  <c r="K51" i="19"/>
  <c r="L49" i="19"/>
  <c r="L51" i="19"/>
  <c r="P49" i="19"/>
  <c r="P51" i="19"/>
  <c r="Q49" i="19"/>
  <c r="Q51" i="19"/>
  <c r="R49" i="19"/>
  <c r="R51" i="19"/>
  <c r="S49" i="19"/>
  <c r="S51" i="19"/>
  <c r="T49" i="19"/>
  <c r="T51" i="19"/>
  <c r="X49" i="19"/>
  <c r="X51" i="19"/>
  <c r="Y49" i="19"/>
  <c r="Y51" i="19"/>
  <c r="Z49" i="19"/>
  <c r="Z51" i="19"/>
  <c r="AA49" i="19"/>
  <c r="AA51" i="19"/>
  <c r="AB49" i="19"/>
  <c r="AB51" i="19"/>
  <c r="AH49" i="19"/>
  <c r="AI49" i="19"/>
  <c r="AI51" i="19" s="1"/>
  <c r="AJ49" i="19"/>
  <c r="AJ51" i="19"/>
  <c r="BJ16" i="19"/>
  <c r="BB16" i="19"/>
  <c r="BQ16" i="19"/>
  <c r="BI16" i="19"/>
  <c r="H5" i="1"/>
  <c r="D23" i="1" s="1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AX18" i="19"/>
  <c r="AY14" i="19"/>
  <c r="AY17" i="19" s="1"/>
  <c r="AZ14" i="19"/>
  <c r="AZ17" i="19" s="1"/>
  <c r="BA14" i="19"/>
  <c r="BA17" i="19" s="1"/>
  <c r="BB14" i="19"/>
  <c r="BB17" i="19" s="1"/>
  <c r="BC14" i="19"/>
  <c r="BC17" i="19" s="1"/>
  <c r="BD14" i="19"/>
  <c r="BD17" i="19" s="1"/>
  <c r="BE14" i="19"/>
  <c r="BE17" i="19" s="1"/>
  <c r="BF14" i="19"/>
  <c r="BF17" i="19" s="1"/>
  <c r="BG14" i="19"/>
  <c r="BG17" i="19" s="1"/>
  <c r="BH14" i="19"/>
  <c r="BH17" i="19" s="1"/>
  <c r="BI14" i="19"/>
  <c r="BI17" i="19" s="1"/>
  <c r="BJ14" i="19"/>
  <c r="BJ17" i="19" s="1"/>
  <c r="BK14" i="19"/>
  <c r="BK17" i="19" s="1"/>
  <c r="BL14" i="19"/>
  <c r="BL17" i="19" s="1"/>
  <c r="BM14" i="19"/>
  <c r="BM17" i="19" s="1"/>
  <c r="BN14" i="19"/>
  <c r="BN17" i="19" s="1"/>
  <c r="BO14" i="19"/>
  <c r="BO17" i="19" s="1"/>
  <c r="BP14" i="19"/>
  <c r="BP17" i="19" s="1"/>
  <c r="BQ14" i="19"/>
  <c r="BQ17" i="19" s="1"/>
  <c r="AX14" i="19"/>
  <c r="AX17" i="19" s="1"/>
  <c r="J473" i="19"/>
  <c r="K473" i="19"/>
  <c r="L473" i="19"/>
  <c r="M473" i="19"/>
  <c r="I473" i="19"/>
  <c r="H576" i="19"/>
  <c r="I576" i="19"/>
  <c r="J576" i="19"/>
  <c r="K576" i="19"/>
  <c r="L576" i="19"/>
  <c r="M576" i="19"/>
  <c r="H577" i="19"/>
  <c r="I577" i="19"/>
  <c r="J577" i="19"/>
  <c r="K577" i="19"/>
  <c r="L577" i="19"/>
  <c r="M577" i="19"/>
  <c r="H578" i="19"/>
  <c r="I578" i="19"/>
  <c r="J578" i="19"/>
  <c r="K578" i="19"/>
  <c r="L578" i="19"/>
  <c r="M578" i="19"/>
  <c r="H579" i="19"/>
  <c r="I579" i="19"/>
  <c r="J579" i="19"/>
  <c r="K579" i="19"/>
  <c r="L579" i="19"/>
  <c r="M579" i="19"/>
  <c r="H580" i="19"/>
  <c r="I580" i="19"/>
  <c r="J580" i="19"/>
  <c r="K580" i="19"/>
  <c r="L580" i="19"/>
  <c r="M580" i="19"/>
  <c r="H573" i="19"/>
  <c r="I573" i="19"/>
  <c r="J573" i="19"/>
  <c r="K573" i="19"/>
  <c r="L573" i="19"/>
  <c r="M573" i="19"/>
  <c r="H574" i="19"/>
  <c r="I574" i="19"/>
  <c r="J574" i="19"/>
  <c r="K574" i="19"/>
  <c r="L574" i="19"/>
  <c r="M574" i="19"/>
  <c r="H575" i="19"/>
  <c r="I575" i="19"/>
  <c r="J575" i="19"/>
  <c r="K575" i="19"/>
  <c r="L575" i="19"/>
  <c r="M575" i="19"/>
  <c r="H475" i="19"/>
  <c r="I475" i="19"/>
  <c r="J475" i="19"/>
  <c r="K475" i="19"/>
  <c r="L475" i="19"/>
  <c r="M475" i="19"/>
  <c r="H476" i="19"/>
  <c r="I476" i="19"/>
  <c r="J476" i="19"/>
  <c r="K476" i="19"/>
  <c r="L476" i="19"/>
  <c r="M476" i="19"/>
  <c r="H477" i="19"/>
  <c r="I477" i="19"/>
  <c r="J477" i="19"/>
  <c r="K477" i="19"/>
  <c r="L477" i="19"/>
  <c r="M477" i="19"/>
  <c r="H478" i="19"/>
  <c r="I478" i="19"/>
  <c r="J478" i="19"/>
  <c r="K478" i="19"/>
  <c r="L478" i="19"/>
  <c r="M478" i="19"/>
  <c r="H479" i="19"/>
  <c r="I479" i="19"/>
  <c r="J479" i="19"/>
  <c r="K479" i="19"/>
  <c r="L479" i="19"/>
  <c r="M479" i="19"/>
  <c r="H480" i="19"/>
  <c r="I480" i="19"/>
  <c r="J480" i="19"/>
  <c r="K480" i="19"/>
  <c r="L480" i="19"/>
  <c r="M480" i="19"/>
  <c r="H481" i="19"/>
  <c r="I481" i="19"/>
  <c r="J481" i="19"/>
  <c r="K481" i="19"/>
  <c r="L481" i="19"/>
  <c r="M481" i="19"/>
  <c r="H482" i="19"/>
  <c r="I482" i="19"/>
  <c r="J482" i="19"/>
  <c r="K482" i="19"/>
  <c r="L482" i="19"/>
  <c r="M482" i="19"/>
  <c r="H483" i="19"/>
  <c r="I483" i="19"/>
  <c r="J483" i="19"/>
  <c r="K483" i="19"/>
  <c r="L483" i="19"/>
  <c r="M483" i="19"/>
  <c r="H484" i="19"/>
  <c r="I484" i="19"/>
  <c r="J484" i="19"/>
  <c r="K484" i="19"/>
  <c r="L484" i="19"/>
  <c r="M484" i="19"/>
  <c r="H485" i="19"/>
  <c r="I485" i="19"/>
  <c r="J485" i="19"/>
  <c r="K485" i="19"/>
  <c r="L485" i="19"/>
  <c r="M485" i="19"/>
  <c r="H486" i="19"/>
  <c r="I486" i="19"/>
  <c r="J486" i="19"/>
  <c r="K486" i="19"/>
  <c r="L486" i="19"/>
  <c r="M486" i="19"/>
  <c r="H487" i="19"/>
  <c r="I487" i="19"/>
  <c r="J487" i="19"/>
  <c r="K487" i="19"/>
  <c r="L487" i="19"/>
  <c r="M487" i="19"/>
  <c r="H488" i="19"/>
  <c r="I488" i="19"/>
  <c r="J488" i="19"/>
  <c r="K488" i="19"/>
  <c r="L488" i="19"/>
  <c r="M488" i="19"/>
  <c r="H489" i="19"/>
  <c r="I489" i="19"/>
  <c r="J489" i="19"/>
  <c r="K489" i="19"/>
  <c r="L489" i="19"/>
  <c r="M489" i="19"/>
  <c r="H490" i="19"/>
  <c r="I490" i="19"/>
  <c r="J490" i="19"/>
  <c r="K490" i="19"/>
  <c r="L490" i="19"/>
  <c r="M490" i="19"/>
  <c r="H491" i="19"/>
  <c r="I491" i="19"/>
  <c r="J491" i="19"/>
  <c r="K491" i="19"/>
  <c r="L491" i="19"/>
  <c r="M491" i="19"/>
  <c r="H492" i="19"/>
  <c r="I492" i="19"/>
  <c r="J492" i="19"/>
  <c r="K492" i="19"/>
  <c r="L492" i="19"/>
  <c r="M492" i="19"/>
  <c r="H493" i="19"/>
  <c r="I493" i="19"/>
  <c r="J493" i="19"/>
  <c r="K493" i="19"/>
  <c r="L493" i="19"/>
  <c r="M493" i="19"/>
  <c r="H494" i="19"/>
  <c r="I494" i="19"/>
  <c r="J494" i="19"/>
  <c r="K494" i="19"/>
  <c r="L494" i="19"/>
  <c r="M494" i="19"/>
  <c r="H495" i="19"/>
  <c r="I495" i="19"/>
  <c r="J495" i="19"/>
  <c r="K495" i="19"/>
  <c r="L495" i="19"/>
  <c r="M495" i="19"/>
  <c r="H496" i="19"/>
  <c r="I496" i="19"/>
  <c r="J496" i="19"/>
  <c r="K496" i="19"/>
  <c r="L496" i="19"/>
  <c r="M496" i="19"/>
  <c r="H497" i="19"/>
  <c r="I497" i="19"/>
  <c r="J497" i="19"/>
  <c r="K497" i="19"/>
  <c r="L497" i="19"/>
  <c r="M497" i="19"/>
  <c r="H498" i="19"/>
  <c r="I498" i="19"/>
  <c r="J498" i="19"/>
  <c r="K498" i="19"/>
  <c r="L498" i="19"/>
  <c r="M498" i="19"/>
  <c r="H499" i="19"/>
  <c r="I499" i="19"/>
  <c r="J499" i="19"/>
  <c r="K499" i="19"/>
  <c r="L499" i="19"/>
  <c r="M499" i="19"/>
  <c r="H500" i="19"/>
  <c r="I500" i="19"/>
  <c r="J500" i="19"/>
  <c r="K500" i="19"/>
  <c r="L500" i="19"/>
  <c r="M500" i="19"/>
  <c r="H501" i="19"/>
  <c r="I501" i="19"/>
  <c r="J501" i="19"/>
  <c r="K501" i="19"/>
  <c r="L501" i="19"/>
  <c r="M501" i="19"/>
  <c r="H502" i="19"/>
  <c r="I502" i="19"/>
  <c r="J502" i="19"/>
  <c r="K502" i="19"/>
  <c r="L502" i="19"/>
  <c r="M502" i="19"/>
  <c r="H503" i="19"/>
  <c r="I503" i="19"/>
  <c r="J503" i="19"/>
  <c r="K503" i="19"/>
  <c r="L503" i="19"/>
  <c r="M503" i="19"/>
  <c r="H504" i="19"/>
  <c r="I504" i="19"/>
  <c r="J504" i="19"/>
  <c r="K504" i="19"/>
  <c r="L504" i="19"/>
  <c r="M504" i="19"/>
  <c r="H505" i="19"/>
  <c r="I505" i="19"/>
  <c r="J505" i="19"/>
  <c r="K505" i="19"/>
  <c r="L505" i="19"/>
  <c r="M505" i="19"/>
  <c r="H506" i="19"/>
  <c r="I506" i="19"/>
  <c r="J506" i="19"/>
  <c r="K506" i="19"/>
  <c r="L506" i="19"/>
  <c r="M506" i="19"/>
  <c r="H507" i="19"/>
  <c r="I507" i="19"/>
  <c r="J507" i="19"/>
  <c r="K507" i="19"/>
  <c r="L507" i="19"/>
  <c r="M507" i="19"/>
  <c r="H508" i="19"/>
  <c r="I508" i="19"/>
  <c r="J508" i="19"/>
  <c r="K508" i="19"/>
  <c r="L508" i="19"/>
  <c r="M508" i="19"/>
  <c r="H509" i="19"/>
  <c r="I509" i="19"/>
  <c r="J509" i="19"/>
  <c r="K509" i="19"/>
  <c r="L509" i="19"/>
  <c r="M509" i="19"/>
  <c r="H510" i="19"/>
  <c r="I510" i="19"/>
  <c r="J510" i="19"/>
  <c r="K510" i="19"/>
  <c r="L510" i="19"/>
  <c r="M510" i="19"/>
  <c r="H511" i="19"/>
  <c r="I511" i="19"/>
  <c r="J511" i="19"/>
  <c r="K511" i="19"/>
  <c r="L511" i="19"/>
  <c r="M511" i="19"/>
  <c r="H512" i="19"/>
  <c r="I512" i="19"/>
  <c r="J512" i="19"/>
  <c r="K512" i="19"/>
  <c r="L512" i="19"/>
  <c r="M512" i="19"/>
  <c r="H513" i="19"/>
  <c r="I513" i="19"/>
  <c r="J513" i="19"/>
  <c r="K513" i="19"/>
  <c r="L513" i="19"/>
  <c r="M513" i="19"/>
  <c r="H514" i="19"/>
  <c r="I514" i="19"/>
  <c r="J514" i="19"/>
  <c r="K514" i="19"/>
  <c r="L514" i="19"/>
  <c r="M514" i="19"/>
  <c r="H515" i="19"/>
  <c r="I515" i="19"/>
  <c r="J515" i="19"/>
  <c r="K515" i="19"/>
  <c r="L515" i="19"/>
  <c r="M515" i="19"/>
  <c r="H516" i="19"/>
  <c r="I516" i="19"/>
  <c r="J516" i="19"/>
  <c r="K516" i="19"/>
  <c r="L516" i="19"/>
  <c r="M516" i="19"/>
  <c r="H517" i="19"/>
  <c r="I517" i="19"/>
  <c r="J517" i="19"/>
  <c r="K517" i="19"/>
  <c r="L517" i="19"/>
  <c r="M517" i="19"/>
  <c r="H518" i="19"/>
  <c r="I518" i="19"/>
  <c r="J518" i="19"/>
  <c r="K518" i="19"/>
  <c r="L518" i="19"/>
  <c r="M518" i="19"/>
  <c r="H519" i="19"/>
  <c r="I519" i="19"/>
  <c r="J519" i="19"/>
  <c r="K519" i="19"/>
  <c r="L519" i="19"/>
  <c r="M519" i="19"/>
  <c r="H520" i="19"/>
  <c r="I520" i="19"/>
  <c r="J520" i="19"/>
  <c r="K520" i="19"/>
  <c r="L520" i="19"/>
  <c r="M520" i="19"/>
  <c r="H521" i="19"/>
  <c r="I521" i="19"/>
  <c r="J521" i="19"/>
  <c r="K521" i="19"/>
  <c r="L521" i="19"/>
  <c r="M521" i="19"/>
  <c r="H522" i="19"/>
  <c r="I522" i="19"/>
  <c r="J522" i="19"/>
  <c r="K522" i="19"/>
  <c r="L522" i="19"/>
  <c r="M522" i="19"/>
  <c r="H523" i="19"/>
  <c r="I523" i="19"/>
  <c r="J523" i="19"/>
  <c r="K523" i="19"/>
  <c r="L523" i="19"/>
  <c r="M523" i="19"/>
  <c r="H524" i="19"/>
  <c r="I524" i="19"/>
  <c r="J524" i="19"/>
  <c r="K524" i="19"/>
  <c r="L524" i="19"/>
  <c r="M524" i="19"/>
  <c r="H525" i="19"/>
  <c r="I525" i="19"/>
  <c r="J525" i="19"/>
  <c r="K525" i="19"/>
  <c r="L525" i="19"/>
  <c r="M525" i="19"/>
  <c r="H526" i="19"/>
  <c r="I526" i="19"/>
  <c r="J526" i="19"/>
  <c r="K526" i="19"/>
  <c r="L526" i="19"/>
  <c r="M526" i="19"/>
  <c r="H527" i="19"/>
  <c r="I527" i="19"/>
  <c r="J527" i="19"/>
  <c r="K527" i="19"/>
  <c r="L527" i="19"/>
  <c r="M527" i="19"/>
  <c r="H528" i="19"/>
  <c r="I528" i="19"/>
  <c r="J528" i="19"/>
  <c r="K528" i="19"/>
  <c r="L528" i="19"/>
  <c r="M528" i="19"/>
  <c r="H529" i="19"/>
  <c r="I529" i="19"/>
  <c r="J529" i="19"/>
  <c r="K529" i="19"/>
  <c r="L529" i="19"/>
  <c r="M529" i="19"/>
  <c r="H530" i="19"/>
  <c r="I530" i="19"/>
  <c r="J530" i="19"/>
  <c r="K530" i="19"/>
  <c r="L530" i="19"/>
  <c r="M530" i="19"/>
  <c r="H531" i="19"/>
  <c r="I531" i="19"/>
  <c r="J531" i="19"/>
  <c r="K531" i="19"/>
  <c r="L531" i="19"/>
  <c r="M531" i="19"/>
  <c r="H532" i="19"/>
  <c r="I532" i="19"/>
  <c r="J532" i="19"/>
  <c r="K532" i="19"/>
  <c r="L532" i="19"/>
  <c r="M532" i="19"/>
  <c r="H533" i="19"/>
  <c r="I533" i="19"/>
  <c r="J533" i="19"/>
  <c r="K533" i="19"/>
  <c r="L533" i="19"/>
  <c r="M533" i="19"/>
  <c r="H534" i="19"/>
  <c r="I534" i="19"/>
  <c r="J534" i="19"/>
  <c r="K534" i="19"/>
  <c r="L534" i="19"/>
  <c r="M534" i="19"/>
  <c r="H535" i="19"/>
  <c r="I535" i="19"/>
  <c r="J535" i="19"/>
  <c r="K535" i="19"/>
  <c r="L535" i="19"/>
  <c r="M535" i="19"/>
  <c r="H536" i="19"/>
  <c r="I536" i="19"/>
  <c r="J536" i="19"/>
  <c r="K536" i="19"/>
  <c r="L536" i="19"/>
  <c r="M536" i="19"/>
  <c r="H537" i="19"/>
  <c r="I537" i="19"/>
  <c r="J537" i="19"/>
  <c r="K537" i="19"/>
  <c r="L537" i="19"/>
  <c r="M537" i="19"/>
  <c r="H538" i="19"/>
  <c r="I538" i="19"/>
  <c r="J538" i="19"/>
  <c r="K538" i="19"/>
  <c r="L538" i="19"/>
  <c r="M538" i="19"/>
  <c r="H539" i="19"/>
  <c r="I539" i="19"/>
  <c r="J539" i="19"/>
  <c r="K539" i="19"/>
  <c r="L539" i="19"/>
  <c r="M539" i="19"/>
  <c r="H540" i="19"/>
  <c r="I540" i="19"/>
  <c r="J540" i="19"/>
  <c r="K540" i="19"/>
  <c r="L540" i="19"/>
  <c r="M540" i="19"/>
  <c r="H541" i="19"/>
  <c r="I541" i="19"/>
  <c r="J541" i="19"/>
  <c r="K541" i="19"/>
  <c r="L541" i="19"/>
  <c r="M541" i="19"/>
  <c r="H542" i="19"/>
  <c r="I542" i="19"/>
  <c r="J542" i="19"/>
  <c r="K542" i="19"/>
  <c r="L542" i="19"/>
  <c r="M542" i="19"/>
  <c r="H543" i="19"/>
  <c r="I543" i="19"/>
  <c r="J543" i="19"/>
  <c r="K543" i="19"/>
  <c r="L543" i="19"/>
  <c r="M543" i="19"/>
  <c r="H544" i="19"/>
  <c r="I544" i="19"/>
  <c r="J544" i="19"/>
  <c r="K544" i="19"/>
  <c r="L544" i="19"/>
  <c r="M544" i="19"/>
  <c r="H545" i="19"/>
  <c r="I545" i="19"/>
  <c r="J545" i="19"/>
  <c r="K545" i="19"/>
  <c r="L545" i="19"/>
  <c r="M545" i="19"/>
  <c r="H546" i="19"/>
  <c r="I546" i="19"/>
  <c r="J546" i="19"/>
  <c r="K546" i="19"/>
  <c r="L546" i="19"/>
  <c r="M546" i="19"/>
  <c r="H547" i="19"/>
  <c r="I547" i="19"/>
  <c r="J547" i="19"/>
  <c r="K547" i="19"/>
  <c r="L547" i="19"/>
  <c r="M547" i="19"/>
  <c r="H548" i="19"/>
  <c r="I548" i="19"/>
  <c r="J548" i="19"/>
  <c r="K548" i="19"/>
  <c r="L548" i="19"/>
  <c r="M548" i="19"/>
  <c r="H549" i="19"/>
  <c r="I549" i="19"/>
  <c r="J549" i="19"/>
  <c r="K549" i="19"/>
  <c r="L549" i="19"/>
  <c r="M549" i="19"/>
  <c r="H550" i="19"/>
  <c r="I550" i="19"/>
  <c r="J550" i="19"/>
  <c r="K550" i="19"/>
  <c r="L550" i="19"/>
  <c r="M550" i="19"/>
  <c r="H551" i="19"/>
  <c r="I551" i="19"/>
  <c r="J551" i="19"/>
  <c r="K551" i="19"/>
  <c r="L551" i="19"/>
  <c r="M551" i="19"/>
  <c r="H552" i="19"/>
  <c r="I552" i="19"/>
  <c r="J552" i="19"/>
  <c r="K552" i="19"/>
  <c r="L552" i="19"/>
  <c r="M552" i="19"/>
  <c r="H553" i="19"/>
  <c r="I553" i="19"/>
  <c r="J553" i="19"/>
  <c r="K553" i="19"/>
  <c r="L553" i="19"/>
  <c r="M553" i="19"/>
  <c r="H554" i="19"/>
  <c r="I554" i="19"/>
  <c r="J554" i="19"/>
  <c r="K554" i="19"/>
  <c r="L554" i="19"/>
  <c r="M554" i="19"/>
  <c r="H555" i="19"/>
  <c r="I555" i="19"/>
  <c r="J555" i="19"/>
  <c r="K555" i="19"/>
  <c r="L555" i="19"/>
  <c r="M555" i="19"/>
  <c r="H556" i="19"/>
  <c r="I556" i="19"/>
  <c r="J556" i="19"/>
  <c r="K556" i="19"/>
  <c r="L556" i="19"/>
  <c r="M556" i="19"/>
  <c r="H557" i="19"/>
  <c r="I557" i="19"/>
  <c r="J557" i="19"/>
  <c r="K557" i="19"/>
  <c r="L557" i="19"/>
  <c r="M557" i="19"/>
  <c r="H558" i="19"/>
  <c r="I558" i="19"/>
  <c r="J558" i="19"/>
  <c r="K558" i="19"/>
  <c r="L558" i="19"/>
  <c r="M558" i="19"/>
  <c r="H559" i="19"/>
  <c r="I559" i="19"/>
  <c r="J559" i="19"/>
  <c r="K559" i="19"/>
  <c r="L559" i="19"/>
  <c r="M559" i="19"/>
  <c r="H560" i="19"/>
  <c r="I560" i="19"/>
  <c r="J560" i="19"/>
  <c r="K560" i="19"/>
  <c r="L560" i="19"/>
  <c r="M560" i="19"/>
  <c r="H561" i="19"/>
  <c r="I561" i="19"/>
  <c r="J561" i="19"/>
  <c r="K561" i="19"/>
  <c r="L561" i="19"/>
  <c r="M561" i="19"/>
  <c r="H562" i="19"/>
  <c r="I562" i="19"/>
  <c r="J562" i="19"/>
  <c r="K562" i="19"/>
  <c r="L562" i="19"/>
  <c r="M562" i="19"/>
  <c r="H563" i="19"/>
  <c r="I563" i="19"/>
  <c r="J563" i="19"/>
  <c r="K563" i="19"/>
  <c r="L563" i="19"/>
  <c r="M563" i="19"/>
  <c r="H564" i="19"/>
  <c r="I564" i="19"/>
  <c r="J564" i="19"/>
  <c r="K564" i="19"/>
  <c r="L564" i="19"/>
  <c r="M564" i="19"/>
  <c r="H565" i="19"/>
  <c r="I565" i="19"/>
  <c r="J565" i="19"/>
  <c r="K565" i="19"/>
  <c r="L565" i="19"/>
  <c r="M565" i="19"/>
  <c r="H566" i="19"/>
  <c r="I566" i="19"/>
  <c r="J566" i="19"/>
  <c r="K566" i="19"/>
  <c r="L566" i="19"/>
  <c r="M566" i="19"/>
  <c r="H567" i="19"/>
  <c r="I567" i="19"/>
  <c r="J567" i="19"/>
  <c r="K567" i="19"/>
  <c r="L567" i="19"/>
  <c r="M567" i="19"/>
  <c r="H568" i="19"/>
  <c r="I568" i="19"/>
  <c r="J568" i="19"/>
  <c r="K568" i="19"/>
  <c r="L568" i="19"/>
  <c r="M568" i="19"/>
  <c r="H569" i="19"/>
  <c r="I569" i="19"/>
  <c r="J569" i="19"/>
  <c r="K569" i="19"/>
  <c r="L569" i="19"/>
  <c r="M569" i="19"/>
  <c r="H570" i="19"/>
  <c r="I570" i="19"/>
  <c r="J570" i="19"/>
  <c r="K570" i="19"/>
  <c r="L570" i="19"/>
  <c r="M570" i="19"/>
  <c r="H571" i="19"/>
  <c r="I571" i="19"/>
  <c r="J571" i="19"/>
  <c r="K571" i="19"/>
  <c r="L571" i="19"/>
  <c r="M571" i="19"/>
  <c r="H572" i="19"/>
  <c r="I572" i="19"/>
  <c r="J572" i="19"/>
  <c r="K572" i="19"/>
  <c r="L572" i="19"/>
  <c r="M572" i="19"/>
  <c r="I474" i="19"/>
  <c r="J474" i="19"/>
  <c r="K474" i="19"/>
  <c r="L474" i="19"/>
  <c r="M474" i="19"/>
  <c r="H474" i="19"/>
  <c r="C16" i="1"/>
  <c r="D16" i="1"/>
  <c r="E16" i="1"/>
  <c r="B7" i="1"/>
  <c r="E23" i="1" s="1"/>
  <c r="N149" i="20" l="1"/>
  <c r="AT51" i="19"/>
  <c r="AG51" i="19"/>
  <c r="CQ51" i="19"/>
  <c r="BI51" i="19"/>
  <c r="DC51" i="19"/>
  <c r="BW51" i="19"/>
  <c r="BB51" i="19"/>
  <c r="AH51" i="19"/>
  <c r="BF51" i="19"/>
  <c r="AX51" i="19"/>
  <c r="AW51" i="19"/>
  <c r="AO51" i="19"/>
  <c r="AN51" i="19"/>
  <c r="DE51" i="19"/>
  <c r="DD51" i="19"/>
  <c r="DA51" i="19"/>
  <c r="CZ51" i="19"/>
  <c r="CX51" i="19"/>
  <c r="CV51" i="19"/>
  <c r="CS51" i="19"/>
  <c r="CN51" i="19"/>
  <c r="CK51" i="19"/>
  <c r="CJ51" i="19"/>
  <c r="CH51" i="19"/>
  <c r="CF51" i="19"/>
  <c r="CC51" i="19"/>
  <c r="BZ51" i="19"/>
  <c r="BY51" i="19"/>
  <c r="BX51" i="19"/>
  <c r="BU51" i="19"/>
  <c r="BT51" i="19"/>
  <c r="BR51" i="19"/>
  <c r="BP51" i="19"/>
  <c r="BN51" i="19"/>
  <c r="BM51" i="19"/>
  <c r="AK143" i="20"/>
  <c r="M143" i="20" s="1"/>
  <c r="AK127" i="20"/>
  <c r="M127" i="20" s="1"/>
  <c r="AK115" i="20"/>
  <c r="M115" i="20" s="1"/>
  <c r="AK107" i="20"/>
  <c r="M107" i="20" s="1"/>
  <c r="AK99" i="20"/>
  <c r="M99" i="20" s="1"/>
  <c r="AK91" i="20"/>
  <c r="M91" i="20" s="1"/>
  <c r="AK87" i="20"/>
  <c r="M87" i="20" s="1"/>
  <c r="AK67" i="20"/>
  <c r="M67" i="20" s="1"/>
  <c r="D67" i="20" s="1"/>
  <c r="AK63" i="20"/>
  <c r="M63" i="20" s="1"/>
  <c r="AK51" i="20"/>
  <c r="M51" i="20" s="1"/>
  <c r="D51" i="20" s="1"/>
  <c r="AK35" i="20"/>
  <c r="M35" i="20" s="1"/>
  <c r="D35" i="20" s="1"/>
  <c r="AK27" i="20"/>
  <c r="M27" i="20" s="1"/>
  <c r="AK23" i="20"/>
  <c r="M23" i="20" s="1"/>
  <c r="F23" i="20" s="1"/>
  <c r="D115" i="20"/>
  <c r="L115" i="20"/>
  <c r="D127" i="20"/>
  <c r="H127" i="20"/>
  <c r="D99" i="20"/>
  <c r="L99" i="20"/>
  <c r="F35" i="20"/>
  <c r="L87" i="20"/>
  <c r="H81" i="20"/>
  <c r="F81" i="20"/>
  <c r="AK147" i="20"/>
  <c r="M147" i="20" s="1"/>
  <c r="AK131" i="20"/>
  <c r="M131" i="20" s="1"/>
  <c r="AK111" i="20"/>
  <c r="M111" i="20" s="1"/>
  <c r="F111" i="20" s="1"/>
  <c r="AK73" i="20"/>
  <c r="M73" i="20" s="1"/>
  <c r="H73" i="20" s="1"/>
  <c r="AK69" i="20"/>
  <c r="M69" i="20" s="1"/>
  <c r="L69" i="20" s="1"/>
  <c r="AK47" i="20"/>
  <c r="M47" i="20" s="1"/>
  <c r="F47" i="20" s="1"/>
  <c r="AK11" i="20"/>
  <c r="M11" i="20" s="1"/>
  <c r="L11" i="20" s="1"/>
  <c r="AK4" i="20"/>
  <c r="M4" i="20" s="1"/>
  <c r="J51" i="20"/>
  <c r="J35" i="20"/>
  <c r="J27" i="20"/>
  <c r="J23" i="20"/>
  <c r="J19" i="20"/>
  <c r="L143" i="20"/>
  <c r="L139" i="20"/>
  <c r="L67" i="20"/>
  <c r="L51" i="20"/>
  <c r="L35" i="20"/>
  <c r="L27" i="20"/>
  <c r="L19" i="20"/>
  <c r="H147" i="20"/>
  <c r="H139" i="20"/>
  <c r="H131" i="20"/>
  <c r="H4" i="20"/>
  <c r="H164" i="20" s="1"/>
  <c r="F69" i="20"/>
  <c r="AK135" i="20"/>
  <c r="M135" i="20" s="1"/>
  <c r="L135" i="20" s="1"/>
  <c r="AK119" i="20"/>
  <c r="M119" i="20" s="1"/>
  <c r="AK95" i="20"/>
  <c r="M95" i="20" s="1"/>
  <c r="L95" i="20" s="1"/>
  <c r="AK59" i="20"/>
  <c r="M59" i="20" s="1"/>
  <c r="D59" i="20" s="1"/>
  <c r="AK55" i="20"/>
  <c r="M55" i="20" s="1"/>
  <c r="D55" i="20" s="1"/>
  <c r="AK31" i="20"/>
  <c r="M31" i="20" s="1"/>
  <c r="J31" i="20" s="1"/>
  <c r="F67" i="20"/>
  <c r="F51" i="20"/>
  <c r="L127" i="20"/>
  <c r="L119" i="20"/>
  <c r="L81" i="20"/>
  <c r="H115" i="20"/>
  <c r="H107" i="20"/>
  <c r="H99" i="20"/>
  <c r="H91" i="20"/>
  <c r="H67" i="20"/>
  <c r="H59" i="20"/>
  <c r="H51" i="20"/>
  <c r="H35" i="20"/>
  <c r="H27" i="20"/>
  <c r="H19" i="20"/>
  <c r="F147" i="20"/>
  <c r="F139" i="20"/>
  <c r="F131" i="20"/>
  <c r="F127" i="20"/>
  <c r="F119" i="20"/>
  <c r="F115" i="20"/>
  <c r="F99" i="20"/>
  <c r="F95" i="20"/>
  <c r="F91" i="20"/>
  <c r="F87" i="20"/>
  <c r="AK123" i="20"/>
  <c r="M123" i="20" s="1"/>
  <c r="F123" i="20" s="1"/>
  <c r="AK103" i="20"/>
  <c r="M103" i="20" s="1"/>
  <c r="L103" i="20" s="1"/>
  <c r="AK77" i="20"/>
  <c r="M77" i="20" s="1"/>
  <c r="D77" i="20" s="1"/>
  <c r="AK43" i="20"/>
  <c r="M43" i="20" s="1"/>
  <c r="L43" i="20" s="1"/>
  <c r="AK39" i="20"/>
  <c r="M39" i="20" s="1"/>
  <c r="F39" i="20" s="1"/>
  <c r="AK15" i="20"/>
  <c r="M15" i="20" s="1"/>
  <c r="J15" i="20" s="1"/>
  <c r="BO16" i="19"/>
  <c r="BK16" i="19"/>
  <c r="BE16" i="19"/>
  <c r="AY16" i="19"/>
  <c r="N157" i="20"/>
  <c r="D143" i="20"/>
  <c r="F143" i="20"/>
  <c r="H143" i="20"/>
  <c r="D107" i="20"/>
  <c r="L107" i="20"/>
  <c r="F107" i="20"/>
  <c r="D91" i="20"/>
  <c r="L91" i="20"/>
  <c r="D87" i="20"/>
  <c r="H87" i="20"/>
  <c r="D63" i="20"/>
  <c r="L63" i="20"/>
  <c r="F63" i="20"/>
  <c r="H63" i="20"/>
  <c r="D27" i="20"/>
  <c r="F27" i="20"/>
  <c r="D23" i="20"/>
  <c r="L23" i="20"/>
  <c r="H23" i="20"/>
  <c r="BN16" i="19"/>
  <c r="BH16" i="19"/>
  <c r="BD16" i="19"/>
  <c r="D147" i="20"/>
  <c r="L147" i="20"/>
  <c r="D131" i="20"/>
  <c r="L131" i="20"/>
  <c r="H111" i="20"/>
  <c r="D73" i="20"/>
  <c r="F73" i="20"/>
  <c r="L73" i="20"/>
  <c r="D69" i="20"/>
  <c r="H69" i="20"/>
  <c r="D47" i="20"/>
  <c r="L47" i="20"/>
  <c r="H47" i="20"/>
  <c r="D4" i="20"/>
  <c r="D164" i="20" s="1"/>
  <c r="F4" i="20"/>
  <c r="F164" i="20" s="1"/>
  <c r="L4" i="20"/>
  <c r="L164" i="20" s="1"/>
  <c r="H135" i="20"/>
  <c r="D119" i="20"/>
  <c r="H119" i="20"/>
  <c r="D95" i="20"/>
  <c r="H95" i="20"/>
  <c r="H55" i="20"/>
  <c r="D31" i="20"/>
  <c r="L31" i="20"/>
  <c r="H31" i="20"/>
  <c r="D123" i="20"/>
  <c r="L123" i="20"/>
  <c r="D103" i="20"/>
  <c r="F103" i="20"/>
  <c r="H103" i="20"/>
  <c r="D43" i="20"/>
  <c r="F43" i="20"/>
  <c r="D39" i="20"/>
  <c r="L39" i="20"/>
  <c r="H39" i="20"/>
  <c r="D15" i="20"/>
  <c r="L15" i="20"/>
  <c r="F15" i="20"/>
  <c r="H15" i="20"/>
  <c r="AK145" i="20"/>
  <c r="M145" i="20" s="1"/>
  <c r="J145" i="20" s="1"/>
  <c r="AK129" i="20"/>
  <c r="M129" i="20" s="1"/>
  <c r="H129" i="20" s="1"/>
  <c r="AK113" i="20"/>
  <c r="M113" i="20" s="1"/>
  <c r="AK97" i="20"/>
  <c r="M97" i="20" s="1"/>
  <c r="H97" i="20" s="1"/>
  <c r="AK79" i="20"/>
  <c r="M79" i="20" s="1"/>
  <c r="J79" i="20" s="1"/>
  <c r="AK65" i="20"/>
  <c r="M65" i="20" s="1"/>
  <c r="H65" i="20" s="1"/>
  <c r="AK49" i="20"/>
  <c r="M49" i="20" s="1"/>
  <c r="AK33" i="20"/>
  <c r="M33" i="20" s="1"/>
  <c r="L33" i="20" s="1"/>
  <c r="AK17" i="20"/>
  <c r="M17" i="20" s="1"/>
  <c r="L17" i="20" s="1"/>
  <c r="AK141" i="20"/>
  <c r="M141" i="20" s="1"/>
  <c r="F141" i="20" s="1"/>
  <c r="AK125" i="20"/>
  <c r="M125" i="20" s="1"/>
  <c r="AK109" i="20"/>
  <c r="M109" i="20" s="1"/>
  <c r="L109" i="20" s="1"/>
  <c r="AK93" i="20"/>
  <c r="M93" i="20" s="1"/>
  <c r="AK85" i="20"/>
  <c r="M85" i="20" s="1"/>
  <c r="AK75" i="20"/>
  <c r="M75" i="20" s="1"/>
  <c r="AK45" i="20"/>
  <c r="M45" i="20" s="1"/>
  <c r="H45" i="20" s="1"/>
  <c r="AK29" i="20"/>
  <c r="M29" i="20" s="1"/>
  <c r="H29" i="20" s="1"/>
  <c r="AK13" i="20"/>
  <c r="M13" i="20" s="1"/>
  <c r="H13" i="20" s="1"/>
  <c r="AK163" i="20"/>
  <c r="M163" i="20" s="1"/>
  <c r="AK161" i="20"/>
  <c r="M161" i="20" s="1"/>
  <c r="D161" i="20" s="1"/>
  <c r="AK159" i="20"/>
  <c r="M159" i="20" s="1"/>
  <c r="F159" i="20" s="1"/>
  <c r="AK157" i="20"/>
  <c r="M157" i="20" s="1"/>
  <c r="AK155" i="20"/>
  <c r="M155" i="20" s="1"/>
  <c r="H155" i="20" s="1"/>
  <c r="AK153" i="20"/>
  <c r="M153" i="20" s="1"/>
  <c r="D153" i="20" s="1"/>
  <c r="AK151" i="20"/>
  <c r="M151" i="20" s="1"/>
  <c r="L151" i="20" s="1"/>
  <c r="AK149" i="20"/>
  <c r="M149" i="20" s="1"/>
  <c r="AK137" i="20"/>
  <c r="M137" i="20" s="1"/>
  <c r="L137" i="20" s="1"/>
  <c r="AK121" i="20"/>
  <c r="M121" i="20" s="1"/>
  <c r="H121" i="20" s="1"/>
  <c r="AK105" i="20"/>
  <c r="M105" i="20" s="1"/>
  <c r="AK89" i="20"/>
  <c r="M89" i="20" s="1"/>
  <c r="AK71" i="20"/>
  <c r="M71" i="20" s="1"/>
  <c r="AK57" i="20"/>
  <c r="M57" i="20" s="1"/>
  <c r="J57" i="20" s="1"/>
  <c r="AK41" i="20"/>
  <c r="M41" i="20" s="1"/>
  <c r="L41" i="20" s="1"/>
  <c r="AK25" i="20"/>
  <c r="M25" i="20" s="1"/>
  <c r="L25" i="20" s="1"/>
  <c r="AK9" i="20"/>
  <c r="M9" i="20" s="1"/>
  <c r="L9" i="20" s="1"/>
  <c r="AK7" i="20"/>
  <c r="M7" i="20" s="1"/>
  <c r="J7" i="20" s="1"/>
  <c r="AK5" i="20"/>
  <c r="M5" i="20" s="1"/>
  <c r="J5" i="20" s="1"/>
  <c r="J4" i="20"/>
  <c r="J164" i="20" s="1"/>
  <c r="AK133" i="20"/>
  <c r="M133" i="20" s="1"/>
  <c r="L133" i="20" s="1"/>
  <c r="AK117" i="20"/>
  <c r="M117" i="20" s="1"/>
  <c r="F117" i="20" s="1"/>
  <c r="AK101" i="20"/>
  <c r="M101" i="20" s="1"/>
  <c r="L101" i="20" s="1"/>
  <c r="AK83" i="20"/>
  <c r="M83" i="20" s="1"/>
  <c r="AK60" i="20"/>
  <c r="M60" i="20" s="1"/>
  <c r="J60" i="20" s="1"/>
  <c r="AK53" i="20"/>
  <c r="M53" i="20" s="1"/>
  <c r="F53" i="20" s="1"/>
  <c r="AK37" i="20"/>
  <c r="M37" i="20" s="1"/>
  <c r="H37" i="20" s="1"/>
  <c r="AK21" i="20"/>
  <c r="M21" i="20" s="1"/>
  <c r="H21" i="20" s="1"/>
  <c r="J163" i="20"/>
  <c r="N163" i="20"/>
  <c r="N161" i="20"/>
  <c r="J147" i="20"/>
  <c r="N147" i="20"/>
  <c r="N145" i="20"/>
  <c r="J143" i="20"/>
  <c r="N143" i="20"/>
  <c r="J141" i="20"/>
  <c r="N141" i="20"/>
  <c r="J139" i="20"/>
  <c r="N139" i="20"/>
  <c r="N137" i="20"/>
  <c r="J135" i="20"/>
  <c r="N135" i="20"/>
  <c r="N133" i="20"/>
  <c r="J131" i="20"/>
  <c r="N131" i="20"/>
  <c r="J129" i="20"/>
  <c r="N129" i="20"/>
  <c r="J127" i="20"/>
  <c r="N127" i="20"/>
  <c r="J125" i="20"/>
  <c r="N125" i="20"/>
  <c r="J123" i="20"/>
  <c r="N123" i="20"/>
  <c r="J121" i="20"/>
  <c r="N121" i="20"/>
  <c r="J119" i="20"/>
  <c r="N119" i="20"/>
  <c r="N117" i="20"/>
  <c r="J115" i="20"/>
  <c r="N115" i="20"/>
  <c r="J113" i="20"/>
  <c r="N113" i="20"/>
  <c r="N111" i="20"/>
  <c r="J109" i="20"/>
  <c r="N109" i="20"/>
  <c r="J107" i="20"/>
  <c r="N107" i="20"/>
  <c r="J105" i="20"/>
  <c r="N105" i="20"/>
  <c r="J103" i="20"/>
  <c r="N103" i="20"/>
  <c r="J101" i="20"/>
  <c r="N101" i="20"/>
  <c r="J99" i="20"/>
  <c r="N99" i="20"/>
  <c r="J97" i="20"/>
  <c r="N97" i="20"/>
  <c r="J95" i="20"/>
  <c r="N95" i="20"/>
  <c r="J93" i="20"/>
  <c r="N93" i="20"/>
  <c r="J91" i="20"/>
  <c r="N91" i="20"/>
  <c r="J89" i="20"/>
  <c r="N89" i="20"/>
  <c r="J87" i="20"/>
  <c r="N87" i="20"/>
  <c r="J85" i="20"/>
  <c r="N85" i="20"/>
  <c r="J83" i="20"/>
  <c r="N83" i="20"/>
  <c r="J81" i="20"/>
  <c r="N81" i="20"/>
  <c r="N79" i="20"/>
  <c r="J77" i="20"/>
  <c r="N77" i="20"/>
  <c r="J75" i="20"/>
  <c r="N75" i="20"/>
  <c r="J73" i="20"/>
  <c r="N73" i="20"/>
  <c r="J71" i="20"/>
  <c r="N71" i="20"/>
  <c r="J69" i="20"/>
  <c r="N69" i="20"/>
  <c r="J67" i="20"/>
  <c r="N67" i="20"/>
  <c r="J65" i="20"/>
  <c r="N65" i="20"/>
  <c r="J63" i="20"/>
  <c r="N63" i="20"/>
  <c r="N61" i="20"/>
  <c r="J59" i="20"/>
  <c r="N59" i="20"/>
  <c r="J155" i="20"/>
  <c r="N155" i="20"/>
  <c r="J153" i="20"/>
  <c r="N153" i="20"/>
  <c r="F41" i="20"/>
  <c r="D33" i="20"/>
  <c r="F33" i="20"/>
  <c r="D25" i="20"/>
  <c r="F25" i="20"/>
  <c r="D9" i="20"/>
  <c r="F9" i="20"/>
  <c r="D7" i="20"/>
  <c r="F7" i="20"/>
  <c r="F5" i="20"/>
  <c r="D45" i="20"/>
  <c r="F45" i="20"/>
  <c r="F37" i="20"/>
  <c r="D21" i="20"/>
  <c r="F21" i="20"/>
  <c r="D13" i="20"/>
  <c r="F13" i="20"/>
  <c r="AK162" i="20"/>
  <c r="M162" i="20" s="1"/>
  <c r="J162" i="20" s="1"/>
  <c r="AK158" i="20"/>
  <c r="M158" i="20" s="1"/>
  <c r="F158" i="20" s="1"/>
  <c r="AK154" i="20"/>
  <c r="M154" i="20" s="1"/>
  <c r="AK150" i="20"/>
  <c r="M150" i="20" s="1"/>
  <c r="AK144" i="20"/>
  <c r="M144" i="20" s="1"/>
  <c r="J144" i="20" s="1"/>
  <c r="AK140" i="20"/>
  <c r="M140" i="20" s="1"/>
  <c r="AK136" i="20"/>
  <c r="M136" i="20" s="1"/>
  <c r="J136" i="20" s="1"/>
  <c r="AK132" i="20"/>
  <c r="M132" i="20" s="1"/>
  <c r="AK128" i="20"/>
  <c r="M128" i="20" s="1"/>
  <c r="J128" i="20" s="1"/>
  <c r="AK124" i="20"/>
  <c r="M124" i="20" s="1"/>
  <c r="AK120" i="20"/>
  <c r="M120" i="20" s="1"/>
  <c r="J120" i="20" s="1"/>
  <c r="AK116" i="20"/>
  <c r="M116" i="20" s="1"/>
  <c r="AK112" i="20"/>
  <c r="M112" i="20" s="1"/>
  <c r="J112" i="20" s="1"/>
  <c r="AK108" i="20"/>
  <c r="M108" i="20" s="1"/>
  <c r="AK104" i="20"/>
  <c r="M104" i="20" s="1"/>
  <c r="J104" i="20" s="1"/>
  <c r="AK100" i="20"/>
  <c r="M100" i="20" s="1"/>
  <c r="AK96" i="20"/>
  <c r="M96" i="20" s="1"/>
  <c r="J96" i="20" s="1"/>
  <c r="AK92" i="20"/>
  <c r="M92" i="20" s="1"/>
  <c r="AK88" i="20"/>
  <c r="M88" i="20" s="1"/>
  <c r="J88" i="20" s="1"/>
  <c r="AK84" i="20"/>
  <c r="M84" i="20" s="1"/>
  <c r="AK80" i="20"/>
  <c r="M80" i="20" s="1"/>
  <c r="J80" i="20" s="1"/>
  <c r="AK76" i="20"/>
  <c r="M76" i="20" s="1"/>
  <c r="AK72" i="20"/>
  <c r="M72" i="20" s="1"/>
  <c r="J72" i="20" s="1"/>
  <c r="AK68" i="20"/>
  <c r="M68" i="20" s="1"/>
  <c r="AK64" i="20"/>
  <c r="M64" i="20" s="1"/>
  <c r="J64" i="20" s="1"/>
  <c r="AK56" i="20"/>
  <c r="M56" i="20" s="1"/>
  <c r="AK52" i="20"/>
  <c r="M52" i="20" s="1"/>
  <c r="AK48" i="20"/>
  <c r="M48" i="20" s="1"/>
  <c r="AK44" i="20"/>
  <c r="M44" i="20" s="1"/>
  <c r="AK40" i="20"/>
  <c r="M40" i="20" s="1"/>
  <c r="AK36" i="20"/>
  <c r="M36" i="20" s="1"/>
  <c r="AK32" i="20"/>
  <c r="M32" i="20" s="1"/>
  <c r="AK28" i="20"/>
  <c r="M28" i="20" s="1"/>
  <c r="AK24" i="20"/>
  <c r="M24" i="20" s="1"/>
  <c r="AK20" i="20"/>
  <c r="M20" i="20" s="1"/>
  <c r="AK16" i="20"/>
  <c r="M16" i="20" s="1"/>
  <c r="AK12" i="20"/>
  <c r="M12" i="20" s="1"/>
  <c r="AK8" i="20"/>
  <c r="M8" i="20" s="1"/>
  <c r="AK160" i="20"/>
  <c r="M160" i="20" s="1"/>
  <c r="D160" i="20" s="1"/>
  <c r="AK156" i="20"/>
  <c r="M156" i="20" s="1"/>
  <c r="D156" i="20" s="1"/>
  <c r="AK152" i="20"/>
  <c r="M152" i="20" s="1"/>
  <c r="F152" i="20" s="1"/>
  <c r="AK148" i="20"/>
  <c r="M148" i="20" s="1"/>
  <c r="D148" i="20" s="1"/>
  <c r="AK146" i="20"/>
  <c r="M146" i="20" s="1"/>
  <c r="AK142" i="20"/>
  <c r="M142" i="20" s="1"/>
  <c r="AK138" i="20"/>
  <c r="M138" i="20" s="1"/>
  <c r="AK134" i="20"/>
  <c r="M134" i="20" s="1"/>
  <c r="AK130" i="20"/>
  <c r="M130" i="20" s="1"/>
  <c r="AK126" i="20"/>
  <c r="M126" i="20" s="1"/>
  <c r="AK122" i="20"/>
  <c r="M122" i="20" s="1"/>
  <c r="AK118" i="20"/>
  <c r="M118" i="20" s="1"/>
  <c r="AK114" i="20"/>
  <c r="M114" i="20" s="1"/>
  <c r="AK110" i="20"/>
  <c r="M110" i="20" s="1"/>
  <c r="AK106" i="20"/>
  <c r="M106" i="20" s="1"/>
  <c r="AK102" i="20"/>
  <c r="M102" i="20" s="1"/>
  <c r="AK98" i="20"/>
  <c r="M98" i="20" s="1"/>
  <c r="AK94" i="20"/>
  <c r="M94" i="20" s="1"/>
  <c r="AK90" i="20"/>
  <c r="M90" i="20" s="1"/>
  <c r="AK86" i="20"/>
  <c r="M86" i="20" s="1"/>
  <c r="AK82" i="20"/>
  <c r="M82" i="20" s="1"/>
  <c r="AK78" i="20"/>
  <c r="M78" i="20" s="1"/>
  <c r="AK74" i="20"/>
  <c r="M74" i="20" s="1"/>
  <c r="AK70" i="20"/>
  <c r="M70" i="20" s="1"/>
  <c r="AK66" i="20"/>
  <c r="M66" i="20" s="1"/>
  <c r="AK62" i="20"/>
  <c r="M62" i="20" s="1"/>
  <c r="AK61" i="20"/>
  <c r="M61" i="20" s="1"/>
  <c r="J61" i="20" s="1"/>
  <c r="AK58" i="20"/>
  <c r="M58" i="20" s="1"/>
  <c r="J58" i="20" s="1"/>
  <c r="AK54" i="20"/>
  <c r="M54" i="20" s="1"/>
  <c r="J54" i="20" s="1"/>
  <c r="AK50" i="20"/>
  <c r="M50" i="20" s="1"/>
  <c r="J50" i="20" s="1"/>
  <c r="AK46" i="20"/>
  <c r="M46" i="20" s="1"/>
  <c r="J46" i="20" s="1"/>
  <c r="AK42" i="20"/>
  <c r="M42" i="20" s="1"/>
  <c r="AK38" i="20"/>
  <c r="M38" i="20" s="1"/>
  <c r="J38" i="20" s="1"/>
  <c r="AK34" i="20"/>
  <c r="M34" i="20" s="1"/>
  <c r="J34" i="20" s="1"/>
  <c r="AK30" i="20"/>
  <c r="M30" i="20" s="1"/>
  <c r="J30" i="20" s="1"/>
  <c r="AK26" i="20"/>
  <c r="M26" i="20" s="1"/>
  <c r="AK22" i="20"/>
  <c r="M22" i="20" s="1"/>
  <c r="J22" i="20" s="1"/>
  <c r="AK18" i="20"/>
  <c r="M18" i="20" s="1"/>
  <c r="J18" i="20" s="1"/>
  <c r="AK14" i="20"/>
  <c r="M14" i="20" s="1"/>
  <c r="J14" i="20" s="1"/>
  <c r="AK10" i="20"/>
  <c r="M10" i="20" s="1"/>
  <c r="AK6" i="20"/>
  <c r="M6" i="20" s="1"/>
  <c r="J6" i="20" s="1"/>
  <c r="H160" i="20"/>
  <c r="J160" i="20"/>
  <c r="F160" i="20"/>
  <c r="H156" i="20"/>
  <c r="F156" i="20"/>
  <c r="D152" i="20"/>
  <c r="J152" i="20"/>
  <c r="L152" i="20"/>
  <c r="F162" i="20"/>
  <c r="F161" i="20"/>
  <c r="F157" i="20"/>
  <c r="F154" i="20"/>
  <c r="F153" i="20"/>
  <c r="F150" i="20"/>
  <c r="F149" i="20"/>
  <c r="H123" i="20" l="1"/>
  <c r="J39" i="20"/>
  <c r="F31" i="20"/>
  <c r="J55" i="20"/>
  <c r="D37" i="20"/>
  <c r="D5" i="20"/>
  <c r="D41" i="20"/>
  <c r="F55" i="20"/>
  <c r="F135" i="20"/>
  <c r="D111" i="20"/>
  <c r="L59" i="20"/>
  <c r="J11" i="20"/>
  <c r="J43" i="20"/>
  <c r="F148" i="20"/>
  <c r="H152" i="20"/>
  <c r="L160" i="20"/>
  <c r="F29" i="20"/>
  <c r="F17" i="20"/>
  <c r="J111" i="20"/>
  <c r="H77" i="20"/>
  <c r="L55" i="20"/>
  <c r="D135" i="20"/>
  <c r="F11" i="20"/>
  <c r="L111" i="20"/>
  <c r="F77" i="20"/>
  <c r="J47" i="20"/>
  <c r="L77" i="20"/>
  <c r="H148" i="20"/>
  <c r="D29" i="20"/>
  <c r="D17" i="20"/>
  <c r="D11" i="20"/>
  <c r="H11" i="20"/>
  <c r="H43" i="20"/>
  <c r="F59" i="20"/>
  <c r="D83" i="20"/>
  <c r="H83" i="20"/>
  <c r="L83" i="20"/>
  <c r="D89" i="20"/>
  <c r="F89" i="20"/>
  <c r="L89" i="20"/>
  <c r="D149" i="20"/>
  <c r="H149" i="20"/>
  <c r="L149" i="20"/>
  <c r="J149" i="20"/>
  <c r="D157" i="20"/>
  <c r="H157" i="20"/>
  <c r="L157" i="20"/>
  <c r="D75" i="20"/>
  <c r="H75" i="20"/>
  <c r="L75" i="20"/>
  <c r="D125" i="20"/>
  <c r="H125" i="20"/>
  <c r="L125" i="20"/>
  <c r="D49" i="20"/>
  <c r="F49" i="20"/>
  <c r="L49" i="20"/>
  <c r="D113" i="20"/>
  <c r="F113" i="20"/>
  <c r="F109" i="20"/>
  <c r="H33" i="20"/>
  <c r="H113" i="20"/>
  <c r="L129" i="20"/>
  <c r="H161" i="20"/>
  <c r="L37" i="20"/>
  <c r="J9" i="20"/>
  <c r="J25" i="20"/>
  <c r="J41" i="20"/>
  <c r="J117" i="20"/>
  <c r="J133" i="20"/>
  <c r="J137" i="20"/>
  <c r="J161" i="20"/>
  <c r="D101" i="20"/>
  <c r="H101" i="20"/>
  <c r="H5" i="20"/>
  <c r="L5" i="20"/>
  <c r="D105" i="20"/>
  <c r="F105" i="20"/>
  <c r="D151" i="20"/>
  <c r="F151" i="20"/>
  <c r="H151" i="20"/>
  <c r="J151" i="20"/>
  <c r="D159" i="20"/>
  <c r="H159" i="20"/>
  <c r="J159" i="20"/>
  <c r="D85" i="20"/>
  <c r="H85" i="20"/>
  <c r="D141" i="20"/>
  <c r="H141" i="20"/>
  <c r="L141" i="20"/>
  <c r="D65" i="20"/>
  <c r="F65" i="20"/>
  <c r="L65" i="20"/>
  <c r="D129" i="20"/>
  <c r="F129" i="20"/>
  <c r="L85" i="20"/>
  <c r="L105" i="20"/>
  <c r="F85" i="20"/>
  <c r="H9" i="20"/>
  <c r="H41" i="20"/>
  <c r="H89" i="20"/>
  <c r="H137" i="20"/>
  <c r="L13" i="20"/>
  <c r="L45" i="20"/>
  <c r="J13" i="20"/>
  <c r="J29" i="20"/>
  <c r="J45" i="20"/>
  <c r="D53" i="20"/>
  <c r="H53" i="20"/>
  <c r="L53" i="20"/>
  <c r="D117" i="20"/>
  <c r="H117" i="20"/>
  <c r="L7" i="20"/>
  <c r="H7" i="20"/>
  <c r="D57" i="20"/>
  <c r="F57" i="20"/>
  <c r="L57" i="20"/>
  <c r="D121" i="20"/>
  <c r="F121" i="20"/>
  <c r="D93" i="20"/>
  <c r="H93" i="20"/>
  <c r="D79" i="20"/>
  <c r="L79" i="20"/>
  <c r="F79" i="20"/>
  <c r="H79" i="20"/>
  <c r="D145" i="20"/>
  <c r="F145" i="20"/>
  <c r="L93" i="20"/>
  <c r="F93" i="20"/>
  <c r="F125" i="20"/>
  <c r="H17" i="20"/>
  <c r="H49" i="20"/>
  <c r="L117" i="20"/>
  <c r="H145" i="20"/>
  <c r="L21" i="20"/>
  <c r="L145" i="20"/>
  <c r="J17" i="20"/>
  <c r="J33" i="20"/>
  <c r="J49" i="20"/>
  <c r="L161" i="20"/>
  <c r="D60" i="20"/>
  <c r="L60" i="20"/>
  <c r="F60" i="20"/>
  <c r="H60" i="20"/>
  <c r="D133" i="20"/>
  <c r="H133" i="20"/>
  <c r="D71" i="20"/>
  <c r="L71" i="20"/>
  <c r="F71" i="20"/>
  <c r="H71" i="20"/>
  <c r="D137" i="20"/>
  <c r="F137" i="20"/>
  <c r="D155" i="20"/>
  <c r="F155" i="20"/>
  <c r="L155" i="20"/>
  <c r="D163" i="20"/>
  <c r="F163" i="20"/>
  <c r="L163" i="20"/>
  <c r="D109" i="20"/>
  <c r="H109" i="20"/>
  <c r="D97" i="20"/>
  <c r="F97" i="20"/>
  <c r="L97" i="20"/>
  <c r="F83" i="20"/>
  <c r="H163" i="20"/>
  <c r="L113" i="20"/>
  <c r="F101" i="20"/>
  <c r="F133" i="20"/>
  <c r="H25" i="20"/>
  <c r="H57" i="20"/>
  <c r="H105" i="20"/>
  <c r="L121" i="20"/>
  <c r="L159" i="20"/>
  <c r="F75" i="20"/>
  <c r="H153" i="20"/>
  <c r="L29" i="20"/>
  <c r="L153" i="20"/>
  <c r="J21" i="20"/>
  <c r="J37" i="20"/>
  <c r="J53" i="20"/>
  <c r="J157" i="20"/>
  <c r="D10" i="20"/>
  <c r="F10" i="20"/>
  <c r="H10" i="20"/>
  <c r="L10" i="20"/>
  <c r="D26" i="20"/>
  <c r="F26" i="20"/>
  <c r="H26" i="20"/>
  <c r="L26" i="20"/>
  <c r="D42" i="20"/>
  <c r="F42" i="20"/>
  <c r="H42" i="20"/>
  <c r="L42" i="20"/>
  <c r="D62" i="20"/>
  <c r="F62" i="20"/>
  <c r="H62" i="20"/>
  <c r="L62" i="20"/>
  <c r="D78" i="20"/>
  <c r="F78" i="20"/>
  <c r="H78" i="20"/>
  <c r="L78" i="20"/>
  <c r="D94" i="20"/>
  <c r="F94" i="20"/>
  <c r="H94" i="20"/>
  <c r="L94" i="20"/>
  <c r="D110" i="20"/>
  <c r="F110" i="20"/>
  <c r="H110" i="20"/>
  <c r="L110" i="20"/>
  <c r="D118" i="20"/>
  <c r="F118" i="20"/>
  <c r="H118" i="20"/>
  <c r="L118" i="20"/>
  <c r="D134" i="20"/>
  <c r="F134" i="20"/>
  <c r="H134" i="20"/>
  <c r="L134" i="20"/>
  <c r="D142" i="20"/>
  <c r="F142" i="20"/>
  <c r="H142" i="20"/>
  <c r="L142" i="20"/>
  <c r="D8" i="20"/>
  <c r="F8" i="20"/>
  <c r="H8" i="20"/>
  <c r="L8" i="20"/>
  <c r="D16" i="20"/>
  <c r="F16" i="20"/>
  <c r="H16" i="20"/>
  <c r="L16" i="20"/>
  <c r="D24" i="20"/>
  <c r="F24" i="20"/>
  <c r="H24" i="20"/>
  <c r="L24" i="20"/>
  <c r="D32" i="20"/>
  <c r="F32" i="20"/>
  <c r="H32" i="20"/>
  <c r="L32" i="20"/>
  <c r="D40" i="20"/>
  <c r="F40" i="20"/>
  <c r="H40" i="20"/>
  <c r="L40" i="20"/>
  <c r="D48" i="20"/>
  <c r="F48" i="20"/>
  <c r="H48" i="20"/>
  <c r="L48" i="20"/>
  <c r="D56" i="20"/>
  <c r="F56" i="20"/>
  <c r="H56" i="20"/>
  <c r="L56" i="20"/>
  <c r="D68" i="20"/>
  <c r="F68" i="20"/>
  <c r="H68" i="20"/>
  <c r="L68" i="20"/>
  <c r="D76" i="20"/>
  <c r="F76" i="20"/>
  <c r="H76" i="20"/>
  <c r="L76" i="20"/>
  <c r="D84" i="20"/>
  <c r="F84" i="20"/>
  <c r="H84" i="20"/>
  <c r="L84" i="20"/>
  <c r="D92" i="20"/>
  <c r="F92" i="20"/>
  <c r="H92" i="20"/>
  <c r="L92" i="20"/>
  <c r="D100" i="20"/>
  <c r="F100" i="20"/>
  <c r="H100" i="20"/>
  <c r="L100" i="20"/>
  <c r="D108" i="20"/>
  <c r="F108" i="20"/>
  <c r="H108" i="20"/>
  <c r="L108" i="20"/>
  <c r="D116" i="20"/>
  <c r="F116" i="20"/>
  <c r="H116" i="20"/>
  <c r="L116" i="20"/>
  <c r="D124" i="20"/>
  <c r="F124" i="20"/>
  <c r="H124" i="20"/>
  <c r="L124" i="20"/>
  <c r="D132" i="20"/>
  <c r="F132" i="20"/>
  <c r="H132" i="20"/>
  <c r="L132" i="20"/>
  <c r="D140" i="20"/>
  <c r="F140" i="20"/>
  <c r="H140" i="20"/>
  <c r="L140" i="20"/>
  <c r="D150" i="20"/>
  <c r="H150" i="20"/>
  <c r="L150" i="20"/>
  <c r="J150" i="20"/>
  <c r="D158" i="20"/>
  <c r="H158" i="20"/>
  <c r="L158" i="20"/>
  <c r="J158" i="20"/>
  <c r="J10" i="20"/>
  <c r="J26" i="20"/>
  <c r="J42" i="20"/>
  <c r="J68" i="20"/>
  <c r="J76" i="20"/>
  <c r="J84" i="20"/>
  <c r="J92" i="20"/>
  <c r="J100" i="20"/>
  <c r="J108" i="20"/>
  <c r="J116" i="20"/>
  <c r="J124" i="20"/>
  <c r="J132" i="20"/>
  <c r="J140" i="20"/>
  <c r="D18" i="20"/>
  <c r="F18" i="20"/>
  <c r="H18" i="20"/>
  <c r="L18" i="20"/>
  <c r="D34" i="20"/>
  <c r="F34" i="20"/>
  <c r="H34" i="20"/>
  <c r="L34" i="20"/>
  <c r="D50" i="20"/>
  <c r="F50" i="20"/>
  <c r="H50" i="20"/>
  <c r="L50" i="20"/>
  <c r="D58" i="20"/>
  <c r="F58" i="20"/>
  <c r="H58" i="20"/>
  <c r="L58" i="20"/>
  <c r="D70" i="20"/>
  <c r="F70" i="20"/>
  <c r="H70" i="20"/>
  <c r="L70" i="20"/>
  <c r="D86" i="20"/>
  <c r="F86" i="20"/>
  <c r="H86" i="20"/>
  <c r="L86" i="20"/>
  <c r="D102" i="20"/>
  <c r="F102" i="20"/>
  <c r="H102" i="20"/>
  <c r="L102" i="20"/>
  <c r="D126" i="20"/>
  <c r="F126" i="20"/>
  <c r="H126" i="20"/>
  <c r="L126" i="20"/>
  <c r="L148" i="20"/>
  <c r="J148" i="20"/>
  <c r="L156" i="20"/>
  <c r="J156" i="20"/>
  <c r="D6" i="20"/>
  <c r="F6" i="20"/>
  <c r="H6" i="20"/>
  <c r="L6" i="20"/>
  <c r="D14" i="20"/>
  <c r="F14" i="20"/>
  <c r="H14" i="20"/>
  <c r="L14" i="20"/>
  <c r="D22" i="20"/>
  <c r="F22" i="20"/>
  <c r="H22" i="20"/>
  <c r="L22" i="20"/>
  <c r="D30" i="20"/>
  <c r="F30" i="20"/>
  <c r="H30" i="20"/>
  <c r="L30" i="20"/>
  <c r="D38" i="20"/>
  <c r="F38" i="20"/>
  <c r="H38" i="20"/>
  <c r="L38" i="20"/>
  <c r="D46" i="20"/>
  <c r="F46" i="20"/>
  <c r="H46" i="20"/>
  <c r="L46" i="20"/>
  <c r="D54" i="20"/>
  <c r="F54" i="20"/>
  <c r="H54" i="20"/>
  <c r="L54" i="20"/>
  <c r="D61" i="20"/>
  <c r="F61" i="20"/>
  <c r="H61" i="20"/>
  <c r="L61" i="20"/>
  <c r="D66" i="20"/>
  <c r="F66" i="20"/>
  <c r="H66" i="20"/>
  <c r="L66" i="20"/>
  <c r="D74" i="20"/>
  <c r="F74" i="20"/>
  <c r="H74" i="20"/>
  <c r="L74" i="20"/>
  <c r="D82" i="20"/>
  <c r="F82" i="20"/>
  <c r="H82" i="20"/>
  <c r="L82" i="20"/>
  <c r="D90" i="20"/>
  <c r="F90" i="20"/>
  <c r="H90" i="20"/>
  <c r="L90" i="20"/>
  <c r="D98" i="20"/>
  <c r="F98" i="20"/>
  <c r="H98" i="20"/>
  <c r="L98" i="20"/>
  <c r="D106" i="20"/>
  <c r="F106" i="20"/>
  <c r="H106" i="20"/>
  <c r="L106" i="20"/>
  <c r="D114" i="20"/>
  <c r="F114" i="20"/>
  <c r="H114" i="20"/>
  <c r="L114" i="20"/>
  <c r="D122" i="20"/>
  <c r="F122" i="20"/>
  <c r="H122" i="20"/>
  <c r="L122" i="20"/>
  <c r="D130" i="20"/>
  <c r="F130" i="20"/>
  <c r="H130" i="20"/>
  <c r="L130" i="20"/>
  <c r="D138" i="20"/>
  <c r="F138" i="20"/>
  <c r="H138" i="20"/>
  <c r="L138" i="20"/>
  <c r="D146" i="20"/>
  <c r="F146" i="20"/>
  <c r="H146" i="20"/>
  <c r="L146" i="20"/>
  <c r="D12" i="20"/>
  <c r="F12" i="20"/>
  <c r="H12" i="20"/>
  <c r="L12" i="20"/>
  <c r="D20" i="20"/>
  <c r="F20" i="20"/>
  <c r="H20" i="20"/>
  <c r="L20" i="20"/>
  <c r="D28" i="20"/>
  <c r="F28" i="20"/>
  <c r="H28" i="20"/>
  <c r="L28" i="20"/>
  <c r="D36" i="20"/>
  <c r="F36" i="20"/>
  <c r="H36" i="20"/>
  <c r="L36" i="20"/>
  <c r="D44" i="20"/>
  <c r="F44" i="20"/>
  <c r="H44" i="20"/>
  <c r="L44" i="20"/>
  <c r="D52" i="20"/>
  <c r="F52" i="20"/>
  <c r="H52" i="20"/>
  <c r="L52" i="20"/>
  <c r="D64" i="20"/>
  <c r="F64" i="20"/>
  <c r="H64" i="20"/>
  <c r="L64" i="20"/>
  <c r="D72" i="20"/>
  <c r="F72" i="20"/>
  <c r="H72" i="20"/>
  <c r="L72" i="20"/>
  <c r="D80" i="20"/>
  <c r="F80" i="20"/>
  <c r="H80" i="20"/>
  <c r="L80" i="20"/>
  <c r="D88" i="20"/>
  <c r="F88" i="20"/>
  <c r="H88" i="20"/>
  <c r="L88" i="20"/>
  <c r="D96" i="20"/>
  <c r="F96" i="20"/>
  <c r="H96" i="20"/>
  <c r="L96" i="20"/>
  <c r="D104" i="20"/>
  <c r="F104" i="20"/>
  <c r="H104" i="20"/>
  <c r="L104" i="20"/>
  <c r="D112" i="20"/>
  <c r="F112" i="20"/>
  <c r="H112" i="20"/>
  <c r="L112" i="20"/>
  <c r="D120" i="20"/>
  <c r="F120" i="20"/>
  <c r="H120" i="20"/>
  <c r="L120" i="20"/>
  <c r="D128" i="20"/>
  <c r="F128" i="20"/>
  <c r="H128" i="20"/>
  <c r="L128" i="20"/>
  <c r="D136" i="20"/>
  <c r="F136" i="20"/>
  <c r="H136" i="20"/>
  <c r="L136" i="20"/>
  <c r="D144" i="20"/>
  <c r="F144" i="20"/>
  <c r="H144" i="20"/>
  <c r="L144" i="20"/>
  <c r="D154" i="20"/>
  <c r="H154" i="20"/>
  <c r="L154" i="20"/>
  <c r="D162" i="20"/>
  <c r="H162" i="20"/>
  <c r="L162" i="20"/>
  <c r="J8" i="20"/>
  <c r="J12" i="20"/>
  <c r="J16" i="20"/>
  <c r="J20" i="20"/>
  <c r="J24" i="20"/>
  <c r="J28" i="20"/>
  <c r="J32" i="20"/>
  <c r="J36" i="20"/>
  <c r="J40" i="20"/>
  <c r="J44" i="20"/>
  <c r="J48" i="20"/>
  <c r="J52" i="20"/>
  <c r="J56" i="20"/>
  <c r="J62" i="20"/>
  <c r="J66" i="20"/>
  <c r="J70" i="20"/>
  <c r="J74" i="20"/>
  <c r="J78" i="20"/>
  <c r="J82" i="20"/>
  <c r="J86" i="20"/>
  <c r="J90" i="20"/>
  <c r="J94" i="20"/>
  <c r="J98" i="20"/>
  <c r="J102" i="20"/>
  <c r="J106" i="20"/>
  <c r="J110" i="20"/>
  <c r="J114" i="20"/>
  <c r="J118" i="20"/>
  <c r="J122" i="20"/>
  <c r="J126" i="20"/>
  <c r="J130" i="20"/>
  <c r="J134" i="20"/>
  <c r="J138" i="20"/>
  <c r="J142" i="20"/>
  <c r="J146" i="20"/>
  <c r="J15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 COSTA</author>
    <author>Utente</author>
    <author>antonio costa</author>
  </authors>
  <commentList>
    <comment ref="B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ANTONIO COSTA:
ONLY CAPITAL LETTER FLAG!!!!</t>
        </r>
      </text>
    </comment>
    <comment ref="E11" authorId="1" shapeId="0" xr:uid="{00000000-0006-0000-0000-000002000000}">
      <text>
        <r>
          <rPr>
            <b/>
            <sz val="8"/>
            <color indexed="81"/>
            <rFont val="Tahoma"/>
            <family val="2"/>
          </rPr>
          <t>Utente:</t>
        </r>
        <r>
          <rPr>
            <sz val="8"/>
            <color indexed="81"/>
            <rFont val="Tahoma"/>
            <family val="2"/>
          </rPr>
          <t xml:space="preserve">
-</t>
        </r>
        <r>
          <rPr>
            <sz val="12"/>
            <color indexed="81"/>
            <rFont val="Tahoma"/>
            <family val="2"/>
          </rPr>
          <t>(no,no)=0,99
-(si,no)=0,8
-(si,si)=0,5</t>
        </r>
      </text>
    </comment>
    <comment ref="U22" authorId="2" shapeId="0" xr:uid="{00000000-0006-0000-0000-000003000000}">
      <text>
        <r>
          <rPr>
            <b/>
            <sz val="11"/>
            <color indexed="81"/>
            <rFont val="Tahoma"/>
            <family val="2"/>
          </rPr>
          <t>BIL=1;
SBIL_I=21
SBIL_C=41
SBIL_F=61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ALL=1</t>
        </r>
      </text>
    </comment>
    <comment ref="V22" authorId="2" shapeId="0" xr:uid="{00000000-0006-0000-0000-000004000000}">
      <text>
        <r>
          <rPr>
            <b/>
            <sz val="11"/>
            <color indexed="81"/>
            <rFont val="Tahoma"/>
            <family val="2"/>
          </rPr>
          <t>BIL=20
SBIL_I=40
SBIL_C=60
SBIL_F=80
ALL=80</t>
        </r>
      </text>
    </comment>
    <comment ref="P27" authorId="2" shapeId="0" xr:uid="{00000000-0006-0000-0000-000005000000}">
      <text>
        <r>
          <rPr>
            <b/>
            <sz val="8"/>
            <color indexed="81"/>
            <rFont val="Tahoma"/>
            <family val="2"/>
          </rPr>
          <t>antonio costa:</t>
        </r>
        <r>
          <rPr>
            <sz val="8"/>
            <color indexed="81"/>
            <rFont val="Tahoma"/>
            <family val="2"/>
          </rPr>
          <t xml:space="preserve">
Se "SI" sviluppa tutti gli esperiemnti anche al variare degli algoritmi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 costa</author>
  </authors>
  <commentList>
    <comment ref="B4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antonio costa:</t>
        </r>
        <r>
          <rPr>
            <sz val="8"/>
            <color indexed="81"/>
            <rFont val="Tahoma"/>
            <family val="2"/>
          </rPr>
          <t xml:space="preserve">
1= TETA*  90%
2= TETA*  70%</t>
        </r>
      </text>
    </comment>
  </commentList>
</comments>
</file>

<file path=xl/sharedStrings.xml><?xml version="1.0" encoding="utf-8"?>
<sst xmlns="http://schemas.openxmlformats.org/spreadsheetml/2006/main" count="916" uniqueCount="346">
  <si>
    <t>FLOW LINE BUFFER SIZE OPTIMIZATION</t>
  </si>
  <si>
    <t>JOBS</t>
  </si>
  <si>
    <t>WORKSTATIONS</t>
  </si>
  <si>
    <t>Process times</t>
  </si>
  <si>
    <t>buffer size</t>
  </si>
  <si>
    <t>Settings:</t>
  </si>
  <si>
    <t># jobs</t>
  </si>
  <si>
    <t># ws</t>
  </si>
  <si>
    <t># buffer</t>
  </si>
  <si>
    <t>unit cost</t>
  </si>
  <si>
    <t>TETA=</t>
  </si>
  <si>
    <t>pz/ut</t>
  </si>
  <si>
    <t>MAKE=</t>
  </si>
  <si>
    <t>time</t>
  </si>
  <si>
    <t>uc</t>
  </si>
  <si>
    <t>Costo_buff=</t>
  </si>
  <si>
    <t>PSO</t>
  </si>
  <si>
    <t>POP=</t>
  </si>
  <si>
    <t>EVAL=</t>
  </si>
  <si>
    <t>C1=</t>
  </si>
  <si>
    <t>C2=</t>
  </si>
  <si>
    <t>beta=</t>
  </si>
  <si>
    <t>alfa=</t>
  </si>
  <si>
    <t>W=</t>
  </si>
  <si>
    <t>Vmax=</t>
  </si>
  <si>
    <t>Vmin=</t>
  </si>
  <si>
    <t>TETA</t>
  </si>
  <si>
    <t>FITNESS=</t>
  </si>
  <si>
    <t>RESULTS</t>
  </si>
  <si>
    <t>TETA_star=</t>
  </si>
  <si>
    <t>d=</t>
  </si>
  <si>
    <t>PLOT ITER</t>
  </si>
  <si>
    <t>MAKE</t>
  </si>
  <si>
    <t>CB 1</t>
  </si>
  <si>
    <t>CB 2</t>
  </si>
  <si>
    <t>COST</t>
  </si>
  <si>
    <t>FITNESS</t>
  </si>
  <si>
    <t>CB1</t>
  </si>
  <si>
    <t>CB2</t>
  </si>
  <si>
    <t>buff size (MI)</t>
  </si>
  <si>
    <t>ITER=</t>
  </si>
  <si>
    <t>CB3</t>
  </si>
  <si>
    <t>CB4</t>
  </si>
  <si>
    <t>CB5</t>
  </si>
  <si>
    <t>CB6</t>
  </si>
  <si>
    <t>CB7</t>
  </si>
  <si>
    <t>CB8</t>
  </si>
  <si>
    <t>CB9</t>
  </si>
  <si>
    <t>CB10</t>
  </si>
  <si>
    <t>UB</t>
  </si>
  <si>
    <t>LB</t>
  </si>
  <si>
    <t>BOUNDS</t>
  </si>
  <si>
    <t>NO</t>
  </si>
  <si>
    <t>CB 3</t>
  </si>
  <si>
    <t>CB 4</t>
  </si>
  <si>
    <t>APPROX SOLUT.</t>
  </si>
  <si>
    <t>APPROX INCLUD</t>
  </si>
  <si>
    <t>comp. time (s)</t>
  </si>
  <si>
    <t>GA</t>
  </si>
  <si>
    <t>Pcr</t>
  </si>
  <si>
    <t>Pm</t>
  </si>
  <si>
    <t>max_it</t>
  </si>
  <si>
    <t>JOB</t>
  </si>
  <si>
    <t>WS</t>
  </si>
  <si>
    <t>Inst</t>
  </si>
  <si>
    <t>run</t>
  </si>
  <si>
    <t>CB 5</t>
  </si>
  <si>
    <t>CB 6</t>
  </si>
  <si>
    <t>CB 7</t>
  </si>
  <si>
    <t>Version:</t>
  </si>
  <si>
    <t>Problem type:</t>
  </si>
  <si>
    <t>Algorithm:</t>
  </si>
  <si>
    <t>Population:</t>
  </si>
  <si>
    <t>Chromosome Size:</t>
  </si>
  <si>
    <t>Genes Range:</t>
  </si>
  <si>
    <t>Gene Cell:</t>
  </si>
  <si>
    <t>Gene Type:</t>
  </si>
  <si>
    <t>Gene Lower Bound:</t>
  </si>
  <si>
    <t>Gene Upper Bound:</t>
  </si>
  <si>
    <t>Number of objectives:</t>
  </si>
  <si>
    <t>Objectives Range:</t>
  </si>
  <si>
    <t>Objective Cell:</t>
  </si>
  <si>
    <t>Objective Type:</t>
  </si>
  <si>
    <t>Objective Name:</t>
  </si>
  <si>
    <t>Use Constraints:</t>
  </si>
  <si>
    <t>Constraint Cell:</t>
  </si>
  <si>
    <t>Selector:</t>
  </si>
  <si>
    <t>Crossover:</t>
  </si>
  <si>
    <t>Crossover Rate:</t>
  </si>
  <si>
    <t>Mutator:</t>
  </si>
  <si>
    <t>Mutation Rate:</t>
  </si>
  <si>
    <t>Use Adaptive Mutation:</t>
  </si>
  <si>
    <t>Iters To Use A.M.:</t>
  </si>
  <si>
    <t>Adaptive Mutation Rate:</t>
  </si>
  <si>
    <t>Replacer:</t>
  </si>
  <si>
    <t>Max Generations:</t>
  </si>
  <si>
    <t>Random Seed:</t>
  </si>
  <si>
    <t>Max Runs:</t>
  </si>
  <si>
    <t>Caching Allowed:</t>
  </si>
  <si>
    <t>Initial Cache Size:</t>
  </si>
  <si>
    <t>Max Cache Size:</t>
  </si>
  <si>
    <t>WriteBack Values:</t>
  </si>
  <si>
    <t>Run Cell:</t>
  </si>
  <si>
    <t>Generation Cell:</t>
  </si>
  <si>
    <t>Elitism Level:</t>
  </si>
  <si>
    <t>Updates Interval:</t>
  </si>
  <si>
    <t>Use Simulation:</t>
  </si>
  <si>
    <t>Macro Name:</t>
  </si>
  <si>
    <t>Float Precision:</t>
  </si>
  <si>
    <t>Overwrite Results:</t>
  </si>
  <si>
    <t>Use Autosave:</t>
  </si>
  <si>
    <t>Autosave Interval:</t>
  </si>
  <si>
    <t>Use Backup:</t>
  </si>
  <si>
    <t>Backup Interval:</t>
  </si>
  <si>
    <t>Backup File:</t>
  </si>
  <si>
    <t>Display Chart:</t>
  </si>
  <si>
    <t>B14:G14</t>
  </si>
  <si>
    <t>B14</t>
  </si>
  <si>
    <t>C14</t>
  </si>
  <si>
    <t>D14</t>
  </si>
  <si>
    <t>E14</t>
  </si>
  <si>
    <t>F14</t>
  </si>
  <si>
    <t>G14</t>
  </si>
  <si>
    <t>E24</t>
  </si>
  <si>
    <t>fitness</t>
  </si>
  <si>
    <t>CB11</t>
  </si>
  <si>
    <t>CB12</t>
  </si>
  <si>
    <t>CB13</t>
  </si>
  <si>
    <t>CB14</t>
  </si>
  <si>
    <t>CB15</t>
  </si>
  <si>
    <t>CB16</t>
  </si>
  <si>
    <t>CB17</t>
  </si>
  <si>
    <t>CB18</t>
  </si>
  <si>
    <t>CB19</t>
  </si>
  <si>
    <t>CB20</t>
  </si>
  <si>
    <t>CB21</t>
  </si>
  <si>
    <t>CB22</t>
  </si>
  <si>
    <t>CB23</t>
  </si>
  <si>
    <t>CB24</t>
  </si>
  <si>
    <t>CB 8</t>
  </si>
  <si>
    <t>CB 9</t>
  </si>
  <si>
    <t>CB 10</t>
  </si>
  <si>
    <t>CB 11</t>
  </si>
  <si>
    <t>CB 12</t>
  </si>
  <si>
    <t>CB 13</t>
  </si>
  <si>
    <t>CB 14</t>
  </si>
  <si>
    <t>tot_iter</t>
  </si>
  <si>
    <t>ITER</t>
  </si>
  <si>
    <t>VIOL</t>
  </si>
  <si>
    <t>TS</t>
  </si>
  <si>
    <t>Tabu Search</t>
  </si>
  <si>
    <t>dim_tabu</t>
  </si>
  <si>
    <t>8 ws</t>
  </si>
  <si>
    <t>SI</t>
  </si>
  <si>
    <t>costi</t>
  </si>
  <si>
    <t>teta</t>
  </si>
  <si>
    <t>Costante</t>
  </si>
  <si>
    <t>iter best</t>
  </si>
  <si>
    <t>M&amp;A</t>
  </si>
  <si>
    <t>coeff var</t>
  </si>
  <si>
    <t>teta b</t>
  </si>
  <si>
    <t>teta a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</si>
  <si>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</si>
  <si>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</si>
  <si>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</si>
  <si>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</si>
  <si>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</si>
  <si>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</si>
  <si>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</si>
  <si>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</si>
  <si>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</si>
  <si>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</si>
  <si>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</si>
  <si>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</si>
  <si>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</si>
  <si>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</si>
  <si>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</si>
  <si>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</si>
  <si>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</si>
  <si>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</si>
  <si>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</si>
  <si>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</si>
  <si>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bil_2000</t>
  </si>
  <si>
    <t>bilanc.to</t>
  </si>
  <si>
    <t>cost</t>
  </si>
  <si>
    <t>viol</t>
  </si>
  <si>
    <t>START</t>
  </si>
  <si>
    <t>STOP</t>
  </si>
  <si>
    <t>BIL=1;</t>
  </si>
  <si>
    <t>SBIL_I=21</t>
  </si>
  <si>
    <t>SBIL_C=41</t>
  </si>
  <si>
    <t>SBIL_F=61</t>
  </si>
  <si>
    <t>ALL=1</t>
  </si>
  <si>
    <t>BIL=20</t>
  </si>
  <si>
    <t>SBIL_I=40</t>
  </si>
  <si>
    <t>SBIL_C=60</t>
  </si>
  <si>
    <t>SBIL_F=80</t>
  </si>
  <si>
    <t>ALL=80</t>
  </si>
  <si>
    <t>a1-SBIL_I</t>
  </si>
  <si>
    <t>a1 SBIL_C</t>
  </si>
  <si>
    <t>a1 SBIL_F</t>
  </si>
  <si>
    <t>ALL</t>
  </si>
  <si>
    <t>DE</t>
  </si>
  <si>
    <t>M</t>
  </si>
  <si>
    <t>9 ws</t>
  </si>
  <si>
    <t>75 ws</t>
  </si>
  <si>
    <t>serv.rate</t>
  </si>
  <si>
    <t>a</t>
  </si>
  <si>
    <t>b</t>
  </si>
  <si>
    <t>Nmax</t>
  </si>
  <si>
    <t>BS</t>
  </si>
  <si>
    <t>MTS</t>
  </si>
  <si>
    <t>tetA*</t>
  </si>
  <si>
    <t>func_2</t>
  </si>
  <si>
    <t>buff</t>
  </si>
  <si>
    <t>job</t>
  </si>
  <si>
    <t>func_2(neg)</t>
  </si>
  <si>
    <t>func_2+</t>
  </si>
  <si>
    <t>coeff</t>
  </si>
  <si>
    <t>CPLEX</t>
  </si>
  <si>
    <t>RPL</t>
  </si>
  <si>
    <t>PSO_1</t>
  </si>
  <si>
    <t>PSO_2</t>
  </si>
  <si>
    <t>PSO_3</t>
  </si>
  <si>
    <t>PSO_4</t>
  </si>
  <si>
    <t>PSO_5</t>
  </si>
  <si>
    <t>GA_1</t>
  </si>
  <si>
    <t>GA_2</t>
  </si>
  <si>
    <t>GA_3</t>
  </si>
  <si>
    <t>GA_4</t>
  </si>
  <si>
    <t>GA_5</t>
  </si>
  <si>
    <t>DE_1</t>
  </si>
  <si>
    <t>DE_2</t>
  </si>
  <si>
    <t>DE_3</t>
  </si>
  <si>
    <t>DE_4</t>
  </si>
  <si>
    <t>DE_5</t>
  </si>
  <si>
    <t>MTS_1</t>
  </si>
  <si>
    <t>MTS_2</t>
  </si>
  <si>
    <t>MTS_3</t>
  </si>
  <si>
    <t>MTS_4</t>
  </si>
  <si>
    <t>MTS_5</t>
  </si>
  <si>
    <t>BS_1</t>
  </si>
  <si>
    <t>MIN</t>
  </si>
  <si>
    <t>BEST_EUR</t>
  </si>
  <si>
    <t>RPD_PSO</t>
  </si>
  <si>
    <t>RPD_GA</t>
  </si>
  <si>
    <t>RPD_DE</t>
  </si>
  <si>
    <t>RPD_MTS</t>
  </si>
  <si>
    <t>RPD_BS</t>
  </si>
  <si>
    <t>Soluzion iniziale da UBP</t>
  </si>
  <si>
    <t>ITERAZIONI INCREMENTATE (A=10 INVECE DI 12 E ITER = 10 INVECE DI 7)</t>
  </si>
  <si>
    <t>TIME_ave</t>
  </si>
  <si>
    <t>ITER_AVE</t>
  </si>
  <si>
    <t>ITER_AVE%</t>
  </si>
  <si>
    <t>0.224702851</t>
  </si>
  <si>
    <t>0.182134729</t>
  </si>
  <si>
    <t>0.211106343</t>
  </si>
  <si>
    <t>0.173710895</t>
  </si>
  <si>
    <t>0.238455029</t>
  </si>
  <si>
    <t>0.188189172</t>
  </si>
  <si>
    <t>0.221168023</t>
  </si>
  <si>
    <t>0.174093869</t>
  </si>
  <si>
    <t>0.23455736</t>
  </si>
  <si>
    <t>0.183457254</t>
  </si>
  <si>
    <t>0.223585896</t>
  </si>
  <si>
    <t>0.172451321</t>
  </si>
  <si>
    <t>0.223852232</t>
  </si>
  <si>
    <t>0.179687493</t>
  </si>
  <si>
    <t>0.221993813</t>
  </si>
  <si>
    <t>0.180343406</t>
  </si>
  <si>
    <t>0.227923885</t>
  </si>
  <si>
    <t>0.181223098</t>
  </si>
  <si>
    <t>0.239127735</t>
  </si>
  <si>
    <t>0.184979295</t>
  </si>
  <si>
    <t>0.23500539</t>
  </si>
  <si>
    <t>0.209551953</t>
  </si>
  <si>
    <t>0.235222555</t>
  </si>
  <si>
    <t>0.210211816</t>
  </si>
  <si>
    <t>0.237990472</t>
  </si>
  <si>
    <t>0.21034699</t>
  </si>
  <si>
    <t>0.231907011</t>
  </si>
  <si>
    <t>0.207297529</t>
  </si>
  <si>
    <t>0.240166692</t>
  </si>
  <si>
    <t>0.212362271</t>
  </si>
  <si>
    <t>0.236712939</t>
  </si>
  <si>
    <t>0.209396373</t>
  </si>
  <si>
    <t>0.235504188</t>
  </si>
  <si>
    <t>0.209746012</t>
  </si>
  <si>
    <t>0.235781456</t>
  </si>
  <si>
    <t>0.209730555</t>
  </si>
  <si>
    <t>0.240173885</t>
  </si>
  <si>
    <t>0.211228292</t>
  </si>
  <si>
    <t>0.232587754</t>
  </si>
  <si>
    <t>0.207485873</t>
  </si>
  <si>
    <t>0.234675358</t>
  </si>
  <si>
    <t>0.179189262</t>
  </si>
  <si>
    <t>0.209590363</t>
  </si>
  <si>
    <t>0.190487112</t>
  </si>
  <si>
    <t>0.211475288</t>
  </si>
  <si>
    <t>0.172119899</t>
  </si>
  <si>
    <t>0.230226462</t>
  </si>
  <si>
    <t>0.183863338</t>
  </si>
  <si>
    <t>0.224894248</t>
  </si>
  <si>
    <t>0.16813855</t>
  </si>
  <si>
    <t>0.228959148</t>
  </si>
  <si>
    <t>0.182830834</t>
  </si>
  <si>
    <t>0.218168632</t>
  </si>
  <si>
    <t>0.170217613</t>
  </si>
  <si>
    <t>0.232649483</t>
  </si>
  <si>
    <t>0.174934611</t>
  </si>
  <si>
    <t>0.227334338</t>
  </si>
  <si>
    <t>0.174611038</t>
  </si>
  <si>
    <t>0.238919819</t>
  </si>
  <si>
    <t>0.185578215</t>
  </si>
  <si>
    <t>0.22989021</t>
  </si>
  <si>
    <t>0.213346287</t>
  </si>
  <si>
    <t>0.233454</t>
  </si>
  <si>
    <t>0.215942778</t>
  </si>
  <si>
    <t>0.22870911</t>
  </si>
  <si>
    <t>0.212042593</t>
  </si>
  <si>
    <t>0.230167451</t>
  </si>
  <si>
    <t>0.213450953</t>
  </si>
  <si>
    <t>0.233154069</t>
  </si>
  <si>
    <t>0.215949342</t>
  </si>
  <si>
    <t>0.228868621</t>
  </si>
  <si>
    <t>0.212941198</t>
  </si>
  <si>
    <t>0.230621152</t>
  </si>
  <si>
    <t>0.215183025</t>
  </si>
  <si>
    <t>0.231326196</t>
  </si>
  <si>
    <t>0.215181097</t>
  </si>
  <si>
    <t>0.229921988</t>
  </si>
  <si>
    <t>0.214440153</t>
  </si>
  <si>
    <t>0.232930952</t>
  </si>
  <si>
    <t>0.215136875</t>
  </si>
  <si>
    <t>riga</t>
  </si>
  <si>
    <t>line</t>
  </si>
  <si>
    <t>p.r.</t>
  </si>
  <si>
    <t>problema</t>
  </si>
  <si>
    <t>Risultato</t>
  </si>
  <si>
    <t>Time</t>
  </si>
  <si>
    <t>bil</t>
  </si>
  <si>
    <t>_a</t>
  </si>
  <si>
    <t>sbil_I</t>
  </si>
  <si>
    <t>sbil_C</t>
  </si>
  <si>
    <t>sbil_F</t>
  </si>
  <si>
    <t>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</si>
</sst>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0"/>
    <numFmt numFmtId="177" formatCode="0.0000"/>
    <numFmt numFmtId="178" formatCode="0.000"/>
    <numFmt numFmtId="179" formatCode="0.0"/>
    <numFmt numFmtId="180" formatCode="0.000000"/>
    <numFmt numFmtId="181" formatCode="0.0000000"/>
    <numFmt numFmtId="182" formatCode="0.0%"/>
  </numFmts>
  <fonts count="51">
    <font>
      <sz val="11"/>
      <color theme="1"/>
      <name val="宋体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62"/>
      <name val="Calibri"/>
      <family val="2"/>
    </font>
    <font>
      <sz val="8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i/>
      <sz val="11"/>
      <color indexed="10"/>
      <name val="Calibri"/>
      <family val="2"/>
    </font>
    <font>
      <i/>
      <sz val="11"/>
      <name val="Calibri"/>
      <family val="2"/>
    </font>
    <font>
      <sz val="14"/>
      <color indexed="9"/>
      <name val="Calibri"/>
      <family val="2"/>
    </font>
    <font>
      <b/>
      <i/>
      <sz val="11"/>
      <color indexed="12"/>
      <name val="Calibri"/>
      <family val="2"/>
    </font>
    <font>
      <i/>
      <sz val="11"/>
      <color indexed="8"/>
      <name val="Calibri"/>
      <family val="2"/>
    </font>
    <font>
      <b/>
      <i/>
      <sz val="11"/>
      <color indexed="9"/>
      <name val="Calibri"/>
      <family val="2"/>
    </font>
    <font>
      <i/>
      <sz val="11"/>
      <color indexed="10"/>
      <name val="Calibri"/>
      <family val="2"/>
    </font>
    <font>
      <b/>
      <sz val="8"/>
      <color indexed="81"/>
      <name val="Tahoma"/>
      <family val="2"/>
    </font>
    <font>
      <sz val="11"/>
      <color indexed="9"/>
      <name val="Calibri"/>
      <family val="2"/>
    </font>
    <font>
      <b/>
      <i/>
      <sz val="11"/>
      <color indexed="9"/>
      <name val="Calibri"/>
      <family val="2"/>
    </font>
    <font>
      <i/>
      <sz val="11"/>
      <color indexed="9"/>
      <name val="Calibri"/>
      <family val="2"/>
    </font>
    <font>
      <b/>
      <sz val="11"/>
      <color indexed="9"/>
      <name val="Calibri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2"/>
      <scheme val="minor"/>
    </font>
    <font>
      <b/>
      <sz val="11"/>
      <color rgb="FF0070C0"/>
      <name val="Calibri"/>
      <family val="2"/>
    </font>
    <font>
      <b/>
      <sz val="11"/>
      <color rgb="FF0070C0"/>
      <name val="宋体"/>
      <family val="2"/>
      <scheme val="minor"/>
    </font>
    <font>
      <b/>
      <u/>
      <sz val="14"/>
      <color rgb="FFFF0000"/>
      <name val="宋体"/>
      <family val="2"/>
      <scheme val="minor"/>
    </font>
    <font>
      <b/>
      <sz val="12"/>
      <color theme="1"/>
      <name val="宋体"/>
      <family val="2"/>
      <scheme val="minor"/>
    </font>
    <font>
      <b/>
      <sz val="11"/>
      <color theme="4" tint="-0.249977111117893"/>
      <name val="宋体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Arial Black"/>
      <family val="2"/>
    </font>
    <font>
      <sz val="11"/>
      <name val="Calibri"/>
      <family val="2"/>
    </font>
    <font>
      <u/>
      <sz val="11"/>
      <color theme="10"/>
      <name val="宋体"/>
      <family val="2"/>
      <scheme val="minor"/>
    </font>
    <font>
      <u/>
      <sz val="11"/>
      <color theme="1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2"/>
      <color theme="6" tint="-0.499984740745262"/>
      <name val="宋体"/>
      <family val="2"/>
      <scheme val="minor"/>
    </font>
    <font>
      <b/>
      <sz val="11"/>
      <color indexed="81"/>
      <name val="Tahoma"/>
      <family val="2"/>
    </font>
    <font>
      <b/>
      <i/>
      <sz val="11"/>
      <color theme="1"/>
      <name val="宋体"/>
      <family val="2"/>
      <scheme val="minor"/>
    </font>
    <font>
      <b/>
      <sz val="11"/>
      <color rgb="FFFFFF00"/>
      <name val="宋体"/>
      <family val="2"/>
      <scheme val="minor"/>
    </font>
    <font>
      <i/>
      <sz val="11"/>
      <color rgb="FF0070C0"/>
      <name val="宋体"/>
      <family val="2"/>
      <scheme val="minor"/>
    </font>
    <font>
      <b/>
      <sz val="11"/>
      <color theme="9" tint="0.39997558519241921"/>
      <name val="宋体"/>
      <family val="2"/>
      <scheme val="minor"/>
    </font>
    <font>
      <sz val="11"/>
      <name val="宋体"/>
      <family val="2"/>
      <scheme val="minor"/>
    </font>
    <font>
      <b/>
      <i/>
      <sz val="11"/>
      <color rgb="FFFF0000"/>
      <name val="宋体"/>
      <family val="2"/>
      <scheme val="minor"/>
    </font>
    <font>
      <sz val="11"/>
      <color rgb="FF00B050"/>
      <name val="宋体"/>
      <family val="2"/>
      <scheme val="minor"/>
    </font>
    <font>
      <sz val="12"/>
      <color rgb="FF3366FF"/>
      <name val="宋体"/>
      <family val="2"/>
      <scheme val="minor"/>
    </font>
    <font>
      <sz val="11"/>
      <color rgb="FF3366FF"/>
      <name val="宋体"/>
      <family val="2"/>
      <scheme val="minor"/>
    </font>
    <font>
      <i/>
      <sz val="11"/>
      <color theme="1"/>
      <name val="宋体"/>
      <family val="2"/>
      <scheme val="minor"/>
    </font>
    <font>
      <sz val="11"/>
      <color theme="5" tint="-0.249977111117893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1">
    <xf numFmtId="0" fontId="0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9" fontId="49" fillId="0" borderId="0" applyFont="0" applyFill="0" applyBorder="0" applyAlignment="0" applyProtection="0"/>
  </cellStyleXfs>
  <cellXfs count="134">
    <xf numFmtId="0" fontId="0" fillId="0" borderId="0" xfId="0"/>
    <xf numFmtId="1" fontId="0" fillId="0" borderId="0" xfId="0" applyNumberFormat="1"/>
    <xf numFmtId="0" fontId="1" fillId="0" borderId="0" xfId="0" applyFont="1"/>
    <xf numFmtId="0" fontId="4" fillId="0" borderId="0" xfId="0" applyFont="1" applyAlignment="1">
      <alignment horizontal="center"/>
    </xf>
    <xf numFmtId="0" fontId="4" fillId="0" borderId="0" xfId="0" applyFont="1"/>
    <xf numFmtId="0" fontId="0" fillId="0" borderId="1" xfId="0" applyBorder="1"/>
    <xf numFmtId="0" fontId="2" fillId="0" borderId="0" xfId="0" applyFont="1"/>
    <xf numFmtId="0" fontId="6" fillId="0" borderId="0" xfId="0" applyFont="1"/>
    <xf numFmtId="0" fontId="7" fillId="0" borderId="0" xfId="0" applyFont="1"/>
    <xf numFmtId="0" fontId="3" fillId="2" borderId="0" xfId="0" applyFont="1" applyFill="1"/>
    <xf numFmtId="0" fontId="0" fillId="0" borderId="0" xfId="0" applyFill="1" applyBorder="1"/>
    <xf numFmtId="0" fontId="0" fillId="0" borderId="0" xfId="0" applyAlignment="1">
      <alignment horizontal="right"/>
    </xf>
    <xf numFmtId="0" fontId="8" fillId="0" borderId="0" xfId="0" applyFont="1"/>
    <xf numFmtId="2" fontId="0" fillId="0" borderId="0" xfId="0" applyNumberFormat="1"/>
    <xf numFmtId="177" fontId="7" fillId="0" borderId="0" xfId="0" applyNumberFormat="1" applyFont="1"/>
    <xf numFmtId="2" fontId="7" fillId="0" borderId="0" xfId="0" applyNumberFormat="1" applyFont="1"/>
    <xf numFmtId="0" fontId="9" fillId="0" borderId="0" xfId="0" applyFont="1"/>
    <xf numFmtId="0" fontId="6" fillId="0" borderId="1" xfId="0" applyFont="1" applyBorder="1"/>
    <xf numFmtId="0" fontId="0" fillId="2" borderId="0" xfId="0" applyFill="1"/>
    <xf numFmtId="0" fontId="0" fillId="3" borderId="0" xfId="0" applyFill="1"/>
    <xf numFmtId="0" fontId="7" fillId="3" borderId="0" xfId="0" applyFont="1" applyFill="1"/>
    <xf numFmtId="0" fontId="2" fillId="3" borderId="0" xfId="0" applyFont="1" applyFill="1"/>
    <xf numFmtId="2" fontId="0" fillId="3" borderId="0" xfId="0" applyNumberFormat="1" applyFill="1"/>
    <xf numFmtId="0" fontId="2" fillId="4" borderId="1" xfId="0" applyFont="1" applyFill="1" applyBorder="1" applyAlignment="1">
      <alignment horizontal="center"/>
    </xf>
    <xf numFmtId="0" fontId="10" fillId="5" borderId="0" xfId="0" applyFont="1" applyFill="1"/>
    <xf numFmtId="0" fontId="3" fillId="5" borderId="0" xfId="0" applyFont="1" applyFill="1"/>
    <xf numFmtId="0" fontId="7" fillId="0" borderId="2" xfId="0" applyFont="1" applyBorder="1"/>
    <xf numFmtId="0" fontId="7" fillId="0" borderId="3" xfId="0" applyFont="1" applyBorder="1"/>
    <xf numFmtId="0" fontId="2" fillId="0" borderId="1" xfId="0" applyFont="1" applyBorder="1"/>
    <xf numFmtId="0" fontId="11" fillId="0" borderId="0" xfId="0" applyFont="1"/>
    <xf numFmtId="0" fontId="12" fillId="0" borderId="0" xfId="0" applyFont="1"/>
    <xf numFmtId="0" fontId="0" fillId="0" borderId="1" xfId="0" applyFill="1" applyBorder="1"/>
    <xf numFmtId="178" fontId="0" fillId="0" borderId="0" xfId="0" applyNumberFormat="1"/>
    <xf numFmtId="0" fontId="11" fillId="0" borderId="0" xfId="0" applyFont="1" applyAlignment="1">
      <alignment horizontal="right"/>
    </xf>
    <xf numFmtId="0" fontId="12" fillId="3" borderId="0" xfId="0" applyFont="1" applyFill="1"/>
    <xf numFmtId="0" fontId="14" fillId="3" borderId="1" xfId="0" applyFont="1" applyFill="1" applyBorder="1"/>
    <xf numFmtId="0" fontId="12" fillId="3" borderId="1" xfId="0" applyFont="1" applyFill="1" applyBorder="1"/>
    <xf numFmtId="0" fontId="13" fillId="3" borderId="1" xfId="0" applyFont="1" applyFill="1" applyBorder="1"/>
    <xf numFmtId="0" fontId="2" fillId="6" borderId="1" xfId="0" applyFont="1" applyFill="1" applyBorder="1"/>
    <xf numFmtId="0" fontId="17" fillId="3" borderId="0" xfId="0" applyFont="1" applyFill="1"/>
    <xf numFmtId="0" fontId="0" fillId="0" borderId="0" xfId="0" applyAlignment="1">
      <alignment horizontal="center"/>
    </xf>
    <xf numFmtId="0" fontId="18" fillId="7" borderId="0" xfId="0" applyFont="1" applyFill="1"/>
    <xf numFmtId="1" fontId="19" fillId="7" borderId="1" xfId="0" applyNumberFormat="1" applyFont="1" applyFill="1" applyBorder="1"/>
    <xf numFmtId="1" fontId="16" fillId="7" borderId="1" xfId="0" applyNumberFormat="1" applyFont="1" applyFill="1" applyBorder="1"/>
    <xf numFmtId="0" fontId="0" fillId="0" borderId="0" xfId="0" applyAlignment="1">
      <alignment horizontal="left"/>
    </xf>
    <xf numFmtId="0" fontId="16" fillId="2" borderId="0" xfId="0" applyFont="1" applyFill="1" applyAlignment="1">
      <alignment horizontal="center" vertical="center"/>
    </xf>
    <xf numFmtId="0" fontId="1" fillId="3" borderId="1" xfId="0" applyFont="1" applyFill="1" applyBorder="1"/>
    <xf numFmtId="1" fontId="3" fillId="7" borderId="1" xfId="0" applyNumberFormat="1" applyFont="1" applyFill="1" applyBorder="1"/>
    <xf numFmtId="0" fontId="23" fillId="0" borderId="0" xfId="0" applyFont="1"/>
    <xf numFmtId="176" fontId="24" fillId="0" borderId="1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" fillId="0" borderId="1" xfId="0" applyFont="1" applyFill="1" applyBorder="1"/>
    <xf numFmtId="0" fontId="14" fillId="3" borderId="4" xfId="0" applyFont="1" applyFill="1" applyBorder="1"/>
    <xf numFmtId="0" fontId="12" fillId="3" borderId="4" xfId="0" applyFont="1" applyFill="1" applyBorder="1"/>
    <xf numFmtId="1" fontId="16" fillId="7" borderId="4" xfId="0" applyNumberFormat="1" applyFont="1" applyFill="1" applyBorder="1"/>
    <xf numFmtId="0" fontId="12" fillId="0" borderId="0" xfId="0" applyFont="1" applyFill="1" applyBorder="1"/>
    <xf numFmtId="0" fontId="14" fillId="0" borderId="0" xfId="0" applyFont="1" applyFill="1" applyBorder="1"/>
    <xf numFmtId="0" fontId="13" fillId="0" borderId="0" xfId="0" applyFont="1" applyFill="1" applyBorder="1"/>
    <xf numFmtId="1" fontId="16" fillId="0" borderId="0" xfId="0" applyNumberFormat="1" applyFont="1" applyFill="1" applyBorder="1"/>
    <xf numFmtId="0" fontId="22" fillId="8" borderId="1" xfId="0" applyFont="1" applyFill="1" applyBorder="1"/>
    <xf numFmtId="0" fontId="26" fillId="0" borderId="0" xfId="0" applyFont="1"/>
    <xf numFmtId="0" fontId="27" fillId="0" borderId="2" xfId="0" applyFont="1" applyBorder="1" applyAlignment="1">
      <alignment horizontal="right"/>
    </xf>
    <xf numFmtId="0" fontId="23" fillId="0" borderId="2" xfId="0" applyFont="1" applyBorder="1"/>
    <xf numFmtId="177" fontId="7" fillId="0" borderId="2" xfId="0" applyNumberFormat="1" applyFont="1" applyBorder="1"/>
    <xf numFmtId="1" fontId="31" fillId="0" borderId="2" xfId="0" applyNumberFormat="1" applyFont="1" applyBorder="1"/>
    <xf numFmtId="0" fontId="31" fillId="0" borderId="3" xfId="0" applyFont="1" applyBorder="1"/>
    <xf numFmtId="1" fontId="31" fillId="0" borderId="3" xfId="0" applyNumberFormat="1" applyFont="1" applyBorder="1"/>
    <xf numFmtId="177" fontId="0" fillId="0" borderId="0" xfId="0" applyNumberFormat="1"/>
    <xf numFmtId="178" fontId="7" fillId="0" borderId="3" xfId="0" applyNumberFormat="1" applyFont="1" applyBorder="1"/>
    <xf numFmtId="178" fontId="9" fillId="0" borderId="0" xfId="0" applyNumberFormat="1" applyFont="1"/>
    <xf numFmtId="0" fontId="27" fillId="0" borderId="1" xfId="0" quotePrefix="1" applyFont="1" applyBorder="1" applyAlignment="1">
      <alignment horizontal="left"/>
    </xf>
    <xf numFmtId="0" fontId="27" fillId="0" borderId="1" xfId="0" applyFont="1" applyBorder="1" applyAlignment="1">
      <alignment horizontal="right"/>
    </xf>
    <xf numFmtId="0" fontId="27" fillId="0" borderId="1" xfId="0" applyFont="1" applyBorder="1" applyAlignment="1">
      <alignment horizontal="left"/>
    </xf>
    <xf numFmtId="0" fontId="28" fillId="8" borderId="6" xfId="0" applyFont="1" applyFill="1" applyBorder="1" applyAlignment="1">
      <alignment horizontal="left"/>
    </xf>
    <xf numFmtId="0" fontId="28" fillId="8" borderId="7" xfId="0" applyFont="1" applyFill="1" applyBorder="1" applyAlignment="1">
      <alignment horizontal="left"/>
    </xf>
    <xf numFmtId="0" fontId="28" fillId="8" borderId="10" xfId="0" applyFont="1" applyFill="1" applyBorder="1" applyAlignment="1">
      <alignment horizontal="left"/>
    </xf>
    <xf numFmtId="0" fontId="28" fillId="8" borderId="11" xfId="0" applyFont="1" applyFill="1" applyBorder="1" applyAlignment="1">
      <alignment horizontal="left"/>
    </xf>
    <xf numFmtId="2" fontId="7" fillId="0" borderId="3" xfId="0" applyNumberFormat="1" applyFont="1" applyBorder="1"/>
    <xf numFmtId="0" fontId="28" fillId="8" borderId="8" xfId="0" applyFont="1" applyFill="1" applyBorder="1" applyAlignment="1">
      <alignment horizontal="left"/>
    </xf>
    <xf numFmtId="0" fontId="28" fillId="8" borderId="9" xfId="0" applyFont="1" applyFill="1" applyBorder="1" applyAlignment="1">
      <alignment horizontal="left"/>
    </xf>
    <xf numFmtId="0" fontId="28" fillId="8" borderId="12" xfId="0" applyFont="1" applyFill="1" applyBorder="1" applyAlignment="1">
      <alignment horizontal="left"/>
    </xf>
    <xf numFmtId="0" fontId="28" fillId="8" borderId="13" xfId="0" applyFont="1" applyFill="1" applyBorder="1" applyAlignment="1">
      <alignment horizontal="left"/>
    </xf>
    <xf numFmtId="0" fontId="22" fillId="0" borderId="0" xfId="0" applyFont="1"/>
    <xf numFmtId="0" fontId="34" fillId="0" borderId="0" xfId="0" applyFont="1"/>
    <xf numFmtId="0" fontId="35" fillId="9" borderId="8" xfId="0" applyFont="1" applyFill="1" applyBorder="1" applyAlignment="1">
      <alignment horizontal="left"/>
    </xf>
    <xf numFmtId="0" fontId="35" fillId="9" borderId="9" xfId="0" applyFont="1" applyFill="1" applyBorder="1" applyAlignment="1">
      <alignment horizontal="left"/>
    </xf>
    <xf numFmtId="0" fontId="35" fillId="9" borderId="10" xfId="0" applyFont="1" applyFill="1" applyBorder="1" applyAlignment="1">
      <alignment horizontal="left"/>
    </xf>
    <xf numFmtId="9" fontId="35" fillId="9" borderId="11" xfId="0" applyNumberFormat="1" applyFont="1" applyFill="1" applyBorder="1" applyAlignment="1">
      <alignment horizontal="left"/>
    </xf>
    <xf numFmtId="0" fontId="36" fillId="0" borderId="0" xfId="0" applyFont="1"/>
    <xf numFmtId="0" fontId="28" fillId="10" borderId="6" xfId="0" applyFont="1" applyFill="1" applyBorder="1" applyAlignment="1">
      <alignment horizontal="left"/>
    </xf>
    <xf numFmtId="0" fontId="28" fillId="10" borderId="7" xfId="0" applyFont="1" applyFill="1" applyBorder="1" applyAlignment="1">
      <alignment horizontal="left"/>
    </xf>
    <xf numFmtId="179" fontId="16" fillId="2" borderId="0" xfId="0" applyNumberFormat="1" applyFont="1" applyFill="1" applyAlignment="1">
      <alignment horizontal="center" vertical="center"/>
    </xf>
    <xf numFmtId="176" fontId="0" fillId="0" borderId="1" xfId="0" applyNumberFormat="1" applyBorder="1"/>
    <xf numFmtId="180" fontId="9" fillId="0" borderId="0" xfId="0" applyNumberFormat="1" applyFont="1"/>
    <xf numFmtId="176" fontId="0" fillId="0" borderId="0" xfId="0" applyNumberFormat="1"/>
    <xf numFmtId="0" fontId="0" fillId="0" borderId="0" xfId="0" quotePrefix="1"/>
    <xf numFmtId="0" fontId="27" fillId="8" borderId="1" xfId="0" applyFont="1" applyFill="1" applyBorder="1"/>
    <xf numFmtId="0" fontId="27" fillId="8" borderId="1" xfId="0" applyFont="1" applyFill="1" applyBorder="1" applyAlignment="1">
      <alignment horizontal="right"/>
    </xf>
    <xf numFmtId="0" fontId="23" fillId="0" borderId="0" xfId="0" applyFont="1" applyFill="1" applyBorder="1"/>
    <xf numFmtId="0" fontId="22" fillId="0" borderId="0" xfId="0" applyFont="1" applyFill="1" applyBorder="1"/>
    <xf numFmtId="0" fontId="22" fillId="0" borderId="17" xfId="0" quotePrefix="1" applyFont="1" applyFill="1" applyBorder="1" applyAlignment="1">
      <alignment horizontal="right"/>
    </xf>
    <xf numFmtId="0" fontId="22" fillId="0" borderId="16" xfId="0" quotePrefix="1" applyFont="1" applyFill="1" applyBorder="1"/>
    <xf numFmtId="0" fontId="28" fillId="8" borderId="18" xfId="0" applyFont="1" applyFill="1" applyBorder="1" applyAlignment="1">
      <alignment horizontal="left"/>
    </xf>
    <xf numFmtId="0" fontId="28" fillId="8" borderId="19" xfId="0" applyFont="1" applyFill="1" applyBorder="1" applyAlignment="1">
      <alignment horizontal="left"/>
    </xf>
    <xf numFmtId="179" fontId="0" fillId="0" borderId="0" xfId="0" applyNumberFormat="1"/>
    <xf numFmtId="0" fontId="38" fillId="10" borderId="0" xfId="0" applyFont="1" applyFill="1"/>
    <xf numFmtId="2" fontId="38" fillId="10" borderId="0" xfId="0" applyNumberFormat="1" applyFont="1" applyFill="1"/>
    <xf numFmtId="0" fontId="39" fillId="11" borderId="21" xfId="0" applyFont="1" applyFill="1" applyBorder="1" applyAlignment="1">
      <alignment horizontal="center"/>
    </xf>
    <xf numFmtId="0" fontId="39" fillId="11" borderId="20" xfId="0" applyFont="1" applyFill="1" applyBorder="1" applyAlignment="1">
      <alignment horizontal="center"/>
    </xf>
    <xf numFmtId="0" fontId="32" fillId="0" borderId="0" xfId="39"/>
    <xf numFmtId="181" fontId="9" fillId="0" borderId="0" xfId="0" applyNumberFormat="1" applyFont="1"/>
    <xf numFmtId="0" fontId="40" fillId="0" borderId="0" xfId="0" applyFont="1"/>
    <xf numFmtId="0" fontId="41" fillId="8" borderId="14" xfId="0" applyFont="1" applyFill="1" applyBorder="1" applyAlignment="1">
      <alignment horizontal="left"/>
    </xf>
    <xf numFmtId="0" fontId="41" fillId="8" borderId="15" xfId="0" applyFont="1" applyFill="1" applyBorder="1" applyAlignment="1">
      <alignment horizontal="left"/>
    </xf>
    <xf numFmtId="0" fontId="42" fillId="0" borderId="0" xfId="0" applyFont="1"/>
    <xf numFmtId="0" fontId="27" fillId="0" borderId="5" xfId="0" applyFont="1" applyFill="1" applyBorder="1"/>
    <xf numFmtId="0" fontId="27" fillId="0" borderId="5" xfId="0" applyFont="1" applyFill="1" applyBorder="1" applyAlignment="1">
      <alignment horizontal="right"/>
    </xf>
    <xf numFmtId="0" fontId="0" fillId="0" borderId="1" xfId="0" applyFill="1" applyBorder="1" applyAlignment="1">
      <alignment horizontal="center"/>
    </xf>
    <xf numFmtId="1" fontId="43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44" fillId="0" borderId="0" xfId="0" applyFont="1"/>
    <xf numFmtId="0" fontId="45" fillId="0" borderId="0" xfId="0" applyFont="1"/>
    <xf numFmtId="0" fontId="46" fillId="0" borderId="0" xfId="0" applyFont="1"/>
    <xf numFmtId="179" fontId="46" fillId="0" borderId="0" xfId="0" applyNumberFormat="1" applyFont="1"/>
    <xf numFmtId="178" fontId="46" fillId="0" borderId="0" xfId="0" applyNumberFormat="1" applyFont="1"/>
    <xf numFmtId="0" fontId="47" fillId="0" borderId="0" xfId="0" applyFont="1"/>
    <xf numFmtId="2" fontId="47" fillId="0" borderId="0" xfId="0" applyNumberFormat="1" applyFont="1"/>
    <xf numFmtId="0" fontId="48" fillId="0" borderId="0" xfId="0" applyFont="1" applyAlignment="1">
      <alignment horizontal="center"/>
    </xf>
    <xf numFmtId="182" fontId="0" fillId="0" borderId="0" xfId="50" applyNumberFormat="1" applyFont="1"/>
    <xf numFmtId="0" fontId="0" fillId="0" borderId="0" xfId="0" applyFont="1"/>
    <xf numFmtId="180" fontId="0" fillId="0" borderId="0" xfId="0" applyNumberFormat="1"/>
    <xf numFmtId="180" fontId="42" fillId="0" borderId="0" xfId="0" applyNumberFormat="1" applyFont="1"/>
    <xf numFmtId="2" fontId="34" fillId="0" borderId="0" xfId="0" applyNumberFormat="1" applyFont="1"/>
  </cellXfs>
  <cellStyles count="51">
    <cellStyle name="百分比" xfId="50" builtinId="5"/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1" builtinId="9" hidden="1"/>
    <cellStyle name="已访问的超链接" xfId="42" builtinId="9" hidden="1"/>
    <cellStyle name="已访问的超链接" xfId="43" builtinId="9" hidden="1"/>
    <cellStyle name="已访问的超链接" xfId="44" builtinId="9" hidden="1"/>
    <cellStyle name="已访问的超链接" xfId="45" builtinId="9" hidden="1"/>
    <cellStyle name="已访问的超链接" xfId="46" builtinId="9" hidden="1"/>
    <cellStyle name="已访问的超链接" xfId="47" builtinId="9" hidden="1"/>
    <cellStyle name="已访问的超链接" xfId="48" builtinId="9" hidden="1"/>
    <cellStyle name="已访问的超链接" xfId="49" builtinId="9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5AEB53"/>
      <color rgb="FFA9F5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it-IT"/>
              <a:t>PSO convergence diagram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918383209485801"/>
          <c:y val="0.21830985915493001"/>
          <c:w val="0.797959978834481"/>
          <c:h val="0.52816901408450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Problem!$C$30:$C$60</c:f>
              <c:numCache>
                <c:formatCode>General</c:formatCode>
                <c:ptCount val="31"/>
              </c:numCache>
            </c:numRef>
          </c:xVal>
          <c:yVal>
            <c:numRef>
              <c:f>Problem!$H$30:$H$60</c:f>
              <c:numCache>
                <c:formatCode>0.000</c:formatCode>
                <c:ptCount val="3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8-4D5B-B606-E264A333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18432"/>
        <c:axId val="96031872"/>
      </c:scatterChart>
      <c:valAx>
        <c:axId val="96018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fitness evaluations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96031872"/>
        <c:crosses val="autoZero"/>
        <c:crossBetween val="midCat"/>
      </c:valAx>
      <c:valAx>
        <c:axId val="960318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Objective function value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9601843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zh-CN"/>
    </a:p>
  </c:txPr>
  <c:printSettings>
    <c:headerFooter alignWithMargins="0"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times!$B$1:$F$1</c:f>
              <c:numCache>
                <c:formatCode>General</c:formatCode>
                <c:ptCount val="5"/>
                <c:pt idx="0">
                  <c:v>0</c:v>
                </c:pt>
                <c:pt idx="1">
                  <c:v>0.78605000000000003</c:v>
                </c:pt>
                <c:pt idx="2">
                  <c:v>1.089534</c:v>
                </c:pt>
                <c:pt idx="3">
                  <c:v>1.6628449999999999</c:v>
                </c:pt>
                <c:pt idx="4">
                  <c:v>1.857829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F-491D-8EDA-B3A068EA63F0}"/>
            </c:ext>
          </c:extLst>
        </c:ser>
        <c:ser>
          <c:idx val="1"/>
          <c:order val="1"/>
          <c:spPr>
            <a:solidFill>
              <a:srgbClr val="FFC000"/>
            </a:solidFill>
          </c:spPr>
          <c:invertIfNegative val="0"/>
          <c:val>
            <c:numRef>
              <c:f>times!$B$2:$F$2</c:f>
              <c:numCache>
                <c:formatCode>General</c:formatCode>
                <c:ptCount val="5"/>
                <c:pt idx="0">
                  <c:v>0.78605000000000003</c:v>
                </c:pt>
                <c:pt idx="1">
                  <c:v>0.30348399999999998</c:v>
                </c:pt>
                <c:pt idx="2">
                  <c:v>0.5733109999999999</c:v>
                </c:pt>
                <c:pt idx="3">
                  <c:v>0.19498400000000005</c:v>
                </c:pt>
                <c:pt idx="4">
                  <c:v>1.0896860000000002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F-491D-8EDA-B3A068EA63F0}"/>
            </c:ext>
          </c:extLst>
        </c:ser>
        <c:ser>
          <c:idx val="2"/>
          <c:order val="2"/>
          <c:spPr>
            <a:noFill/>
          </c:spPr>
          <c:invertIfNegative val="0"/>
          <c:val>
            <c:numRef>
              <c:f>times!$B$3:$F$3</c:f>
              <c:numCache>
                <c:formatCode>General</c:formatCode>
                <c:ptCount val="5"/>
                <c:pt idx="0">
                  <c:v>0</c:v>
                </c:pt>
                <c:pt idx="1">
                  <c:v>0.29078099999999996</c:v>
                </c:pt>
                <c:pt idx="2">
                  <c:v>0</c:v>
                </c:pt>
                <c:pt idx="3">
                  <c:v>9.409999999999985E-2</c:v>
                </c:pt>
                <c:pt idx="4">
                  <c:v>2.1603669999999999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AF-491D-8EDA-B3A068EA63F0}"/>
            </c:ext>
          </c:extLst>
        </c:ser>
        <c:ser>
          <c:idx val="3"/>
          <c:order val="3"/>
          <c:invertIfNegative val="0"/>
          <c:val>
            <c:numRef>
              <c:f>times!$B$4:$F$4</c:f>
              <c:numCache>
                <c:formatCode>General</c:formatCode>
                <c:ptCount val="5"/>
                <c:pt idx="0">
                  <c:v>0.59426499999999993</c:v>
                </c:pt>
                <c:pt idx="1">
                  <c:v>0.21229199999999993</c:v>
                </c:pt>
                <c:pt idx="2">
                  <c:v>0.2890839999999999</c:v>
                </c:pt>
                <c:pt idx="3">
                  <c:v>3.1559530000000002</c:v>
                </c:pt>
                <c:pt idx="4">
                  <c:v>1.1263899999999998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AF-491D-8EDA-B3A068EA63F0}"/>
            </c:ext>
          </c:extLst>
        </c:ser>
        <c:ser>
          <c:idx val="4"/>
          <c:order val="4"/>
          <c:spPr>
            <a:noFill/>
          </c:spPr>
          <c:invertIfNegative val="0"/>
          <c:val>
            <c:numRef>
              <c:f>times!$B$5:$F$5</c:f>
              <c:numCache>
                <c:formatCode>General</c:formatCode>
                <c:ptCount val="5"/>
                <c:pt idx="0">
                  <c:v>0</c:v>
                </c:pt>
                <c:pt idx="1">
                  <c:v>1.7964020000000003</c:v>
                </c:pt>
                <c:pt idx="2">
                  <c:v>1.8393270000000004</c:v>
                </c:pt>
                <c:pt idx="3">
                  <c:v>13.252475</c:v>
                </c:pt>
                <c:pt idx="4">
                  <c:v>13.831641000000001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AF-491D-8EDA-B3A068EA63F0}"/>
            </c:ext>
          </c:extLst>
        </c:ser>
        <c:ser>
          <c:idx val="5"/>
          <c:order val="5"/>
          <c:invertIfNegative val="0"/>
          <c:val>
            <c:numRef>
              <c:f>times!$B$6:$F$6</c:f>
              <c:numCache>
                <c:formatCode>General</c:formatCode>
                <c:ptCount val="5"/>
                <c:pt idx="0">
                  <c:v>2.0086940000000002</c:v>
                </c:pt>
                <c:pt idx="1">
                  <c:v>0.40224700000000002</c:v>
                </c:pt>
                <c:pt idx="2">
                  <c:v>14.569101</c:v>
                </c:pt>
                <c:pt idx="3">
                  <c:v>1.7055560000000014</c:v>
                </c:pt>
                <c:pt idx="4">
                  <c:v>3.9793270000000014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AF-491D-8EDA-B3A068EA63F0}"/>
            </c:ext>
          </c:extLst>
        </c:ser>
        <c:ser>
          <c:idx val="6"/>
          <c:order val="6"/>
          <c:invertIfNegative val="0"/>
          <c:val>
            <c:numRef>
              <c:f>times!$B$7:$F$7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AF-491D-8EDA-B3A068EA63F0}"/>
            </c:ext>
          </c:extLst>
        </c:ser>
        <c:ser>
          <c:idx val="7"/>
          <c:order val="7"/>
          <c:invertIfNegative val="0"/>
          <c:val>
            <c:numRef>
              <c:f>times!$B$8:$F$8</c:f>
              <c:numCache>
                <c:formatCode>General</c:formatCode>
                <c:ptCount val="5"/>
                <c:pt idx="0">
                  <c:v>0.33328300000000022</c:v>
                </c:pt>
                <c:pt idx="1">
                  <c:v>3.705136</c:v>
                </c:pt>
                <c:pt idx="2">
                  <c:v>0.65729500000000129</c:v>
                </c:pt>
                <c:pt idx="3">
                  <c:v>0.38453099999999907</c:v>
                </c:pt>
                <c:pt idx="4">
                  <c:v>3.4267670000000017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AF-491D-8EDA-B3A068EA63F0}"/>
            </c:ext>
          </c:extLst>
        </c:ser>
        <c:ser>
          <c:idx val="8"/>
          <c:order val="8"/>
          <c:invertIfNegative val="0"/>
          <c:val>
            <c:numRef>
              <c:f>times!$B$9:$F$9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AF-491D-8EDA-B3A068EA63F0}"/>
            </c:ext>
          </c:extLst>
        </c:ser>
        <c:ser>
          <c:idx val="9"/>
          <c:order val="9"/>
          <c:invertIfNegative val="0"/>
          <c:val>
            <c:numRef>
              <c:f>times!$B$10:$F$10</c:f>
              <c:numCache>
                <c:formatCode>General</c:formatCode>
                <c:ptCount val="5"/>
                <c:pt idx="0">
                  <c:v>2.8420000000000112E-2</c:v>
                </c:pt>
                <c:pt idx="1">
                  <c:v>3.6929110000000005</c:v>
                </c:pt>
                <c:pt idx="2">
                  <c:v>0.64827500000000171</c:v>
                </c:pt>
                <c:pt idx="3">
                  <c:v>2.19848</c:v>
                </c:pt>
                <c:pt idx="4">
                  <c:v>4.5579929999999962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AF-491D-8EDA-B3A068EA63F0}"/>
            </c:ext>
          </c:extLst>
        </c:ser>
        <c:ser>
          <c:idx val="10"/>
          <c:order val="10"/>
          <c:invertIfNegative val="0"/>
          <c:val>
            <c:numRef>
              <c:f>times!$B$11:$F$11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FAF-491D-8EDA-B3A068EA63F0}"/>
            </c:ext>
          </c:extLst>
        </c:ser>
        <c:ser>
          <c:idx val="11"/>
          <c:order val="1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times!$B$12:$F$12</c:f>
              <c:numCache>
                <c:formatCode>General</c:formatCode>
                <c:ptCount val="5"/>
                <c:pt idx="0">
                  <c:v>5.8085710000000006</c:v>
                </c:pt>
                <c:pt idx="1">
                  <c:v>0.39041100000000029</c:v>
                </c:pt>
                <c:pt idx="2">
                  <c:v>2.1499440000000014</c:v>
                </c:pt>
                <c:pt idx="3">
                  <c:v>3.8881000000000014</c:v>
                </c:pt>
                <c:pt idx="4">
                  <c:v>1.900699000000003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FAF-491D-8EDA-B3A068EA63F0}"/>
            </c:ext>
          </c:extLst>
        </c:ser>
        <c:ser>
          <c:idx val="12"/>
          <c:order val="12"/>
          <c:spPr>
            <a:noFill/>
          </c:spPr>
          <c:invertIfNegative val="0"/>
          <c:val>
            <c:numRef>
              <c:f>times!$B$13:$F$13</c:f>
              <c:numCache>
                <c:formatCode>General</c:formatCode>
                <c:ptCount val="5"/>
                <c:pt idx="0">
                  <c:v>0</c:v>
                </c:pt>
                <c:pt idx="1">
                  <c:v>1.2696629999999995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FAF-491D-8EDA-B3A068EA63F0}"/>
            </c:ext>
          </c:extLst>
        </c:ser>
        <c:ser>
          <c:idx val="13"/>
          <c:order val="13"/>
          <c:invertIfNegative val="0"/>
          <c:val>
            <c:numRef>
              <c:f>times!$B$14:$F$14</c:f>
              <c:numCache>
                <c:formatCode>General</c:formatCode>
                <c:ptCount val="5"/>
                <c:pt idx="0">
                  <c:v>3.2900939999999999</c:v>
                </c:pt>
                <c:pt idx="1">
                  <c:v>2.8352389999999996</c:v>
                </c:pt>
                <c:pt idx="2">
                  <c:v>0.53166299999999822</c:v>
                </c:pt>
                <c:pt idx="3">
                  <c:v>0.74028399999999905</c:v>
                </c:pt>
                <c:pt idx="4">
                  <c:v>0.18057699999999954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FAF-491D-8EDA-B3A068EA63F0}"/>
            </c:ext>
          </c:extLst>
        </c:ser>
        <c:ser>
          <c:idx val="14"/>
          <c:order val="14"/>
          <c:spPr>
            <a:noFill/>
          </c:spPr>
          <c:invertIfNegative val="0"/>
          <c:val>
            <c:numRef>
              <c:f>times!$B$15:$F$15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FAF-491D-8EDA-B3A068EA63F0}"/>
            </c:ext>
          </c:extLst>
        </c:ser>
        <c:ser>
          <c:idx val="15"/>
          <c:order val="15"/>
          <c:invertIfNegative val="0"/>
          <c:val>
            <c:numRef>
              <c:f>times!$B$16:$F$16</c:f>
              <c:numCache>
                <c:formatCode>General</c:formatCode>
                <c:ptCount val="5"/>
                <c:pt idx="0">
                  <c:v>1.4155049999999996</c:v>
                </c:pt>
                <c:pt idx="1">
                  <c:v>2.5766049999999989</c:v>
                </c:pt>
                <c:pt idx="2">
                  <c:v>0.67795800000000028</c:v>
                </c:pt>
                <c:pt idx="3">
                  <c:v>1.4445520000000016</c:v>
                </c:pt>
                <c:pt idx="4">
                  <c:v>2.6878400000000013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FAF-491D-8EDA-B3A068EA63F0}"/>
            </c:ext>
          </c:extLst>
        </c:ser>
        <c:ser>
          <c:idx val="16"/>
          <c:order val="16"/>
          <c:spPr>
            <a:noFill/>
          </c:spPr>
          <c:invertIfNegative val="0"/>
          <c:val>
            <c:numRef>
              <c:f>times!$B$17:$F$17</c:f>
              <c:numCache>
                <c:formatCode>General</c:formatCode>
                <c:ptCount val="5"/>
                <c:pt idx="0">
                  <c:v>0</c:v>
                </c:pt>
                <c:pt idx="1">
                  <c:v>1.2382260000000009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FAF-491D-8EDA-B3A068EA63F0}"/>
            </c:ext>
          </c:extLst>
        </c:ser>
        <c:ser>
          <c:idx val="17"/>
          <c:order val="17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times!$B$18:$F$18</c:f>
              <c:numCache>
                <c:formatCode>General</c:formatCode>
                <c:ptCount val="5"/>
                <c:pt idx="0">
                  <c:v>5.2345649999999999</c:v>
                </c:pt>
                <c:pt idx="1">
                  <c:v>0.24322300000000041</c:v>
                </c:pt>
                <c:pt idx="2">
                  <c:v>0.38004700000000113</c:v>
                </c:pt>
                <c:pt idx="3">
                  <c:v>0.73010999999999981</c:v>
                </c:pt>
                <c:pt idx="4">
                  <c:v>6.3339599999999976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FAF-491D-8EDA-B3A068EA63F0}"/>
            </c:ext>
          </c:extLst>
        </c:ser>
        <c:ser>
          <c:idx val="18"/>
          <c:order val="18"/>
          <c:spPr>
            <a:noFill/>
          </c:spPr>
          <c:invertIfNegative val="0"/>
          <c:val>
            <c:numRef>
              <c:f>times!$B$19:$F$19</c:f>
              <c:numCache>
                <c:formatCode>General</c:formatCode>
                <c:ptCount val="5"/>
                <c:pt idx="0">
                  <c:v>0</c:v>
                </c:pt>
                <c:pt idx="1">
                  <c:v>0.42710999999999899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FAF-491D-8EDA-B3A068EA63F0}"/>
            </c:ext>
          </c:extLst>
        </c:ser>
        <c:ser>
          <c:idx val="19"/>
          <c:order val="19"/>
          <c:invertIfNegative val="0"/>
          <c:val>
            <c:numRef>
              <c:f>times!$B$20:$F$20</c:f>
              <c:numCache>
                <c:formatCode>General</c:formatCode>
                <c:ptCount val="5"/>
                <c:pt idx="0">
                  <c:v>0.6703329999999994</c:v>
                </c:pt>
                <c:pt idx="1">
                  <c:v>1.220873000000001</c:v>
                </c:pt>
                <c:pt idx="2">
                  <c:v>1.2093330000000009</c:v>
                </c:pt>
                <c:pt idx="3">
                  <c:v>1.8376270000000012</c:v>
                </c:pt>
                <c:pt idx="4">
                  <c:v>2.801281000000003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FAF-491D-8EDA-B3A068EA63F0}"/>
            </c:ext>
          </c:extLst>
        </c:ser>
        <c:ser>
          <c:idx val="20"/>
          <c:order val="20"/>
          <c:spPr>
            <a:noFill/>
          </c:spPr>
          <c:invertIfNegative val="0"/>
          <c:val>
            <c:numRef>
              <c:f>times!$B$21:$F$21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FAF-491D-8EDA-B3A068EA63F0}"/>
            </c:ext>
          </c:extLst>
        </c:ser>
        <c:ser>
          <c:idx val="21"/>
          <c:order val="21"/>
          <c:invertIfNegative val="0"/>
          <c:val>
            <c:numRef>
              <c:f>times!$B$22:$F$22</c:f>
              <c:numCache>
                <c:formatCode>General</c:formatCode>
                <c:ptCount val="5"/>
                <c:pt idx="0">
                  <c:v>0.7087210000000006</c:v>
                </c:pt>
                <c:pt idx="1">
                  <c:v>2.2970389999999981</c:v>
                </c:pt>
                <c:pt idx="2">
                  <c:v>0.39347100000000168</c:v>
                </c:pt>
                <c:pt idx="3">
                  <c:v>0.12705499999999859</c:v>
                </c:pt>
                <c:pt idx="4">
                  <c:v>0.43051700000000181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FAF-491D-8EDA-B3A068EA63F0}"/>
            </c:ext>
          </c:extLst>
        </c:ser>
        <c:ser>
          <c:idx val="22"/>
          <c:order val="22"/>
          <c:spPr>
            <a:noFill/>
          </c:spPr>
          <c:invertIfNegative val="0"/>
          <c:val>
            <c:numRef>
              <c:f>times!$B$23:$F$23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0.87393799999999189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FAF-491D-8EDA-B3A068EA63F0}"/>
            </c:ext>
          </c:extLst>
        </c:ser>
        <c:ser>
          <c:idx val="23"/>
          <c:order val="23"/>
          <c:invertIfNegative val="0"/>
          <c:val>
            <c:numRef>
              <c:f>times!$B$24:$F$24</c:f>
              <c:numCache>
                <c:formatCode>General</c:formatCode>
                <c:ptCount val="5"/>
                <c:pt idx="0">
                  <c:v>0.82094199999999873</c:v>
                </c:pt>
                <c:pt idx="1">
                  <c:v>2.1945890000000006</c:v>
                </c:pt>
                <c:pt idx="2">
                  <c:v>3.0520139999999998</c:v>
                </c:pt>
                <c:pt idx="3">
                  <c:v>6.1982779999999984</c:v>
                </c:pt>
                <c:pt idx="4">
                  <c:v>0.85240000000000293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FAF-491D-8EDA-B3A068EA63F0}"/>
            </c:ext>
          </c:extLst>
        </c:ser>
        <c:ser>
          <c:idx val="24"/>
          <c:order val="24"/>
          <c:invertIfNegative val="0"/>
          <c:val>
            <c:numRef>
              <c:f>times!$B$25:$F$25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FAF-491D-8EDA-B3A068EA63F0}"/>
            </c:ext>
          </c:extLst>
        </c:ser>
        <c:ser>
          <c:idx val="25"/>
          <c:order val="25"/>
          <c:invertIfNegative val="0"/>
          <c:val>
            <c:numRef>
              <c:f>times!$B$26:$F$26</c:f>
              <c:numCache>
                <c:formatCode>General</c:formatCode>
                <c:ptCount val="5"/>
                <c:pt idx="0">
                  <c:v>0.50842199999999949</c:v>
                </c:pt>
                <c:pt idx="1">
                  <c:v>1.5229320000000008</c:v>
                </c:pt>
                <c:pt idx="2">
                  <c:v>0.54910999999999888</c:v>
                </c:pt>
                <c:pt idx="3">
                  <c:v>0.67359700000000089</c:v>
                </c:pt>
                <c:pt idx="4">
                  <c:v>1.9096150000000023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FAF-491D-8EDA-B3A068EA63F0}"/>
            </c:ext>
          </c:extLst>
        </c:ser>
        <c:ser>
          <c:idx val="26"/>
          <c:order val="26"/>
          <c:spPr>
            <a:noFill/>
          </c:spPr>
          <c:invertIfNegative val="0"/>
          <c:val>
            <c:numRef>
              <c:f>times!$B$27:$F$27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0.87433400000000105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FAF-491D-8EDA-B3A068EA63F0}"/>
            </c:ext>
          </c:extLst>
        </c:ser>
        <c:ser>
          <c:idx val="27"/>
          <c:order val="27"/>
          <c:invertIfNegative val="0"/>
          <c:val>
            <c:numRef>
              <c:f>times!$B$28:$F$28</c:f>
              <c:numCache>
                <c:formatCode>General</c:formatCode>
                <c:ptCount val="5"/>
                <c:pt idx="0">
                  <c:v>3.1823599999999992</c:v>
                </c:pt>
                <c:pt idx="1">
                  <c:v>2.9525259999999989</c:v>
                </c:pt>
                <c:pt idx="2">
                  <c:v>0.60531800000000047</c:v>
                </c:pt>
                <c:pt idx="3">
                  <c:v>0.41000199999999865</c:v>
                </c:pt>
                <c:pt idx="4">
                  <c:v>1.5989900000000006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FAF-491D-8EDA-B3A068EA63F0}"/>
            </c:ext>
          </c:extLst>
        </c:ser>
        <c:ser>
          <c:idx val="28"/>
          <c:order val="28"/>
          <c:spPr>
            <a:noFill/>
          </c:spPr>
          <c:invertIfNegative val="0"/>
          <c:val>
            <c:numRef>
              <c:f>times!$B$29:$F$29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12.052484999999997</c:v>
                </c:pt>
                <c:pt idx="3">
                  <c:v>4.9664309999999929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FAF-491D-8EDA-B3A068EA63F0}"/>
            </c:ext>
          </c:extLst>
        </c:ser>
        <c:ser>
          <c:idx val="29"/>
          <c:order val="29"/>
          <c:invertIfNegative val="0"/>
          <c:val>
            <c:numRef>
              <c:f>times!$B$30:$F$30</c:f>
              <c:numCache>
                <c:formatCode>General</c:formatCode>
                <c:ptCount val="5"/>
                <c:pt idx="0">
                  <c:v>2.0840589999999999</c:v>
                </c:pt>
                <c:pt idx="1">
                  <c:v>12.657802999999998</c:v>
                </c:pt>
                <c:pt idx="2">
                  <c:v>0.64941799999999716</c:v>
                </c:pt>
                <c:pt idx="3">
                  <c:v>1.4758110000000002</c:v>
                </c:pt>
                <c:pt idx="4">
                  <c:v>4.3935960000000023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FAF-491D-8EDA-B3A068EA63F0}"/>
            </c:ext>
          </c:extLst>
        </c:ser>
        <c:ser>
          <c:idx val="30"/>
          <c:order val="30"/>
          <c:spPr>
            <a:noFill/>
          </c:spPr>
          <c:invertIfNegative val="0"/>
          <c:val>
            <c:numRef>
              <c:f>times!$B$31:$F$31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0.32499800000000079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FAF-491D-8EDA-B3A068EA63F0}"/>
            </c:ext>
          </c:extLst>
        </c:ser>
        <c:ser>
          <c:idx val="31"/>
          <c:order val="31"/>
          <c:invertIfNegative val="0"/>
          <c:val>
            <c:numRef>
              <c:f>times!$B$32:$F$32</c:f>
              <c:numCache>
                <c:formatCode>General</c:formatCode>
                <c:ptCount val="5"/>
                <c:pt idx="0">
                  <c:v>0.47710000000000008</c:v>
                </c:pt>
                <c:pt idx="1">
                  <c:v>0.97441599999999795</c:v>
                </c:pt>
                <c:pt idx="2">
                  <c:v>0.56239200000000267</c:v>
                </c:pt>
                <c:pt idx="3">
                  <c:v>8.5608930000000001</c:v>
                </c:pt>
                <c:pt idx="4">
                  <c:v>1.0565209999999965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FAF-491D-8EDA-B3A068EA63F0}"/>
            </c:ext>
          </c:extLst>
        </c:ser>
        <c:ser>
          <c:idx val="32"/>
          <c:order val="32"/>
          <c:spPr>
            <a:noFill/>
          </c:spPr>
          <c:invertIfNegative val="0"/>
          <c:val>
            <c:numRef>
              <c:f>times!$B$33:$F$33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4.7310899999999947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FAF-491D-8EDA-B3A068EA63F0}"/>
            </c:ext>
          </c:extLst>
        </c:ser>
        <c:ser>
          <c:idx val="33"/>
          <c:order val="33"/>
          <c:invertIfNegative val="0"/>
          <c:val>
            <c:numRef>
              <c:f>times!$B$34:$F$34</c:f>
              <c:numCache>
                <c:formatCode>General</c:formatCode>
                <c:ptCount val="5"/>
                <c:pt idx="0">
                  <c:v>0.18357699999999966</c:v>
                </c:pt>
                <c:pt idx="1">
                  <c:v>5.2934819999999974</c:v>
                </c:pt>
                <c:pt idx="2">
                  <c:v>2.2384950000000003</c:v>
                </c:pt>
                <c:pt idx="3">
                  <c:v>0.49861700000000297</c:v>
                </c:pt>
                <c:pt idx="4">
                  <c:v>3.2608329999999981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FAF-491D-8EDA-B3A068EA63F0}"/>
            </c:ext>
          </c:extLst>
        </c:ser>
        <c:ser>
          <c:idx val="34"/>
          <c:order val="34"/>
          <c:spPr>
            <a:noFill/>
          </c:spPr>
          <c:invertIfNegative val="0"/>
          <c:val>
            <c:numRef>
              <c:f>times!$B$35:$F$35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0.12718099999999311</c:v>
                </c:pt>
                <c:pt idx="4">
                  <c:v>1.0806759999999827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FAF-491D-8EDA-B3A068EA63F0}"/>
            </c:ext>
          </c:extLst>
        </c:ser>
        <c:ser>
          <c:idx val="35"/>
          <c:order val="35"/>
          <c:invertIfNegative val="0"/>
          <c:val>
            <c:numRef>
              <c:f>times!$B$36:$F$36</c:f>
              <c:numCache>
                <c:formatCode>General</c:formatCode>
                <c:ptCount val="5"/>
                <c:pt idx="0">
                  <c:v>1.0918509999999984</c:v>
                </c:pt>
                <c:pt idx="1">
                  <c:v>0.18550299999999709</c:v>
                </c:pt>
                <c:pt idx="2">
                  <c:v>2.8055269999999979</c:v>
                </c:pt>
                <c:pt idx="3">
                  <c:v>6.1900430000000028</c:v>
                </c:pt>
                <c:pt idx="4">
                  <c:v>1.6479720000000029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FAF-491D-8EDA-B3A068EA63F0}"/>
            </c:ext>
          </c:extLst>
        </c:ser>
        <c:ser>
          <c:idx val="36"/>
          <c:order val="36"/>
          <c:invertIfNegative val="0"/>
          <c:val>
            <c:numRef>
              <c:f>times!$B$37:$F$37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FAF-491D-8EDA-B3A068EA63F0}"/>
            </c:ext>
          </c:extLst>
        </c:ser>
        <c:ser>
          <c:idx val="37"/>
          <c:order val="37"/>
          <c:invertIfNegative val="0"/>
          <c:val>
            <c:numRef>
              <c:f>times!$B$38:$F$38</c:f>
              <c:numCache>
                <c:formatCode>General</c:formatCode>
                <c:ptCount val="5"/>
                <c:pt idx="0">
                  <c:v>1.3771589999999989</c:v>
                </c:pt>
                <c:pt idx="1">
                  <c:v>0.62791599999999903</c:v>
                </c:pt>
                <c:pt idx="2">
                  <c:v>0.41812900000000042</c:v>
                </c:pt>
                <c:pt idx="3">
                  <c:v>0.55666599999999988</c:v>
                </c:pt>
                <c:pt idx="4">
                  <c:v>1.1917029999999968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FAF-491D-8EDA-B3A068EA63F0}"/>
            </c:ext>
          </c:extLst>
        </c:ser>
        <c:ser>
          <c:idx val="38"/>
          <c:order val="38"/>
          <c:invertIfNegative val="0"/>
          <c:val>
            <c:numRef>
              <c:f>times!$B$39:$F$39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FAF-491D-8EDA-B3A068EA63F0}"/>
            </c:ext>
          </c:extLst>
        </c:ser>
        <c:ser>
          <c:idx val="39"/>
          <c:order val="39"/>
          <c:invertIfNegative val="0"/>
          <c:val>
            <c:numRef>
              <c:f>times!$B$40:$F$40</c:f>
              <c:numCache>
                <c:formatCode>General</c:formatCode>
                <c:ptCount val="5"/>
                <c:pt idx="0">
                  <c:v>0.52392299999999992</c:v>
                </c:pt>
                <c:pt idx="1">
                  <c:v>0.45342999999999734</c:v>
                </c:pt>
                <c:pt idx="2">
                  <c:v>1.1313120000000012</c:v>
                </c:pt>
                <c:pt idx="3">
                  <c:v>1.9102099999999993</c:v>
                </c:pt>
                <c:pt idx="4">
                  <c:v>4.4555580000000035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FAF-491D-8EDA-B3A068EA63F0}"/>
            </c:ext>
          </c:extLst>
        </c:ser>
        <c:ser>
          <c:idx val="40"/>
          <c:order val="40"/>
          <c:invertIfNegative val="0"/>
          <c:val>
            <c:numRef>
              <c:f>times!$B$41:$F$41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FAF-491D-8EDA-B3A068EA63F0}"/>
            </c:ext>
          </c:extLst>
        </c:ser>
        <c:ser>
          <c:idx val="41"/>
          <c:order val="41"/>
          <c:invertIfNegative val="0"/>
          <c:val>
            <c:numRef>
              <c:f>times!$B$42:$F$42</c:f>
              <c:numCache>
                <c:formatCode>General</c:formatCode>
                <c:ptCount val="5"/>
                <c:pt idx="0">
                  <c:v>0.40313199999999938</c:v>
                </c:pt>
                <c:pt idx="1">
                  <c:v>0.12973800000000324</c:v>
                </c:pt>
                <c:pt idx="2">
                  <c:v>0.32093900000000275</c:v>
                </c:pt>
                <c:pt idx="3">
                  <c:v>2.9673550000000048</c:v>
                </c:pt>
                <c:pt idx="4">
                  <c:v>2.6963650000000001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FAF-491D-8EDA-B3A068EA63F0}"/>
            </c:ext>
          </c:extLst>
        </c:ser>
        <c:ser>
          <c:idx val="42"/>
          <c:order val="42"/>
          <c:invertIfNegative val="0"/>
          <c:val>
            <c:numRef>
              <c:f>times!$B$43:$F$43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FAF-491D-8EDA-B3A068EA63F0}"/>
            </c:ext>
          </c:extLst>
        </c:ser>
        <c:ser>
          <c:idx val="43"/>
          <c:order val="43"/>
          <c:invertIfNegative val="0"/>
          <c:val>
            <c:numRef>
              <c:f>times!$B$44:$F$44</c:f>
              <c:numCache>
                <c:formatCode>General</c:formatCode>
                <c:ptCount val="5"/>
                <c:pt idx="0">
                  <c:v>1.3602179999999997</c:v>
                </c:pt>
                <c:pt idx="1">
                  <c:v>3.6951660000000004</c:v>
                </c:pt>
                <c:pt idx="2">
                  <c:v>5.2749420000000029</c:v>
                </c:pt>
                <c:pt idx="3">
                  <c:v>0.84365400000000079</c:v>
                </c:pt>
                <c:pt idx="4">
                  <c:v>0.53472899999999868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CFAF-491D-8EDA-B3A068EA63F0}"/>
            </c:ext>
          </c:extLst>
        </c:ser>
        <c:ser>
          <c:idx val="44"/>
          <c:order val="44"/>
          <c:invertIfNegative val="0"/>
          <c:val>
            <c:numRef>
              <c:f>times!$B$45:$F$45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FAF-491D-8EDA-B3A068EA63F0}"/>
            </c:ext>
          </c:extLst>
        </c:ser>
        <c:ser>
          <c:idx val="45"/>
          <c:order val="45"/>
          <c:invertIfNegative val="0"/>
          <c:val>
            <c:numRef>
              <c:f>times!$B$46:$F$46</c:f>
              <c:numCache>
                <c:formatCode>General</c:formatCode>
                <c:ptCount val="5"/>
                <c:pt idx="0">
                  <c:v>1.3609310000000008</c:v>
                </c:pt>
                <c:pt idx="1">
                  <c:v>1.1132980000000003</c:v>
                </c:pt>
                <c:pt idx="2">
                  <c:v>5.0169469999999947</c:v>
                </c:pt>
                <c:pt idx="3">
                  <c:v>1.3483889999999974</c:v>
                </c:pt>
                <c:pt idx="4">
                  <c:v>0.14504999999999768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FAF-491D-8EDA-B3A068EA63F0}"/>
            </c:ext>
          </c:extLst>
        </c:ser>
        <c:ser>
          <c:idx val="46"/>
          <c:order val="46"/>
          <c:invertIfNegative val="0"/>
          <c:val>
            <c:numRef>
              <c:f>times!$B$47:$F$47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FAF-491D-8EDA-B3A068EA63F0}"/>
            </c:ext>
          </c:extLst>
        </c:ser>
        <c:ser>
          <c:idx val="47"/>
          <c:order val="47"/>
          <c:invertIfNegative val="0"/>
          <c:val>
            <c:numRef>
              <c:f>times!$B$48:$F$48</c:f>
              <c:numCache>
                <c:formatCode>General</c:formatCode>
                <c:ptCount val="5"/>
                <c:pt idx="0">
                  <c:v>2.3365739999999988</c:v>
                </c:pt>
                <c:pt idx="1">
                  <c:v>0.37844700000000131</c:v>
                </c:pt>
                <c:pt idx="2">
                  <c:v>0.55548799999999687</c:v>
                </c:pt>
                <c:pt idx="3">
                  <c:v>0.62420099999999934</c:v>
                </c:pt>
                <c:pt idx="4">
                  <c:v>2.3749449999999968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CFAF-491D-8EDA-B3A068EA63F0}"/>
            </c:ext>
          </c:extLst>
        </c:ser>
        <c:ser>
          <c:idx val="48"/>
          <c:order val="48"/>
          <c:invertIfNegative val="0"/>
          <c:val>
            <c:numRef>
              <c:f>times!$B$49:$F$49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1.9665310000000034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FAF-491D-8EDA-B3A068EA63F0}"/>
            </c:ext>
          </c:extLst>
        </c:ser>
        <c:ser>
          <c:idx val="49"/>
          <c:order val="49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times!$B$50:$F$50</c:f>
              <c:numCache>
                <c:formatCode>General</c:formatCode>
                <c:ptCount val="5"/>
                <c:pt idx="0">
                  <c:v>7.0562759999999969</c:v>
                </c:pt>
                <c:pt idx="1">
                  <c:v>4.092331999999999</c:v>
                </c:pt>
                <c:pt idx="2">
                  <c:v>0.12810899999999492</c:v>
                </c:pt>
                <c:pt idx="3">
                  <c:v>6.7623779999999982</c:v>
                </c:pt>
                <c:pt idx="4">
                  <c:v>0.44609499999999969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FAF-491D-8EDA-B3A068EA63F0}"/>
            </c:ext>
          </c:extLst>
        </c:ser>
        <c:ser>
          <c:idx val="50"/>
          <c:order val="50"/>
          <c:invertIfNegative val="0"/>
          <c:val>
            <c:numRef>
              <c:f>times!$B$51:$F$51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1.9633469999999988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FAF-491D-8EDA-B3A068EA63F0}"/>
            </c:ext>
          </c:extLst>
        </c:ser>
        <c:ser>
          <c:idx val="51"/>
          <c:order val="51"/>
          <c:invertIfNegative val="0"/>
          <c:val>
            <c:numRef>
              <c:f>times!$B$52:$F$52</c:f>
              <c:numCache>
                <c:formatCode>General</c:formatCode>
                <c:ptCount val="5"/>
                <c:pt idx="0">
                  <c:v>1.0659629999999964</c:v>
                </c:pt>
                <c:pt idx="1">
                  <c:v>3.1397150000000025</c:v>
                </c:pt>
                <c:pt idx="2">
                  <c:v>0.27382000000000062</c:v>
                </c:pt>
                <c:pt idx="3">
                  <c:v>2.4094419999999985</c:v>
                </c:pt>
                <c:pt idx="4">
                  <c:v>4.8850709999999964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CFAF-491D-8EDA-B3A068EA63F0}"/>
            </c:ext>
          </c:extLst>
        </c:ser>
        <c:ser>
          <c:idx val="52"/>
          <c:order val="52"/>
          <c:invertIfNegative val="0"/>
          <c:val>
            <c:numRef>
              <c:f>times!$B$53:$F$53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CFAF-491D-8EDA-B3A068EA63F0}"/>
            </c:ext>
          </c:extLst>
        </c:ser>
        <c:ser>
          <c:idx val="53"/>
          <c:order val="53"/>
          <c:invertIfNegative val="0"/>
          <c:val>
            <c:numRef>
              <c:f>times!$B$54:$F$54</c:f>
              <c:numCache>
                <c:formatCode>General</c:formatCode>
                <c:ptCount val="5"/>
                <c:pt idx="0">
                  <c:v>5.1576140000000024</c:v>
                </c:pt>
                <c:pt idx="1">
                  <c:v>1.604261000000001</c:v>
                </c:pt>
                <c:pt idx="2">
                  <c:v>1.5245489999999933</c:v>
                </c:pt>
                <c:pt idx="3">
                  <c:v>0.17917900000000486</c:v>
                </c:pt>
                <c:pt idx="4">
                  <c:v>0.71275699999999631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CFAF-491D-8EDA-B3A068EA63F0}"/>
            </c:ext>
          </c:extLst>
        </c:ser>
        <c:ser>
          <c:idx val="54"/>
          <c:order val="54"/>
          <c:invertIfNegative val="0"/>
          <c:val>
            <c:numRef>
              <c:f>times!$B$55:$F$55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CFAF-491D-8EDA-B3A068EA63F0}"/>
            </c:ext>
          </c:extLst>
        </c:ser>
        <c:ser>
          <c:idx val="55"/>
          <c:order val="55"/>
          <c:invertIfNegative val="0"/>
          <c:val>
            <c:numRef>
              <c:f>times!$B$56:$F$56</c:f>
              <c:numCache>
                <c:formatCode>General</c:formatCode>
                <c:ptCount val="5"/>
                <c:pt idx="0">
                  <c:v>2.8284489999999991</c:v>
                </c:pt>
                <c:pt idx="1">
                  <c:v>2.6870289999999954</c:v>
                </c:pt>
                <c:pt idx="2">
                  <c:v>0.74896900000000244</c:v>
                </c:pt>
                <c:pt idx="3">
                  <c:v>0.43965300000000695</c:v>
                </c:pt>
                <c:pt idx="4">
                  <c:v>1.0430999999999955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CFAF-491D-8EDA-B3A068EA63F0}"/>
            </c:ext>
          </c:extLst>
        </c:ser>
        <c:ser>
          <c:idx val="56"/>
          <c:order val="56"/>
          <c:spPr>
            <a:noFill/>
          </c:spPr>
          <c:invertIfNegative val="0"/>
          <c:val>
            <c:numRef>
              <c:f>times!$B$57:$F$57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1.7349000000000103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CFAF-491D-8EDA-B3A068EA63F0}"/>
            </c:ext>
          </c:extLst>
        </c:ser>
        <c:ser>
          <c:idx val="57"/>
          <c:order val="57"/>
          <c:invertIfNegative val="0"/>
          <c:val>
            <c:numRef>
              <c:f>times!$B$58:$F$58</c:f>
              <c:numCache>
                <c:formatCode>General</c:formatCode>
                <c:ptCount val="5"/>
                <c:pt idx="0">
                  <c:v>0.17797199999999691</c:v>
                </c:pt>
                <c:pt idx="1">
                  <c:v>4.065291000000002</c:v>
                </c:pt>
                <c:pt idx="2">
                  <c:v>5.7812289999999962</c:v>
                </c:pt>
                <c:pt idx="3">
                  <c:v>0.31716500000000281</c:v>
                </c:pt>
                <c:pt idx="4">
                  <c:v>0.48211399999999571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FAF-491D-8EDA-B3A068EA63F0}"/>
            </c:ext>
          </c:extLst>
        </c:ser>
        <c:ser>
          <c:idx val="58"/>
          <c:order val="58"/>
          <c:invertIfNegative val="0"/>
          <c:val>
            <c:numRef>
              <c:f>times!$B$59:$F$59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0.46416699999997491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CFAF-491D-8EDA-B3A068EA63F0}"/>
            </c:ext>
          </c:extLst>
        </c:ser>
        <c:ser>
          <c:idx val="59"/>
          <c:order val="59"/>
          <c:invertIfNegative val="0"/>
          <c:val>
            <c:numRef>
              <c:f>times!$B$60:$F$60</c:f>
              <c:numCache>
                <c:formatCode>General</c:formatCode>
                <c:ptCount val="5"/>
                <c:pt idx="0">
                  <c:v>0.46722100000000211</c:v>
                </c:pt>
                <c:pt idx="1">
                  <c:v>1.6738189999999946</c:v>
                </c:pt>
                <c:pt idx="2">
                  <c:v>2.1031689999999941</c:v>
                </c:pt>
                <c:pt idx="3">
                  <c:v>1.0648680000000041</c:v>
                </c:pt>
                <c:pt idx="4">
                  <c:v>0.92732200000000375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CFAF-491D-8EDA-B3A068EA63F0}"/>
            </c:ext>
          </c:extLst>
        </c:ser>
        <c:ser>
          <c:idx val="60"/>
          <c:order val="60"/>
          <c:invertIfNegative val="0"/>
          <c:val>
            <c:numRef>
              <c:f>times!$B$61:$F$61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CFAF-491D-8EDA-B3A068EA63F0}"/>
            </c:ext>
          </c:extLst>
        </c:ser>
        <c:ser>
          <c:idx val="61"/>
          <c:order val="61"/>
          <c:invertIfNegative val="0"/>
          <c:val>
            <c:numRef>
              <c:f>times!$B$62:$F$62</c:f>
              <c:numCache>
                <c:formatCode>General</c:formatCode>
                <c:ptCount val="5"/>
                <c:pt idx="0">
                  <c:v>1.2415469999999971</c:v>
                </c:pt>
                <c:pt idx="1">
                  <c:v>1.4253209999999967</c:v>
                </c:pt>
                <c:pt idx="2">
                  <c:v>0.23203399999999874</c:v>
                </c:pt>
                <c:pt idx="3">
                  <c:v>0.54702699999999993</c:v>
                </c:pt>
                <c:pt idx="4">
                  <c:v>2.9598809999999958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CFAF-491D-8EDA-B3A068EA63F0}"/>
            </c:ext>
          </c:extLst>
        </c:ser>
        <c:ser>
          <c:idx val="62"/>
          <c:order val="62"/>
          <c:invertIfNegative val="0"/>
          <c:val>
            <c:numRef>
              <c:f>times!$B$63:$F$63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0.14879299999999773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CFAF-491D-8EDA-B3A068EA63F0}"/>
            </c:ext>
          </c:extLst>
        </c:ser>
        <c:ser>
          <c:idx val="63"/>
          <c:order val="63"/>
          <c:invertIfNegative val="0"/>
          <c:val>
            <c:numRef>
              <c:f>times!$B$64:$F$64</c:f>
              <c:numCache>
                <c:formatCode>General</c:formatCode>
                <c:ptCount val="5"/>
                <c:pt idx="0">
                  <c:v>2.5771709999999999</c:v>
                </c:pt>
                <c:pt idx="1">
                  <c:v>0.67383700000000601</c:v>
                </c:pt>
                <c:pt idx="2">
                  <c:v>1.5286540000000031</c:v>
                </c:pt>
                <c:pt idx="3">
                  <c:v>3.8548710000000028</c:v>
                </c:pt>
                <c:pt idx="4">
                  <c:v>0.10681800000000408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CFAF-491D-8EDA-B3A068EA63F0}"/>
            </c:ext>
          </c:extLst>
        </c:ser>
        <c:ser>
          <c:idx val="64"/>
          <c:order val="64"/>
          <c:invertIfNegative val="0"/>
          <c:val>
            <c:numRef>
              <c:f>times!$B$65:$F$65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CFAF-491D-8EDA-B3A068EA63F0}"/>
            </c:ext>
          </c:extLst>
        </c:ser>
        <c:ser>
          <c:idx val="65"/>
          <c:order val="65"/>
          <c:invertIfNegative val="0"/>
          <c:val>
            <c:numRef>
              <c:f>times!$B$66:$F$66</c:f>
              <c:numCache>
                <c:formatCode>General</c:formatCode>
                <c:ptCount val="5"/>
                <c:pt idx="0">
                  <c:v>0.47128000000000014</c:v>
                </c:pt>
                <c:pt idx="1">
                  <c:v>0.8426589999999976</c:v>
                </c:pt>
                <c:pt idx="2">
                  <c:v>0.96228999999999587</c:v>
                </c:pt>
                <c:pt idx="3">
                  <c:v>3.8380829999999975</c:v>
                </c:pt>
                <c:pt idx="4">
                  <c:v>1.9829809999999952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CFAF-491D-8EDA-B3A068EA63F0}"/>
            </c:ext>
          </c:extLst>
        </c:ser>
        <c:ser>
          <c:idx val="66"/>
          <c:order val="66"/>
          <c:invertIfNegative val="0"/>
          <c:val>
            <c:numRef>
              <c:f>times!$B$67:$F$67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2.6328490000000073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CFAF-491D-8EDA-B3A068EA63F0}"/>
            </c:ext>
          </c:extLst>
        </c:ser>
        <c:ser>
          <c:idx val="67"/>
          <c:order val="67"/>
          <c:invertIfNegative val="0"/>
          <c:val>
            <c:numRef>
              <c:f>times!$B$68:$F$68</c:f>
              <c:numCache>
                <c:formatCode>General</c:formatCode>
                <c:ptCount val="5"/>
                <c:pt idx="0">
                  <c:v>1.5207219999999992</c:v>
                </c:pt>
                <c:pt idx="1">
                  <c:v>2.9311280000000011</c:v>
                </c:pt>
                <c:pt idx="2">
                  <c:v>0.32305599999999401</c:v>
                </c:pt>
                <c:pt idx="3">
                  <c:v>4.8790869999999984</c:v>
                </c:pt>
                <c:pt idx="4">
                  <c:v>0.37668800000000147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CFAF-491D-8EDA-B3A068EA63F0}"/>
            </c:ext>
          </c:extLst>
        </c:ser>
        <c:ser>
          <c:idx val="68"/>
          <c:order val="68"/>
          <c:invertIfNegative val="0"/>
          <c:val>
            <c:numRef>
              <c:f>times!$B$69:$F$69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0.8099770000000035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CFAF-491D-8EDA-B3A068EA63F0}"/>
            </c:ext>
          </c:extLst>
        </c:ser>
        <c:ser>
          <c:idx val="69"/>
          <c:order val="69"/>
          <c:invertIfNegative val="0"/>
          <c:val>
            <c:numRef>
              <c:f>times!$B$70:$F$70</c:f>
              <c:numCache>
                <c:formatCode>General</c:formatCode>
                <c:ptCount val="5"/>
                <c:pt idx="0">
                  <c:v>1.1715510000000009</c:v>
                </c:pt>
                <c:pt idx="1">
                  <c:v>1.7300560000000047</c:v>
                </c:pt>
                <c:pt idx="2">
                  <c:v>1.111305999999999</c:v>
                </c:pt>
                <c:pt idx="3">
                  <c:v>1.186665000000005</c:v>
                </c:pt>
                <c:pt idx="4">
                  <c:v>1.7587299999999999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CFAF-491D-8EDA-B3A068EA63F0}"/>
            </c:ext>
          </c:extLst>
        </c:ser>
        <c:ser>
          <c:idx val="70"/>
          <c:order val="70"/>
          <c:invertIfNegative val="0"/>
          <c:val>
            <c:numRef>
              <c:f>times!$B$71:$F$71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CFAF-491D-8EDA-B3A068EA63F0}"/>
            </c:ext>
          </c:extLst>
        </c:ser>
        <c:ser>
          <c:idx val="71"/>
          <c:order val="71"/>
          <c:invertIfNegative val="0"/>
          <c:val>
            <c:numRef>
              <c:f>times!$B$72:$F$72</c:f>
              <c:numCache>
                <c:formatCode>General</c:formatCode>
                <c:ptCount val="5"/>
                <c:pt idx="0">
                  <c:v>2.1728730000000027</c:v>
                </c:pt>
                <c:pt idx="1">
                  <c:v>0.71936399999999878</c:v>
                </c:pt>
                <c:pt idx="2">
                  <c:v>8.4845040000000012</c:v>
                </c:pt>
                <c:pt idx="3">
                  <c:v>1.5914970000000039</c:v>
                </c:pt>
                <c:pt idx="4">
                  <c:v>2.3196020000000033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CFAF-491D-8EDA-B3A068EA63F0}"/>
            </c:ext>
          </c:extLst>
        </c:ser>
        <c:ser>
          <c:idx val="72"/>
          <c:order val="72"/>
          <c:invertIfNegative val="0"/>
          <c:val>
            <c:numRef>
              <c:f>times!$B$73:$F$73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0.74705699999999808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CFAF-491D-8EDA-B3A068EA63F0}"/>
            </c:ext>
          </c:extLst>
        </c:ser>
        <c:ser>
          <c:idx val="73"/>
          <c:order val="73"/>
          <c:invertIfNegative val="0"/>
          <c:val>
            <c:numRef>
              <c:f>times!$B$74:$F$74</c:f>
              <c:numCache>
                <c:formatCode>General</c:formatCode>
                <c:ptCount val="5"/>
                <c:pt idx="0">
                  <c:v>2.8183400000000063</c:v>
                </c:pt>
                <c:pt idx="1">
                  <c:v>0.20088599999999701</c:v>
                </c:pt>
                <c:pt idx="2">
                  <c:v>0.97266500000000633</c:v>
                </c:pt>
                <c:pt idx="3">
                  <c:v>3.2338919999999973</c:v>
                </c:pt>
                <c:pt idx="4">
                  <c:v>2.6351480000000009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CFAF-491D-8EDA-B3A068EA63F0}"/>
            </c:ext>
          </c:extLst>
        </c:ser>
        <c:ser>
          <c:idx val="74"/>
          <c:order val="74"/>
          <c:invertIfNegative val="0"/>
          <c:val>
            <c:numRef>
              <c:f>times!$B$75:$F$75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CFAF-491D-8EDA-B3A068EA63F0}"/>
            </c:ext>
          </c:extLst>
        </c:ser>
        <c:ser>
          <c:idx val="75"/>
          <c:order val="75"/>
          <c:invertIfNegative val="0"/>
          <c:val>
            <c:numRef>
              <c:f>times!$B$76:$F$76</c:f>
              <c:numCache>
                <c:formatCode>General</c:formatCode>
                <c:ptCount val="5"/>
                <c:pt idx="0">
                  <c:v>0.64925599999999406</c:v>
                </c:pt>
                <c:pt idx="1">
                  <c:v>1.0024149999999992</c:v>
                </c:pt>
                <c:pt idx="2">
                  <c:v>0.60009599999999352</c:v>
                </c:pt>
                <c:pt idx="3">
                  <c:v>1.5463879999999932</c:v>
                </c:pt>
                <c:pt idx="4">
                  <c:v>1.7142010000000028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CFAF-491D-8EDA-B3A068EA63F0}"/>
            </c:ext>
          </c:extLst>
        </c:ser>
        <c:ser>
          <c:idx val="76"/>
          <c:order val="76"/>
          <c:invertIfNegative val="0"/>
          <c:val>
            <c:numRef>
              <c:f>times!$B$77:$F$77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CFAF-491D-8EDA-B3A068EA63F0}"/>
            </c:ext>
          </c:extLst>
        </c:ser>
        <c:ser>
          <c:idx val="77"/>
          <c:order val="77"/>
          <c:invertIfNegative val="0"/>
          <c:val>
            <c:numRef>
              <c:f>times!$B$78:$F$78</c:f>
              <c:numCache>
                <c:formatCode>General</c:formatCode>
                <c:ptCount val="5"/>
                <c:pt idx="0">
                  <c:v>4.2468029999999999</c:v>
                </c:pt>
                <c:pt idx="1">
                  <c:v>3.272593999999998</c:v>
                </c:pt>
                <c:pt idx="2">
                  <c:v>0.99921199999999999</c:v>
                </c:pt>
                <c:pt idx="3">
                  <c:v>1.5507460000000037</c:v>
                </c:pt>
                <c:pt idx="4">
                  <c:v>1.121571000000003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CFAF-491D-8EDA-B3A068EA63F0}"/>
            </c:ext>
          </c:extLst>
        </c:ser>
        <c:ser>
          <c:idx val="78"/>
          <c:order val="78"/>
          <c:invertIfNegative val="0"/>
          <c:val>
            <c:numRef>
              <c:f>times!$B$79:$F$79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CFAF-491D-8EDA-B3A068EA63F0}"/>
            </c:ext>
          </c:extLst>
        </c:ser>
        <c:ser>
          <c:idx val="79"/>
          <c:order val="79"/>
          <c:invertIfNegative val="0"/>
          <c:val>
            <c:numRef>
              <c:f>times!$B$80:$F$80</c:f>
              <c:numCache>
                <c:formatCode>General</c:formatCode>
                <c:ptCount val="5"/>
                <c:pt idx="0">
                  <c:v>0.8271699999999953</c:v>
                </c:pt>
                <c:pt idx="1">
                  <c:v>2.786327</c:v>
                </c:pt>
                <c:pt idx="2">
                  <c:v>2.1268950000000046</c:v>
                </c:pt>
                <c:pt idx="3">
                  <c:v>0.87709099999999296</c:v>
                </c:pt>
                <c:pt idx="4">
                  <c:v>1.5926269999999931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CFAF-491D-8EDA-B3A068EA63F0}"/>
            </c:ext>
          </c:extLst>
        </c:ser>
        <c:ser>
          <c:idx val="80"/>
          <c:order val="80"/>
          <c:invertIfNegative val="0"/>
          <c:val>
            <c:numRef>
              <c:f>times!$B$81:$F$81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CFAF-491D-8EDA-B3A068EA63F0}"/>
            </c:ext>
          </c:extLst>
        </c:ser>
        <c:ser>
          <c:idx val="81"/>
          <c:order val="81"/>
          <c:invertIfNegative val="0"/>
          <c:val>
            <c:numRef>
              <c:f>times!$B$82:$F$82</c:f>
              <c:numCache>
                <c:formatCode>General</c:formatCode>
                <c:ptCount val="5"/>
                <c:pt idx="0">
                  <c:v>1.3947380000000038</c:v>
                </c:pt>
                <c:pt idx="1">
                  <c:v>3.2779000000000025</c:v>
                </c:pt>
                <c:pt idx="2">
                  <c:v>4.431326999999996</c:v>
                </c:pt>
                <c:pt idx="3">
                  <c:v>0.93545899999999449</c:v>
                </c:pt>
                <c:pt idx="4">
                  <c:v>0.58633199999999874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CFAF-491D-8EDA-B3A068EA63F0}"/>
            </c:ext>
          </c:extLst>
        </c:ser>
        <c:ser>
          <c:idx val="82"/>
          <c:order val="82"/>
          <c:invertIfNegative val="0"/>
          <c:val>
            <c:numRef>
              <c:f>times!$B$83:$F$83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CFAF-491D-8EDA-B3A068EA63F0}"/>
            </c:ext>
          </c:extLst>
        </c:ser>
        <c:ser>
          <c:idx val="83"/>
          <c:order val="83"/>
          <c:invertIfNegative val="0"/>
          <c:val>
            <c:numRef>
              <c:f>times!$B$84:$F$84</c:f>
              <c:numCache>
                <c:formatCode>General</c:formatCode>
                <c:ptCount val="5"/>
                <c:pt idx="0">
                  <c:v>1.3902669999999944</c:v>
                </c:pt>
                <c:pt idx="1">
                  <c:v>0.56742099999999596</c:v>
                </c:pt>
                <c:pt idx="2">
                  <c:v>0.20750499999999761</c:v>
                </c:pt>
                <c:pt idx="3">
                  <c:v>1.8923800000000028</c:v>
                </c:pt>
                <c:pt idx="4">
                  <c:v>0.83097499999999513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CFAF-491D-8EDA-B3A068EA63F0}"/>
            </c:ext>
          </c:extLst>
        </c:ser>
        <c:ser>
          <c:idx val="84"/>
          <c:order val="84"/>
          <c:invertIfNegative val="0"/>
          <c:val>
            <c:numRef>
              <c:f>times!$B$85:$F$85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CFAF-491D-8EDA-B3A068EA63F0}"/>
            </c:ext>
          </c:extLst>
        </c:ser>
        <c:ser>
          <c:idx val="85"/>
          <c:order val="85"/>
          <c:invertIfNegative val="0"/>
          <c:val>
            <c:numRef>
              <c:f>times!$B$86:$F$86</c:f>
              <c:numCache>
                <c:formatCode>General</c:formatCode>
                <c:ptCount val="5"/>
                <c:pt idx="0">
                  <c:v>1.678377999999995</c:v>
                </c:pt>
                <c:pt idx="1">
                  <c:v>1.1931260000000066</c:v>
                </c:pt>
                <c:pt idx="2">
                  <c:v>0.96019800000000544</c:v>
                </c:pt>
                <c:pt idx="3">
                  <c:v>0.39007800000000259</c:v>
                </c:pt>
                <c:pt idx="4">
                  <c:v>0.12920699999999385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CFAF-491D-8EDA-B3A068EA63F0}"/>
            </c:ext>
          </c:extLst>
        </c:ser>
        <c:ser>
          <c:idx val="86"/>
          <c:order val="86"/>
          <c:invertIfNegative val="0"/>
          <c:val>
            <c:numRef>
              <c:f>times!$B$87:$F$87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CFAF-491D-8EDA-B3A068EA63F0}"/>
            </c:ext>
          </c:extLst>
        </c:ser>
        <c:ser>
          <c:idx val="87"/>
          <c:order val="87"/>
          <c:invertIfNegative val="0"/>
          <c:val>
            <c:numRef>
              <c:f>times!$B$88:$F$88</c:f>
              <c:numCache>
                <c:formatCode>General</c:formatCode>
                <c:ptCount val="5"/>
                <c:pt idx="0">
                  <c:v>0.22774400000000128</c:v>
                </c:pt>
                <c:pt idx="1">
                  <c:v>0.15813199999999483</c:v>
                </c:pt>
                <c:pt idx="2">
                  <c:v>1.035230999999996</c:v>
                </c:pt>
                <c:pt idx="3">
                  <c:v>6.8845999999993523E-2</c:v>
                </c:pt>
                <c:pt idx="4">
                  <c:v>1.6205810000000014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CFAF-491D-8EDA-B3A068EA63F0}"/>
            </c:ext>
          </c:extLst>
        </c:ser>
        <c:ser>
          <c:idx val="88"/>
          <c:order val="88"/>
          <c:invertIfNegative val="0"/>
          <c:val>
            <c:numRef>
              <c:f>times!$B$89:$F$89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CFAF-491D-8EDA-B3A068EA63F0}"/>
            </c:ext>
          </c:extLst>
        </c:ser>
        <c:ser>
          <c:idx val="89"/>
          <c:order val="89"/>
          <c:invertIfNegative val="0"/>
          <c:val>
            <c:numRef>
              <c:f>times!$B$90:$F$90</c:f>
              <c:numCache>
                <c:formatCode>General</c:formatCode>
                <c:ptCount val="5"/>
                <c:pt idx="0">
                  <c:v>0.14530999999999494</c:v>
                </c:pt>
                <c:pt idx="1">
                  <c:v>0.32510499999999354</c:v>
                </c:pt>
                <c:pt idx="2">
                  <c:v>0.28805499999999995</c:v>
                </c:pt>
                <c:pt idx="3">
                  <c:v>0.28311999999999671</c:v>
                </c:pt>
                <c:pt idx="4">
                  <c:v>0.49995199999999329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CFAF-491D-8EDA-B3A068EA63F0}"/>
            </c:ext>
          </c:extLst>
        </c:ser>
        <c:ser>
          <c:idx val="90"/>
          <c:order val="90"/>
          <c:invertIfNegative val="0"/>
          <c:val>
            <c:numRef>
              <c:f>times!$B$91:$F$91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CFAF-491D-8EDA-B3A068EA63F0}"/>
            </c:ext>
          </c:extLst>
        </c:ser>
        <c:ser>
          <c:idx val="91"/>
          <c:order val="91"/>
          <c:invertIfNegative val="0"/>
          <c:val>
            <c:numRef>
              <c:f>times!$B$92:$F$92</c:f>
              <c:numCache>
                <c:formatCode>General</c:formatCode>
                <c:ptCount val="5"/>
                <c:pt idx="0">
                  <c:v>0.32853400000000477</c:v>
                </c:pt>
                <c:pt idx="1">
                  <c:v>0.73473099999999647</c:v>
                </c:pt>
                <c:pt idx="2">
                  <c:v>2.510579000000007</c:v>
                </c:pt>
                <c:pt idx="3">
                  <c:v>2.4064580000000007</c:v>
                </c:pt>
                <c:pt idx="4">
                  <c:v>0.63590700000000311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CFAF-491D-8EDA-B3A068EA63F0}"/>
            </c:ext>
          </c:extLst>
        </c:ser>
        <c:ser>
          <c:idx val="92"/>
          <c:order val="92"/>
          <c:invertIfNegative val="0"/>
          <c:val>
            <c:numRef>
              <c:f>times!$B$93:$F$93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CFAF-491D-8EDA-B3A068EA63F0}"/>
            </c:ext>
          </c:extLst>
        </c:ser>
        <c:ser>
          <c:idx val="93"/>
          <c:order val="93"/>
          <c:invertIfNegative val="0"/>
          <c:val>
            <c:numRef>
              <c:f>times!$B$94:$F$94</c:f>
              <c:numCache>
                <c:formatCode>General</c:formatCode>
                <c:ptCount val="5"/>
                <c:pt idx="0">
                  <c:v>0.55967300000000364</c:v>
                </c:pt>
                <c:pt idx="1">
                  <c:v>6.9315459999999973</c:v>
                </c:pt>
                <c:pt idx="2">
                  <c:v>2.3240820000000042</c:v>
                </c:pt>
                <c:pt idx="3">
                  <c:v>0.93685200000000179</c:v>
                </c:pt>
                <c:pt idx="4">
                  <c:v>1.8928939999999983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CFAF-491D-8EDA-B3A068EA63F0}"/>
            </c:ext>
          </c:extLst>
        </c:ser>
        <c:ser>
          <c:idx val="94"/>
          <c:order val="94"/>
          <c:invertIfNegative val="0"/>
          <c:val>
            <c:numRef>
              <c:f>times!$B$95:$F$95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0.38324500000000228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CFAF-491D-8EDA-B3A068EA63F0}"/>
            </c:ext>
          </c:extLst>
        </c:ser>
        <c:ser>
          <c:idx val="95"/>
          <c:order val="95"/>
          <c:invertIfNegative val="0"/>
          <c:val>
            <c:numRef>
              <c:f>times!$B$96:$F$96</c:f>
              <c:numCache>
                <c:formatCode>General</c:formatCode>
                <c:ptCount val="5"/>
                <c:pt idx="0">
                  <c:v>2.2157739999999961</c:v>
                </c:pt>
                <c:pt idx="1">
                  <c:v>0.46205199999999991</c:v>
                </c:pt>
                <c:pt idx="2">
                  <c:v>1.1791419999999988</c:v>
                </c:pt>
                <c:pt idx="3">
                  <c:v>2.7552220000000034</c:v>
                </c:pt>
                <c:pt idx="4">
                  <c:v>2.0405990000000003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CFAF-491D-8EDA-B3A068EA63F0}"/>
            </c:ext>
          </c:extLst>
        </c:ser>
        <c:ser>
          <c:idx val="96"/>
          <c:order val="96"/>
          <c:invertIfNegative val="0"/>
          <c:val>
            <c:numRef>
              <c:f>times!$B$97:$F$97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1.5358719999999977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CFAF-491D-8EDA-B3A068EA63F0}"/>
            </c:ext>
          </c:extLst>
        </c:ser>
        <c:ser>
          <c:idx val="97"/>
          <c:order val="97"/>
          <c:invertIfNegative val="0"/>
          <c:val>
            <c:numRef>
              <c:f>times!$B$98:$F$98</c:f>
              <c:numCache>
                <c:formatCode>General</c:formatCode>
                <c:ptCount val="5"/>
                <c:pt idx="0">
                  <c:v>0.56507700000000227</c:v>
                </c:pt>
                <c:pt idx="1">
                  <c:v>0.29809400000000608</c:v>
                </c:pt>
                <c:pt idx="2">
                  <c:v>1.8855980000000017</c:v>
                </c:pt>
                <c:pt idx="3">
                  <c:v>3.576470999999998</c:v>
                </c:pt>
                <c:pt idx="4">
                  <c:v>1.6505650000000003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CFAF-491D-8EDA-B3A068EA63F0}"/>
            </c:ext>
          </c:extLst>
        </c:ser>
        <c:ser>
          <c:idx val="98"/>
          <c:order val="98"/>
          <c:invertIfNegative val="0"/>
          <c:val>
            <c:numRef>
              <c:f>times!$B$99:$F$99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CFAF-491D-8EDA-B3A068EA63F0}"/>
            </c:ext>
          </c:extLst>
        </c:ser>
        <c:ser>
          <c:idx val="99"/>
          <c:order val="99"/>
          <c:invertIfNegative val="0"/>
          <c:val>
            <c:numRef>
              <c:f>times!$B$100:$F$100</c:f>
              <c:numCache>
                <c:formatCode>General</c:formatCode>
                <c:ptCount val="5"/>
                <c:pt idx="0">
                  <c:v>0.84036399999999389</c:v>
                </c:pt>
                <c:pt idx="1">
                  <c:v>1.5070089999999965</c:v>
                </c:pt>
                <c:pt idx="2">
                  <c:v>0.6318859999999944</c:v>
                </c:pt>
                <c:pt idx="3">
                  <c:v>0.99148399999999981</c:v>
                </c:pt>
                <c:pt idx="4">
                  <c:v>0.70294900000000382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CFAF-491D-8EDA-B3A068EA63F0}"/>
            </c:ext>
          </c:extLst>
        </c:ser>
        <c:ser>
          <c:idx val="100"/>
          <c:order val="100"/>
          <c:invertIfNegative val="0"/>
          <c:val>
            <c:numRef>
              <c:f>times!$B$101:$F$101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0.54837799999999959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CFAF-491D-8EDA-B3A068EA63F0}"/>
            </c:ext>
          </c:extLst>
        </c:ser>
        <c:ser>
          <c:idx val="101"/>
          <c:order val="101"/>
          <c:invertIfNegative val="0"/>
          <c:val>
            <c:numRef>
              <c:f>times!$B$102:$F$102</c:f>
              <c:numCache>
                <c:formatCode>General</c:formatCode>
                <c:ptCount val="5"/>
                <c:pt idx="0">
                  <c:v>10.049221000000003</c:v>
                </c:pt>
                <c:pt idx="1">
                  <c:v>0.33778599999999415</c:v>
                </c:pt>
                <c:pt idx="2">
                  <c:v>0.53983499999999651</c:v>
                </c:pt>
                <c:pt idx="3">
                  <c:v>1.9104080000000039</c:v>
                </c:pt>
                <c:pt idx="4">
                  <c:v>3.5193090000000069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CFAF-491D-8EDA-B3A068EA63F0}"/>
            </c:ext>
          </c:extLst>
        </c:ser>
        <c:ser>
          <c:idx val="102"/>
          <c:order val="102"/>
          <c:invertIfNegative val="0"/>
          <c:val>
            <c:numRef>
              <c:f>times!$B$103:$F$103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CFAF-491D-8EDA-B3A068EA63F0}"/>
            </c:ext>
          </c:extLst>
        </c:ser>
        <c:ser>
          <c:idx val="103"/>
          <c:order val="103"/>
          <c:invertIfNegative val="0"/>
          <c:val>
            <c:numRef>
              <c:f>times!$B$104:$F$104</c:f>
              <c:numCache>
                <c:formatCode>General</c:formatCode>
                <c:ptCount val="5"/>
                <c:pt idx="0">
                  <c:v>2.9319109999999995</c:v>
                </c:pt>
                <c:pt idx="1">
                  <c:v>2.3702849999999955</c:v>
                </c:pt>
                <c:pt idx="2">
                  <c:v>0.398145999999997</c:v>
                </c:pt>
                <c:pt idx="3">
                  <c:v>0.83390500000000145</c:v>
                </c:pt>
                <c:pt idx="4">
                  <c:v>4.6139960000000002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CFAF-491D-8EDA-B3A068EA63F0}"/>
            </c:ext>
          </c:extLst>
        </c:ser>
        <c:ser>
          <c:idx val="104"/>
          <c:order val="104"/>
          <c:invertIfNegative val="0"/>
          <c:val>
            <c:numRef>
              <c:f>times!$B$105:$F$105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CFAF-491D-8EDA-B3A068EA63F0}"/>
            </c:ext>
          </c:extLst>
        </c:ser>
        <c:ser>
          <c:idx val="105"/>
          <c:order val="105"/>
          <c:invertIfNegative val="0"/>
          <c:val>
            <c:numRef>
              <c:f>times!$B$106:$F$106</c:f>
              <c:numCache>
                <c:formatCode>General</c:formatCode>
                <c:ptCount val="5"/>
                <c:pt idx="0">
                  <c:v>1.7663519999999977</c:v>
                </c:pt>
                <c:pt idx="1">
                  <c:v>3.8226870000000019</c:v>
                </c:pt>
                <c:pt idx="2">
                  <c:v>0.42781300000000044</c:v>
                </c:pt>
                <c:pt idx="3">
                  <c:v>0.53640900000000613</c:v>
                </c:pt>
                <c:pt idx="4">
                  <c:v>0.15307299999999202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CFAF-491D-8EDA-B3A068EA63F0}"/>
            </c:ext>
          </c:extLst>
        </c:ser>
        <c:ser>
          <c:idx val="106"/>
          <c:order val="106"/>
          <c:invertIfNegative val="0"/>
          <c:val>
            <c:numRef>
              <c:f>times!$B$107:$F$107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CFAF-491D-8EDA-B3A068EA63F0}"/>
            </c:ext>
          </c:extLst>
        </c:ser>
        <c:ser>
          <c:idx val="107"/>
          <c:order val="107"/>
          <c:invertIfNegative val="0"/>
          <c:val>
            <c:numRef>
              <c:f>times!$B$108:$F$108</c:f>
              <c:numCache>
                <c:formatCode>General</c:formatCode>
                <c:ptCount val="5"/>
                <c:pt idx="0">
                  <c:v>0.92196199999999351</c:v>
                </c:pt>
                <c:pt idx="1">
                  <c:v>2.3395749999999964</c:v>
                </c:pt>
                <c:pt idx="2">
                  <c:v>1.7719589999999954</c:v>
                </c:pt>
                <c:pt idx="3">
                  <c:v>0.36915000000000475</c:v>
                </c:pt>
                <c:pt idx="4">
                  <c:v>0.91647399999999379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CFAF-491D-8EDA-B3A068EA63F0}"/>
            </c:ext>
          </c:extLst>
        </c:ser>
        <c:ser>
          <c:idx val="108"/>
          <c:order val="108"/>
          <c:invertIfNegative val="0"/>
          <c:val>
            <c:numRef>
              <c:f>times!$B$109:$F$109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CFAF-491D-8EDA-B3A068EA63F0}"/>
            </c:ext>
          </c:extLst>
        </c:ser>
        <c:ser>
          <c:idx val="109"/>
          <c:order val="109"/>
          <c:invertIfNegative val="0"/>
          <c:val>
            <c:numRef>
              <c:f>times!$B$110:$F$110</c:f>
              <c:numCache>
                <c:formatCode>General</c:formatCode>
                <c:ptCount val="5"/>
                <c:pt idx="0">
                  <c:v>0.47439900000000534</c:v>
                </c:pt>
                <c:pt idx="1">
                  <c:v>1.0488349999999969</c:v>
                </c:pt>
                <c:pt idx="2">
                  <c:v>0.35066299999999728</c:v>
                </c:pt>
                <c:pt idx="3">
                  <c:v>0.8241610000000037</c:v>
                </c:pt>
                <c:pt idx="4">
                  <c:v>0.42909000000000219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CFAF-491D-8EDA-B3A068EA63F0}"/>
            </c:ext>
          </c:extLst>
        </c:ser>
        <c:ser>
          <c:idx val="110"/>
          <c:order val="110"/>
          <c:invertIfNegative val="0"/>
          <c:val>
            <c:numRef>
              <c:f>times!$B$111:$F$111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FAF-491D-8EDA-B3A068EA63F0}"/>
            </c:ext>
          </c:extLst>
        </c:ser>
        <c:ser>
          <c:idx val="111"/>
          <c:order val="111"/>
          <c:invertIfNegative val="0"/>
          <c:val>
            <c:numRef>
              <c:f>times!$B$112:$F$112</c:f>
              <c:numCache>
                <c:formatCode>General</c:formatCode>
                <c:ptCount val="5"/>
                <c:pt idx="0">
                  <c:v>0.61486700000000383</c:v>
                </c:pt>
                <c:pt idx="1">
                  <c:v>1.2956190000000021</c:v>
                </c:pt>
                <c:pt idx="2">
                  <c:v>0.85118099999999686</c:v>
                </c:pt>
                <c:pt idx="3">
                  <c:v>3.4643429999999995</c:v>
                </c:pt>
                <c:pt idx="4">
                  <c:v>0.78102100000000974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CFAF-491D-8EDA-B3A068EA63F0}"/>
            </c:ext>
          </c:extLst>
        </c:ser>
        <c:ser>
          <c:idx val="112"/>
          <c:order val="112"/>
          <c:invertIfNegative val="0"/>
          <c:val>
            <c:numRef>
              <c:f>times!$B$113:$F$113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FAF-491D-8EDA-B3A068EA63F0}"/>
            </c:ext>
          </c:extLst>
        </c:ser>
        <c:ser>
          <c:idx val="113"/>
          <c:order val="113"/>
          <c:invertIfNegative val="0"/>
          <c:val>
            <c:numRef>
              <c:f>times!$B$114:$F$114</c:f>
              <c:numCache>
                <c:formatCode>General</c:formatCode>
                <c:ptCount val="5"/>
                <c:pt idx="0">
                  <c:v>2.3129770000000036</c:v>
                </c:pt>
                <c:pt idx="1">
                  <c:v>0.83770199999999306</c:v>
                </c:pt>
                <c:pt idx="2">
                  <c:v>0.21342699999999581</c:v>
                </c:pt>
                <c:pt idx="3">
                  <c:v>2.3794280000000043</c:v>
                </c:pt>
                <c:pt idx="4">
                  <c:v>12.594129000000009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CFAF-491D-8EDA-B3A068EA63F0}"/>
            </c:ext>
          </c:extLst>
        </c:ser>
        <c:ser>
          <c:idx val="114"/>
          <c:order val="114"/>
          <c:spPr>
            <a:noFill/>
          </c:spPr>
          <c:invertIfNegative val="0"/>
          <c:val>
            <c:numRef>
              <c:f>times!$B$115:$F$115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2.8972369999999898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CFAF-491D-8EDA-B3A068EA63F0}"/>
            </c:ext>
          </c:extLst>
        </c:ser>
        <c:ser>
          <c:idx val="115"/>
          <c:order val="115"/>
          <c:invertIfNegative val="0"/>
          <c:val>
            <c:numRef>
              <c:f>times!$B$116:$F$116</c:f>
              <c:numCache>
                <c:formatCode>General</c:formatCode>
                <c:ptCount val="5"/>
                <c:pt idx="0">
                  <c:v>6.4870679999999936</c:v>
                </c:pt>
                <c:pt idx="1">
                  <c:v>3.3629629999999935</c:v>
                </c:pt>
                <c:pt idx="2">
                  <c:v>0.14215099999999836</c:v>
                </c:pt>
                <c:pt idx="3">
                  <c:v>1.6668860000000052</c:v>
                </c:pt>
                <c:pt idx="4">
                  <c:v>0.94263000000000829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CFAF-491D-8EDA-B3A068EA63F0}"/>
            </c:ext>
          </c:extLst>
        </c:ser>
        <c:ser>
          <c:idx val="116"/>
          <c:order val="116"/>
          <c:spPr>
            <a:noFill/>
          </c:spPr>
          <c:invertIfNegative val="0"/>
          <c:val>
            <c:numRef>
              <c:f>times!$B$117:$F$117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0.90173199999999554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CFAF-491D-8EDA-B3A068EA63F0}"/>
            </c:ext>
          </c:extLst>
        </c:ser>
        <c:ser>
          <c:idx val="117"/>
          <c:order val="117"/>
          <c:invertIfNegative val="0"/>
          <c:val>
            <c:numRef>
              <c:f>times!$B$118:$F$118</c:f>
              <c:numCache>
                <c:formatCode>General</c:formatCode>
                <c:ptCount val="5"/>
                <c:pt idx="0">
                  <c:v>0.18875900000000456</c:v>
                </c:pt>
                <c:pt idx="1">
                  <c:v>1.0438829999999939</c:v>
                </c:pt>
                <c:pt idx="2">
                  <c:v>2.2801599999999951</c:v>
                </c:pt>
                <c:pt idx="3">
                  <c:v>0.43461600000000544</c:v>
                </c:pt>
                <c:pt idx="4">
                  <c:v>1.062373000000008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CFAF-491D-8EDA-B3A068EA63F0}"/>
            </c:ext>
          </c:extLst>
        </c:ser>
        <c:ser>
          <c:idx val="118"/>
          <c:order val="118"/>
          <c:spPr>
            <a:noFill/>
          </c:spPr>
          <c:invertIfNegative val="0"/>
          <c:val>
            <c:numRef>
              <c:f>times!$B$119:$F$119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7.3872489999999971</c:v>
                </c:pt>
                <c:pt idx="3">
                  <c:v>1.3308149999999159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CFAF-491D-8EDA-B3A068EA63F0}"/>
            </c:ext>
          </c:extLst>
        </c:ser>
        <c:ser>
          <c:idx val="119"/>
          <c:order val="119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times!$B$120:$F$120</c:f>
              <c:numCache>
                <c:formatCode>General</c:formatCode>
                <c:ptCount val="5"/>
                <c:pt idx="0">
                  <c:v>0.50790399999999636</c:v>
                </c:pt>
                <c:pt idx="1">
                  <c:v>9.6674089999999921</c:v>
                </c:pt>
                <c:pt idx="2">
                  <c:v>1.349630999999988</c:v>
                </c:pt>
                <c:pt idx="3">
                  <c:v>7.2386459999999886</c:v>
                </c:pt>
                <c:pt idx="4">
                  <c:v>1.9206819999999993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FAF-491D-8EDA-B3A068EA63F0}"/>
            </c:ext>
          </c:extLst>
        </c:ser>
        <c:ser>
          <c:idx val="120"/>
          <c:order val="120"/>
          <c:spPr>
            <a:noFill/>
          </c:spPr>
          <c:invertIfNegative val="0"/>
          <c:val>
            <c:numRef>
              <c:f>times!$B$121:$F$121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1.0592670000000055</c:v>
                </c:pt>
                <c:pt idx="3">
                  <c:v>6.0398000000020602E-2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FAF-491D-8EDA-B3A068EA63F0}"/>
            </c:ext>
          </c:extLst>
        </c:ser>
        <c:ser>
          <c:idx val="121"/>
          <c:order val="121"/>
          <c:invertIfNegative val="0"/>
          <c:val>
            <c:numRef>
              <c:f>times!$B$122:$F$122</c:f>
              <c:numCache>
                <c:formatCode>General</c:formatCode>
                <c:ptCount val="5"/>
                <c:pt idx="0">
                  <c:v>0.83581800000000328</c:v>
                </c:pt>
                <c:pt idx="1">
                  <c:v>2.4088979999999935</c:v>
                </c:pt>
                <c:pt idx="2">
                  <c:v>6.2397770000000037</c:v>
                </c:pt>
                <c:pt idx="3">
                  <c:v>3.7521989999999903</c:v>
                </c:pt>
                <c:pt idx="4">
                  <c:v>1.5630610000000047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FAF-491D-8EDA-B3A068EA63F0}"/>
            </c:ext>
          </c:extLst>
        </c:ser>
        <c:ser>
          <c:idx val="122"/>
          <c:order val="122"/>
          <c:invertIfNegative val="0"/>
          <c:val>
            <c:numRef>
              <c:f>times!$B$123:$F$123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FAF-491D-8EDA-B3A068EA63F0}"/>
            </c:ext>
          </c:extLst>
        </c:ser>
        <c:ser>
          <c:idx val="123"/>
          <c:order val="123"/>
          <c:invertIfNegative val="0"/>
          <c:val>
            <c:numRef>
              <c:f>times!$B$124:$F$124</c:f>
              <c:numCache>
                <c:formatCode>General</c:formatCode>
                <c:ptCount val="5"/>
                <c:pt idx="0">
                  <c:v>0.14036000000000115</c:v>
                </c:pt>
                <c:pt idx="1">
                  <c:v>1.8739490000000103</c:v>
                </c:pt>
                <c:pt idx="2">
                  <c:v>0.11606100000000197</c:v>
                </c:pt>
                <c:pt idx="3">
                  <c:v>0.83801399999998694</c:v>
                </c:pt>
                <c:pt idx="4">
                  <c:v>2.1142920000000061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FAF-491D-8EDA-B3A068EA63F0}"/>
            </c:ext>
          </c:extLst>
        </c:ser>
        <c:ser>
          <c:idx val="124"/>
          <c:order val="124"/>
          <c:invertIfNegative val="0"/>
          <c:val>
            <c:numRef>
              <c:f>times!$B$125:$F$125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FAF-491D-8EDA-B3A068EA63F0}"/>
            </c:ext>
          </c:extLst>
        </c:ser>
        <c:ser>
          <c:idx val="125"/>
          <c:order val="125"/>
          <c:invertIfNegative val="0"/>
          <c:val>
            <c:numRef>
              <c:f>times!$B$126:$F$126</c:f>
              <c:numCache>
                <c:formatCode>General</c:formatCode>
                <c:ptCount val="5"/>
                <c:pt idx="0">
                  <c:v>1.8844480000000061</c:v>
                </c:pt>
                <c:pt idx="1">
                  <c:v>1.1714069999999879</c:v>
                </c:pt>
                <c:pt idx="2">
                  <c:v>0.43376100000000406</c:v>
                </c:pt>
                <c:pt idx="3">
                  <c:v>0.21382900000000404</c:v>
                </c:pt>
                <c:pt idx="4">
                  <c:v>0.69695500000000266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FAF-491D-8EDA-B3A068EA63F0}"/>
            </c:ext>
          </c:extLst>
        </c:ser>
        <c:ser>
          <c:idx val="126"/>
          <c:order val="126"/>
          <c:invertIfNegative val="0"/>
          <c:val>
            <c:numRef>
              <c:f>times!$B$127:$F$127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FAF-491D-8EDA-B3A068EA63F0}"/>
            </c:ext>
          </c:extLst>
        </c:ser>
        <c:ser>
          <c:idx val="127"/>
          <c:order val="127"/>
          <c:invertIfNegative val="0"/>
          <c:val>
            <c:numRef>
              <c:f>times!$B$128:$F$128</c:f>
              <c:numCache>
                <c:formatCode>General</c:formatCode>
                <c:ptCount val="5"/>
                <c:pt idx="0">
                  <c:v>1.9427550000000053</c:v>
                </c:pt>
                <c:pt idx="1">
                  <c:v>0.53493900000000849</c:v>
                </c:pt>
                <c:pt idx="2">
                  <c:v>0.4485740000000078</c:v>
                </c:pt>
                <c:pt idx="3">
                  <c:v>4.5341640000000041</c:v>
                </c:pt>
                <c:pt idx="4">
                  <c:v>0.90154599999999618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FAF-491D-8EDA-B3A068EA63F0}"/>
            </c:ext>
          </c:extLst>
        </c:ser>
        <c:ser>
          <c:idx val="128"/>
          <c:order val="128"/>
          <c:invertIfNegative val="0"/>
          <c:val>
            <c:numRef>
              <c:f>times!$B$129:$F$129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FAF-491D-8EDA-B3A068EA63F0}"/>
            </c:ext>
          </c:extLst>
        </c:ser>
        <c:ser>
          <c:idx val="129"/>
          <c:order val="129"/>
          <c:invertIfNegative val="0"/>
          <c:val>
            <c:numRef>
              <c:f>times!$B$130:$F$130</c:f>
              <c:numCache>
                <c:formatCode>General</c:formatCode>
                <c:ptCount val="5"/>
                <c:pt idx="0">
                  <c:v>1.7017689999999988</c:v>
                </c:pt>
                <c:pt idx="1">
                  <c:v>1.5578539999999919</c:v>
                </c:pt>
                <c:pt idx="2">
                  <c:v>1.1761940000000095</c:v>
                </c:pt>
                <c:pt idx="3">
                  <c:v>0.4041740000000118</c:v>
                </c:pt>
                <c:pt idx="4">
                  <c:v>0.87873700000000099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FAF-491D-8EDA-B3A068EA63F0}"/>
            </c:ext>
          </c:extLst>
        </c:ser>
        <c:ser>
          <c:idx val="130"/>
          <c:order val="130"/>
          <c:invertIfNegative val="0"/>
          <c:val>
            <c:numRef>
              <c:f>times!$B$131:$F$131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FAF-491D-8EDA-B3A068EA63F0}"/>
            </c:ext>
          </c:extLst>
        </c:ser>
        <c:ser>
          <c:idx val="131"/>
          <c:order val="131"/>
          <c:invertIfNegative val="0"/>
          <c:val>
            <c:numRef>
              <c:f>times!$B$132:$F$132</c:f>
              <c:numCache>
                <c:formatCode>General</c:formatCode>
                <c:ptCount val="5"/>
                <c:pt idx="0">
                  <c:v>0.90785999999999945</c:v>
                </c:pt>
                <c:pt idx="1">
                  <c:v>1.0129279999999881</c:v>
                </c:pt>
                <c:pt idx="2">
                  <c:v>2.0219219999999893</c:v>
                </c:pt>
                <c:pt idx="3">
                  <c:v>0.73271299999998973</c:v>
                </c:pt>
                <c:pt idx="4">
                  <c:v>2.0521339999999952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FAF-491D-8EDA-B3A068EA63F0}"/>
            </c:ext>
          </c:extLst>
        </c:ser>
        <c:ser>
          <c:idx val="132"/>
          <c:order val="132"/>
          <c:invertIfNegative val="0"/>
          <c:val>
            <c:numRef>
              <c:f>times!$B$133:$F$133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FAF-491D-8EDA-B3A068EA63F0}"/>
            </c:ext>
          </c:extLst>
        </c:ser>
        <c:ser>
          <c:idx val="133"/>
          <c:order val="133"/>
          <c:invertIfNegative val="0"/>
          <c:val>
            <c:numRef>
              <c:f>times!$B$134:$F$134</c:f>
              <c:numCache>
                <c:formatCode>General</c:formatCode>
                <c:ptCount val="5"/>
                <c:pt idx="0">
                  <c:v>8.8537999999999784E-2</c:v>
                </c:pt>
                <c:pt idx="1">
                  <c:v>1.0384789999999953</c:v>
                </c:pt>
                <c:pt idx="2">
                  <c:v>0.82380299999999806</c:v>
                </c:pt>
                <c:pt idx="3">
                  <c:v>2.7683150000000012</c:v>
                </c:pt>
                <c:pt idx="4">
                  <c:v>0.13256000000001222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FAF-491D-8EDA-B3A068EA63F0}"/>
            </c:ext>
          </c:extLst>
        </c:ser>
        <c:ser>
          <c:idx val="134"/>
          <c:order val="134"/>
          <c:invertIfNegative val="0"/>
          <c:val>
            <c:numRef>
              <c:f>times!$B$135:$F$135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FAF-491D-8EDA-B3A068EA63F0}"/>
            </c:ext>
          </c:extLst>
        </c:ser>
        <c:ser>
          <c:idx val="135"/>
          <c:order val="135"/>
          <c:invertIfNegative val="0"/>
          <c:val>
            <c:numRef>
              <c:f>times!$B$136:$F$136</c:f>
              <c:numCache>
                <c:formatCode>General</c:formatCode>
                <c:ptCount val="5"/>
                <c:pt idx="0">
                  <c:v>5.1705730000000045</c:v>
                </c:pt>
                <c:pt idx="1">
                  <c:v>0.81281699999999546</c:v>
                </c:pt>
                <c:pt idx="2">
                  <c:v>0.74651199999999562</c:v>
                </c:pt>
                <c:pt idx="3">
                  <c:v>0.65882199999998647</c:v>
                </c:pt>
                <c:pt idx="4">
                  <c:v>0.11924999999999386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FAF-491D-8EDA-B3A068EA63F0}"/>
            </c:ext>
          </c:extLst>
        </c:ser>
        <c:ser>
          <c:idx val="136"/>
          <c:order val="136"/>
          <c:invertIfNegative val="0"/>
          <c:val>
            <c:numRef>
              <c:f>times!$B$137:$F$137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8-CFAF-491D-8EDA-B3A068EA63F0}"/>
            </c:ext>
          </c:extLst>
        </c:ser>
        <c:ser>
          <c:idx val="137"/>
          <c:order val="137"/>
          <c:invertIfNegative val="0"/>
          <c:val>
            <c:numRef>
              <c:f>times!$B$138:$F$138</c:f>
              <c:numCache>
                <c:formatCode>General</c:formatCode>
                <c:ptCount val="5"/>
                <c:pt idx="0">
                  <c:v>11.050407000000007</c:v>
                </c:pt>
                <c:pt idx="1">
                  <c:v>0.3412879999999916</c:v>
                </c:pt>
                <c:pt idx="2">
                  <c:v>2.7769759999999906</c:v>
                </c:pt>
                <c:pt idx="3">
                  <c:v>1.4672060000000045</c:v>
                </c:pt>
                <c:pt idx="4">
                  <c:v>1.2066719999999975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9-CFAF-491D-8EDA-B3A068EA63F0}"/>
            </c:ext>
          </c:extLst>
        </c:ser>
        <c:ser>
          <c:idx val="138"/>
          <c:order val="138"/>
          <c:invertIfNegative val="0"/>
          <c:val>
            <c:numRef>
              <c:f>times!$B$139:$F$139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2.566882000000021</c:v>
                </c:pt>
                <c:pt idx="4">
                  <c:v>0.7410649999999066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A-CFAF-491D-8EDA-B3A068EA63F0}"/>
            </c:ext>
          </c:extLst>
        </c:ser>
        <c:ser>
          <c:idx val="139"/>
          <c:order val="139"/>
          <c:invertIfNegative val="0"/>
          <c:val>
            <c:numRef>
              <c:f>times!$B$140:$F$140</c:f>
              <c:numCache>
                <c:formatCode>General</c:formatCode>
                <c:ptCount val="5"/>
                <c:pt idx="0">
                  <c:v>2.7366079999999897</c:v>
                </c:pt>
                <c:pt idx="1">
                  <c:v>1.9982630000000086</c:v>
                </c:pt>
                <c:pt idx="2">
                  <c:v>9.3925150000000031</c:v>
                </c:pt>
                <c:pt idx="3">
                  <c:v>0.26397399999999038</c:v>
                </c:pt>
                <c:pt idx="4">
                  <c:v>1.7585060000000112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CFAF-491D-8EDA-B3A068EA63F0}"/>
            </c:ext>
          </c:extLst>
        </c:ser>
        <c:ser>
          <c:idx val="140"/>
          <c:order val="140"/>
          <c:invertIfNegative val="0"/>
          <c:val>
            <c:numRef>
              <c:f>times!$B$141:$F$141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0.42245600000001104</c:v>
                </c:pt>
                <c:pt idx="4">
                  <c:v>3.7074580000000026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C-CFAF-491D-8EDA-B3A068EA63F0}"/>
            </c:ext>
          </c:extLst>
        </c:ser>
        <c:ser>
          <c:idx val="141"/>
          <c:order val="141"/>
          <c:invertIfNegative val="0"/>
          <c:val>
            <c:numRef>
              <c:f>times!$B$142:$F$142</c:f>
              <c:numCache>
                <c:formatCode>General</c:formatCode>
                <c:ptCount val="5"/>
                <c:pt idx="0">
                  <c:v>0.17141300000000115</c:v>
                </c:pt>
                <c:pt idx="1">
                  <c:v>0.96874199999999178</c:v>
                </c:pt>
                <c:pt idx="2">
                  <c:v>0.68643000000000143</c:v>
                </c:pt>
                <c:pt idx="3">
                  <c:v>5.0435080000000028</c:v>
                </c:pt>
                <c:pt idx="4">
                  <c:v>2.6865319999999997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D-CFAF-491D-8EDA-B3A068EA63F0}"/>
            </c:ext>
          </c:extLst>
        </c:ser>
        <c:ser>
          <c:idx val="142"/>
          <c:order val="142"/>
          <c:invertIfNegative val="0"/>
          <c:val>
            <c:numRef>
              <c:f>times!$B$143:$F$143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CFAF-491D-8EDA-B3A068EA63F0}"/>
            </c:ext>
          </c:extLst>
        </c:ser>
        <c:ser>
          <c:idx val="143"/>
          <c:order val="143"/>
          <c:invertIfNegative val="0"/>
          <c:val>
            <c:numRef>
              <c:f>times!$B$144:$F$144</c:f>
              <c:numCache>
                <c:formatCode>General</c:formatCode>
                <c:ptCount val="5"/>
                <c:pt idx="0">
                  <c:v>1.3889550000000099</c:v>
                </c:pt>
                <c:pt idx="1">
                  <c:v>0.28760900000000333</c:v>
                </c:pt>
                <c:pt idx="2">
                  <c:v>1.1825699999999983</c:v>
                </c:pt>
                <c:pt idx="3">
                  <c:v>1.8820839999999919</c:v>
                </c:pt>
                <c:pt idx="4">
                  <c:v>0.55012199999998757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CFAF-491D-8EDA-B3A068EA63F0}"/>
            </c:ext>
          </c:extLst>
        </c:ser>
        <c:ser>
          <c:idx val="144"/>
          <c:order val="144"/>
          <c:invertIfNegative val="0"/>
          <c:val>
            <c:numRef>
              <c:f>times!$B$145:$F$145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CFAF-491D-8EDA-B3A068EA63F0}"/>
            </c:ext>
          </c:extLst>
        </c:ser>
        <c:ser>
          <c:idx val="145"/>
          <c:order val="145"/>
          <c:invertIfNegative val="0"/>
          <c:val>
            <c:numRef>
              <c:f>times!$B$146:$F$146</c:f>
              <c:numCache>
                <c:formatCode>General</c:formatCode>
                <c:ptCount val="5"/>
                <c:pt idx="0">
                  <c:v>0.69261800000001017</c:v>
                </c:pt>
                <c:pt idx="1">
                  <c:v>1.0859429999999861</c:v>
                </c:pt>
                <c:pt idx="2">
                  <c:v>0.40370699999999715</c:v>
                </c:pt>
                <c:pt idx="3">
                  <c:v>4.4792000000001053E-2</c:v>
                </c:pt>
                <c:pt idx="4">
                  <c:v>0.2555240000000083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CFAF-491D-8EDA-B3A068EA63F0}"/>
            </c:ext>
          </c:extLst>
        </c:ser>
        <c:ser>
          <c:idx val="146"/>
          <c:order val="146"/>
          <c:invertIfNegative val="0"/>
          <c:val>
            <c:numRef>
              <c:f>times!$B$147:$F$147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2.8438759999999945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2-CFAF-491D-8EDA-B3A068EA63F0}"/>
            </c:ext>
          </c:extLst>
        </c:ser>
        <c:ser>
          <c:idx val="147"/>
          <c:order val="147"/>
          <c:invertIfNegative val="0"/>
          <c:val>
            <c:numRef>
              <c:f>times!$B$148:$F$148</c:f>
              <c:numCache>
                <c:formatCode>General</c:formatCode>
                <c:ptCount val="5"/>
                <c:pt idx="0">
                  <c:v>0.36609699999999634</c:v>
                </c:pt>
                <c:pt idx="1">
                  <c:v>0.41306099999999901</c:v>
                </c:pt>
                <c:pt idx="2">
                  <c:v>0.9617849999999919</c:v>
                </c:pt>
                <c:pt idx="3">
                  <c:v>4.4091779999999972</c:v>
                </c:pt>
                <c:pt idx="4">
                  <c:v>4.8240570000000105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3-CFAF-491D-8EDA-B3A068EA63F0}"/>
            </c:ext>
          </c:extLst>
        </c:ser>
        <c:ser>
          <c:idx val="148"/>
          <c:order val="148"/>
          <c:invertIfNegative val="0"/>
          <c:val>
            <c:numRef>
              <c:f>times!$B$149:$F$149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CFAF-491D-8EDA-B3A068EA63F0}"/>
            </c:ext>
          </c:extLst>
        </c:ser>
        <c:ser>
          <c:idx val="149"/>
          <c:order val="149"/>
          <c:invertIfNegative val="0"/>
          <c:val>
            <c:numRef>
              <c:f>times!$B$150:$F$150</c:f>
              <c:numCache>
                <c:formatCode>General</c:formatCode>
                <c:ptCount val="5"/>
                <c:pt idx="0">
                  <c:v>0.15947299999999132</c:v>
                </c:pt>
                <c:pt idx="1">
                  <c:v>10.051005000000004</c:v>
                </c:pt>
                <c:pt idx="2">
                  <c:v>1.3744399999999928</c:v>
                </c:pt>
                <c:pt idx="3">
                  <c:v>0.58156299999998851</c:v>
                </c:pt>
                <c:pt idx="4">
                  <c:v>0.70686900000001174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5-CFAF-491D-8EDA-B3A068EA63F0}"/>
            </c:ext>
          </c:extLst>
        </c:ser>
        <c:ser>
          <c:idx val="150"/>
          <c:order val="150"/>
          <c:invertIfNegative val="0"/>
          <c:val>
            <c:numRef>
              <c:f>times!$B$151:$F$151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6-CFAF-491D-8EDA-B3A068EA63F0}"/>
            </c:ext>
          </c:extLst>
        </c:ser>
        <c:ser>
          <c:idx val="151"/>
          <c:order val="151"/>
          <c:invertIfNegative val="0"/>
          <c:val>
            <c:numRef>
              <c:f>times!$B$152:$F$152</c:f>
              <c:numCache>
                <c:formatCode>General</c:formatCode>
                <c:ptCount val="5"/>
                <c:pt idx="0">
                  <c:v>0.4924000000000035</c:v>
                </c:pt>
                <c:pt idx="1">
                  <c:v>0.41923600000001215</c:v>
                </c:pt>
                <c:pt idx="2">
                  <c:v>2.3786670000000072</c:v>
                </c:pt>
                <c:pt idx="3">
                  <c:v>0.5519119999999873</c:v>
                </c:pt>
                <c:pt idx="4">
                  <c:v>0.8897269999999935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7-CFAF-491D-8EDA-B3A068EA63F0}"/>
            </c:ext>
          </c:extLst>
        </c:ser>
        <c:ser>
          <c:idx val="152"/>
          <c:order val="152"/>
          <c:invertIfNegative val="0"/>
          <c:val>
            <c:numRef>
              <c:f>times!$B$153:$F$153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8-CFAF-491D-8EDA-B3A068EA63F0}"/>
            </c:ext>
          </c:extLst>
        </c:ser>
        <c:ser>
          <c:idx val="153"/>
          <c:order val="153"/>
          <c:invertIfNegative val="0"/>
          <c:val>
            <c:numRef>
              <c:f>times!$B$154:$F$154</c:f>
              <c:numCache>
                <c:formatCode>General</c:formatCode>
                <c:ptCount val="5"/>
                <c:pt idx="0">
                  <c:v>3.6757000000000062</c:v>
                </c:pt>
                <c:pt idx="1">
                  <c:v>0.5831009999999992</c:v>
                </c:pt>
                <c:pt idx="2">
                  <c:v>0.54249300000000744</c:v>
                </c:pt>
                <c:pt idx="3">
                  <c:v>3.1322790000000111</c:v>
                </c:pt>
                <c:pt idx="4">
                  <c:v>1.557659000000001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9-CFAF-491D-8EDA-B3A068EA63F0}"/>
            </c:ext>
          </c:extLst>
        </c:ser>
        <c:ser>
          <c:idx val="154"/>
          <c:order val="154"/>
          <c:invertIfNegative val="0"/>
          <c:val>
            <c:numRef>
              <c:f>times!$B$155:$F$155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2.008135999999979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A-CFAF-491D-8EDA-B3A068EA63F0}"/>
            </c:ext>
          </c:extLst>
        </c:ser>
        <c:ser>
          <c:idx val="155"/>
          <c:order val="155"/>
          <c:invertIfNegative val="0"/>
          <c:val>
            <c:numRef>
              <c:f>times!$B$156:$F$156</c:f>
              <c:numCache>
                <c:formatCode>General</c:formatCode>
                <c:ptCount val="5"/>
                <c:pt idx="0">
                  <c:v>2.1322600000000023</c:v>
                </c:pt>
                <c:pt idx="1">
                  <c:v>0.22144900000000689</c:v>
                </c:pt>
                <c:pt idx="2">
                  <c:v>0.62725100000000111</c:v>
                </c:pt>
                <c:pt idx="3">
                  <c:v>5.7206940000000088</c:v>
                </c:pt>
                <c:pt idx="4">
                  <c:v>1.1092099999999903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B-CFAF-491D-8EDA-B3A068EA63F0}"/>
            </c:ext>
          </c:extLst>
        </c:ser>
        <c:ser>
          <c:idx val="156"/>
          <c:order val="156"/>
          <c:invertIfNegative val="0"/>
          <c:val>
            <c:numRef>
              <c:f>times!$B$157:$F$157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3.8816340000000196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C-CFAF-491D-8EDA-B3A068EA63F0}"/>
            </c:ext>
          </c:extLst>
        </c:ser>
        <c:ser>
          <c:idx val="157"/>
          <c:order val="157"/>
          <c:invertIfNegative val="0"/>
          <c:val>
            <c:numRef>
              <c:f>times!$B$158:$F$158</c:f>
              <c:numCache>
                <c:formatCode>General</c:formatCode>
                <c:ptCount val="5"/>
                <c:pt idx="0">
                  <c:v>1.8035659999999893</c:v>
                </c:pt>
                <c:pt idx="1">
                  <c:v>1.7968199999999968</c:v>
                </c:pt>
                <c:pt idx="2">
                  <c:v>0.80220099999999661</c:v>
                </c:pt>
                <c:pt idx="3">
                  <c:v>4.9908440000000098</c:v>
                </c:pt>
                <c:pt idx="4">
                  <c:v>0.57465199999998617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D-CFAF-491D-8EDA-B3A068EA63F0}"/>
            </c:ext>
          </c:extLst>
        </c:ser>
        <c:ser>
          <c:idx val="158"/>
          <c:order val="158"/>
          <c:invertIfNegative val="0"/>
          <c:val>
            <c:numRef>
              <c:f>times!$B$159:$F$159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1.9319240000000093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E-CFAF-491D-8EDA-B3A068EA63F0}"/>
            </c:ext>
          </c:extLst>
        </c:ser>
        <c:ser>
          <c:idx val="159"/>
          <c:order val="159"/>
          <c:invertIfNegative val="0"/>
          <c:val>
            <c:numRef>
              <c:f>times!$B$160:$F$160</c:f>
              <c:numCache>
                <c:formatCode>General</c:formatCode>
                <c:ptCount val="5"/>
                <c:pt idx="0">
                  <c:v>0.86512200000001371</c:v>
                </c:pt>
                <c:pt idx="1">
                  <c:v>0.18085600000000568</c:v>
                </c:pt>
                <c:pt idx="2">
                  <c:v>7.9714529999999968</c:v>
                </c:pt>
                <c:pt idx="3">
                  <c:v>2.5065759999999955</c:v>
                </c:pt>
                <c:pt idx="4">
                  <c:v>2.3978710000000092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F-CFAF-491D-8EDA-B3A068EA63F0}"/>
            </c:ext>
          </c:extLst>
        </c:ser>
        <c:ser>
          <c:idx val="160"/>
          <c:order val="160"/>
          <c:invertIfNegative val="0"/>
          <c:val>
            <c:numRef>
              <c:f>times!$B$161:$F$161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0-CFAF-491D-8EDA-B3A068EA63F0}"/>
            </c:ext>
          </c:extLst>
        </c:ser>
        <c:ser>
          <c:idx val="161"/>
          <c:order val="161"/>
          <c:invertIfNegative val="0"/>
          <c:val>
            <c:numRef>
              <c:f>times!$B$162:$F$162</c:f>
              <c:numCache>
                <c:formatCode>General</c:formatCode>
                <c:ptCount val="5"/>
                <c:pt idx="0">
                  <c:v>1.3032589999999971</c:v>
                </c:pt>
                <c:pt idx="1">
                  <c:v>1.2419050000000027</c:v>
                </c:pt>
                <c:pt idx="2">
                  <c:v>7.652938000000006</c:v>
                </c:pt>
                <c:pt idx="3">
                  <c:v>0.60766699999999219</c:v>
                </c:pt>
                <c:pt idx="4">
                  <c:v>0.51773600000001352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1-CFAF-491D-8EDA-B3A068EA63F0}"/>
            </c:ext>
          </c:extLst>
        </c:ser>
        <c:ser>
          <c:idx val="162"/>
          <c:order val="162"/>
          <c:invertIfNegative val="0"/>
          <c:val>
            <c:numRef>
              <c:f>times!$B$163:$F$163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9.814500000001658E-2</c:v>
                </c:pt>
                <c:pt idx="4">
                  <c:v>1.3554459999999722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CFAF-491D-8EDA-B3A068EA63F0}"/>
            </c:ext>
          </c:extLst>
        </c:ser>
        <c:ser>
          <c:idx val="163"/>
          <c:order val="163"/>
          <c:invertIfNegative val="0"/>
          <c:val>
            <c:numRef>
              <c:f>times!$B$164:$F$164</c:f>
              <c:numCache>
                <c:formatCode>General</c:formatCode>
                <c:ptCount val="5"/>
                <c:pt idx="0">
                  <c:v>6.3271540000000073</c:v>
                </c:pt>
                <c:pt idx="1">
                  <c:v>1.1255510000000015</c:v>
                </c:pt>
                <c:pt idx="2">
                  <c:v>5.6717370000000074</c:v>
                </c:pt>
                <c:pt idx="3">
                  <c:v>3.5652409999999861</c:v>
                </c:pt>
                <c:pt idx="4">
                  <c:v>8.6955999999986489E-2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3-CFAF-491D-8EDA-B3A068EA63F0}"/>
            </c:ext>
          </c:extLst>
        </c:ser>
        <c:ser>
          <c:idx val="164"/>
          <c:order val="164"/>
          <c:invertIfNegative val="0"/>
          <c:val>
            <c:numRef>
              <c:f>times!$B$165:$F$165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0.56419700000000716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4-CFAF-491D-8EDA-B3A068EA63F0}"/>
            </c:ext>
          </c:extLst>
        </c:ser>
        <c:ser>
          <c:idx val="165"/>
          <c:order val="165"/>
          <c:invertIfNegative val="0"/>
          <c:val>
            <c:numRef>
              <c:f>times!$B$166:$F$166</c:f>
              <c:numCache>
                <c:formatCode>General</c:formatCode>
                <c:ptCount val="5"/>
                <c:pt idx="0">
                  <c:v>2.2142910000000029</c:v>
                </c:pt>
                <c:pt idx="1">
                  <c:v>1.1664429999999868</c:v>
                </c:pt>
                <c:pt idx="2">
                  <c:v>0.66538600000001225</c:v>
                </c:pt>
                <c:pt idx="3">
                  <c:v>0.65115299999999365</c:v>
                </c:pt>
                <c:pt idx="4">
                  <c:v>3.414324999999991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5-CFAF-491D-8EDA-B3A068EA63F0}"/>
            </c:ext>
          </c:extLst>
        </c:ser>
        <c:ser>
          <c:idx val="166"/>
          <c:order val="166"/>
          <c:invertIfNegative val="0"/>
          <c:val>
            <c:numRef>
              <c:f>times!$B$167:$F$167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6-CFAF-491D-8EDA-B3A068EA63F0}"/>
            </c:ext>
          </c:extLst>
        </c:ser>
        <c:ser>
          <c:idx val="167"/>
          <c:order val="167"/>
          <c:invertIfNegative val="0"/>
          <c:val>
            <c:numRef>
              <c:f>times!$B$168:$F$168</c:f>
              <c:numCache>
                <c:formatCode>General</c:formatCode>
                <c:ptCount val="5"/>
                <c:pt idx="0">
                  <c:v>1.2826980000000106</c:v>
                </c:pt>
                <c:pt idx="1">
                  <c:v>2.2257799999999861</c:v>
                </c:pt>
                <c:pt idx="2">
                  <c:v>0.82443799999998646</c:v>
                </c:pt>
                <c:pt idx="3">
                  <c:v>2.0716229999999882</c:v>
                </c:pt>
                <c:pt idx="4">
                  <c:v>1.831009999999992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7-CFAF-491D-8EDA-B3A068EA63F0}"/>
            </c:ext>
          </c:extLst>
        </c:ser>
        <c:ser>
          <c:idx val="168"/>
          <c:order val="168"/>
          <c:invertIfNegative val="0"/>
          <c:val>
            <c:numRef>
              <c:f>times!$B$169:$F$169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8-CFAF-491D-8EDA-B3A068EA63F0}"/>
            </c:ext>
          </c:extLst>
        </c:ser>
        <c:ser>
          <c:idx val="169"/>
          <c:order val="169"/>
          <c:invertIfNegative val="0"/>
          <c:val>
            <c:numRef>
              <c:f>times!$B$170:$F$170</c:f>
              <c:numCache>
                <c:formatCode>General</c:formatCode>
                <c:ptCount val="5"/>
                <c:pt idx="0">
                  <c:v>0.48907800000000634</c:v>
                </c:pt>
                <c:pt idx="1">
                  <c:v>0.50414599999999155</c:v>
                </c:pt>
                <c:pt idx="2">
                  <c:v>2.0324569999999937</c:v>
                </c:pt>
                <c:pt idx="3">
                  <c:v>1.2239270000000033</c:v>
                </c:pt>
                <c:pt idx="4">
                  <c:v>1.6486209999999915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9-CFAF-491D-8EDA-B3A068EA63F0}"/>
            </c:ext>
          </c:extLst>
        </c:ser>
        <c:ser>
          <c:idx val="170"/>
          <c:order val="170"/>
          <c:invertIfNegative val="0"/>
          <c:val>
            <c:numRef>
              <c:f>times!$B$171:$F$171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A-CFAF-491D-8EDA-B3A068EA63F0}"/>
            </c:ext>
          </c:extLst>
        </c:ser>
        <c:ser>
          <c:idx val="171"/>
          <c:order val="171"/>
          <c:invertIfNegative val="0"/>
          <c:val>
            <c:numRef>
              <c:f>times!$B$172:$F$172</c:f>
              <c:numCache>
                <c:formatCode>General</c:formatCode>
                <c:ptCount val="5"/>
                <c:pt idx="0">
                  <c:v>0.86047099999998977</c:v>
                </c:pt>
                <c:pt idx="1">
                  <c:v>8.529699999999707E-2</c:v>
                </c:pt>
                <c:pt idx="2">
                  <c:v>0.2670789999999954</c:v>
                </c:pt>
                <c:pt idx="3">
                  <c:v>2.0405030000000011</c:v>
                </c:pt>
                <c:pt idx="4">
                  <c:v>2.4632379999999898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B-CFAF-491D-8EDA-B3A068EA63F0}"/>
            </c:ext>
          </c:extLst>
        </c:ser>
        <c:ser>
          <c:idx val="172"/>
          <c:order val="172"/>
          <c:invertIfNegative val="0"/>
          <c:val>
            <c:numRef>
              <c:f>times!$B$173:$F$173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C-CFAF-491D-8EDA-B3A068EA63F0}"/>
            </c:ext>
          </c:extLst>
        </c:ser>
        <c:ser>
          <c:idx val="173"/>
          <c:order val="173"/>
          <c:invertIfNegative val="0"/>
          <c:val>
            <c:numRef>
              <c:f>times!$B$174:$F$174</c:f>
              <c:numCache>
                <c:formatCode>General</c:formatCode>
                <c:ptCount val="5"/>
                <c:pt idx="0">
                  <c:v>1.8249940000000038</c:v>
                </c:pt>
                <c:pt idx="1">
                  <c:v>2.5383150000000114</c:v>
                </c:pt>
                <c:pt idx="2">
                  <c:v>0.43422100000000796</c:v>
                </c:pt>
                <c:pt idx="3">
                  <c:v>0.45316099999999437</c:v>
                </c:pt>
                <c:pt idx="4">
                  <c:v>3.0540220000000033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D-CFAF-491D-8EDA-B3A068EA63F0}"/>
            </c:ext>
          </c:extLst>
        </c:ser>
        <c:ser>
          <c:idx val="174"/>
          <c:order val="174"/>
          <c:invertIfNegative val="0"/>
          <c:val>
            <c:numRef>
              <c:f>times!$B$175:$F$175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E-CFAF-491D-8EDA-B3A068EA63F0}"/>
            </c:ext>
          </c:extLst>
        </c:ser>
        <c:ser>
          <c:idx val="175"/>
          <c:order val="175"/>
          <c:invertIfNegative val="0"/>
          <c:val>
            <c:numRef>
              <c:f>times!$B$176:$F$176</c:f>
              <c:numCache>
                <c:formatCode>General</c:formatCode>
                <c:ptCount val="5"/>
                <c:pt idx="0">
                  <c:v>1.3659700000000043</c:v>
                </c:pt>
                <c:pt idx="1">
                  <c:v>0.19881000000000881</c:v>
                </c:pt>
                <c:pt idx="2">
                  <c:v>0.83442500000001019</c:v>
                </c:pt>
                <c:pt idx="3">
                  <c:v>0.38120299999999929</c:v>
                </c:pt>
                <c:pt idx="4">
                  <c:v>5.7991590000000031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F-CFAF-491D-8EDA-B3A068EA63F0}"/>
            </c:ext>
          </c:extLst>
        </c:ser>
        <c:ser>
          <c:idx val="176"/>
          <c:order val="176"/>
          <c:invertIfNegative val="0"/>
          <c:val>
            <c:numRef>
              <c:f>times!$B$177:$F$177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CFAF-491D-8EDA-B3A068EA63F0}"/>
            </c:ext>
          </c:extLst>
        </c:ser>
        <c:ser>
          <c:idx val="177"/>
          <c:order val="177"/>
          <c:invertIfNegative val="0"/>
          <c:val>
            <c:numRef>
              <c:f>times!$B$178:$F$178</c:f>
              <c:numCache>
                <c:formatCode>General</c:formatCode>
                <c:ptCount val="5"/>
                <c:pt idx="0">
                  <c:v>1.5215330000000051</c:v>
                </c:pt>
                <c:pt idx="1">
                  <c:v>1.8265210000000138</c:v>
                </c:pt>
                <c:pt idx="2">
                  <c:v>0.4293869999999913</c:v>
                </c:pt>
                <c:pt idx="3">
                  <c:v>3.6958190000000002</c:v>
                </c:pt>
                <c:pt idx="4">
                  <c:v>0.75933299999999804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1-CFAF-491D-8EDA-B3A068EA63F0}"/>
            </c:ext>
          </c:extLst>
        </c:ser>
        <c:ser>
          <c:idx val="178"/>
          <c:order val="178"/>
          <c:invertIfNegative val="0"/>
          <c:val>
            <c:numRef>
              <c:f>times!$B$179:$F$179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2-CFAF-491D-8EDA-B3A068EA63F0}"/>
            </c:ext>
          </c:extLst>
        </c:ser>
        <c:ser>
          <c:idx val="179"/>
          <c:order val="179"/>
          <c:invertIfNegative val="0"/>
          <c:val>
            <c:numRef>
              <c:f>times!$B$180:$F$180</c:f>
              <c:numCache>
                <c:formatCode>General</c:formatCode>
                <c:ptCount val="5"/>
                <c:pt idx="0">
                  <c:v>0.24475400000000036</c:v>
                </c:pt>
                <c:pt idx="1">
                  <c:v>1.0057119999999884</c:v>
                </c:pt>
                <c:pt idx="2">
                  <c:v>3.1655330000000106</c:v>
                </c:pt>
                <c:pt idx="3">
                  <c:v>0.28322299999999245</c:v>
                </c:pt>
                <c:pt idx="4">
                  <c:v>1.689801999999986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3-CFAF-491D-8EDA-B3A068EA63F0}"/>
            </c:ext>
          </c:extLst>
        </c:ser>
        <c:ser>
          <c:idx val="180"/>
          <c:order val="180"/>
          <c:invertIfNegative val="0"/>
          <c:val>
            <c:numRef>
              <c:f>times!$B$181:$F$181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4-CFAF-491D-8EDA-B3A068EA63F0}"/>
            </c:ext>
          </c:extLst>
        </c:ser>
        <c:ser>
          <c:idx val="181"/>
          <c:order val="181"/>
          <c:invertIfNegative val="0"/>
          <c:val>
            <c:numRef>
              <c:f>times!$B$182:$F$182</c:f>
              <c:numCache>
                <c:formatCode>General</c:formatCode>
                <c:ptCount val="5"/>
                <c:pt idx="0">
                  <c:v>6.1746999999996888E-2</c:v>
                </c:pt>
                <c:pt idx="1">
                  <c:v>0.16546500000001174</c:v>
                </c:pt>
                <c:pt idx="2">
                  <c:v>0.13392799999999738</c:v>
                </c:pt>
                <c:pt idx="3">
                  <c:v>1.1073010000000068</c:v>
                </c:pt>
                <c:pt idx="4">
                  <c:v>0.7545819999999992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5-CFAF-491D-8EDA-B3A068EA63F0}"/>
            </c:ext>
          </c:extLst>
        </c:ser>
        <c:ser>
          <c:idx val="182"/>
          <c:order val="182"/>
          <c:invertIfNegative val="0"/>
          <c:val>
            <c:numRef>
              <c:f>times!$B$183:$F$183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6-CFAF-491D-8EDA-B3A068EA63F0}"/>
            </c:ext>
          </c:extLst>
        </c:ser>
        <c:ser>
          <c:idx val="183"/>
          <c:order val="183"/>
          <c:invertIfNegative val="0"/>
          <c:val>
            <c:numRef>
              <c:f>times!$B$184:$F$184</c:f>
              <c:numCache>
                <c:formatCode>General</c:formatCode>
                <c:ptCount val="5"/>
                <c:pt idx="0">
                  <c:v>0.38346799999999348</c:v>
                </c:pt>
                <c:pt idx="1">
                  <c:v>1.5594110000000114</c:v>
                </c:pt>
                <c:pt idx="2">
                  <c:v>0.99028100000001018</c:v>
                </c:pt>
                <c:pt idx="3">
                  <c:v>3.449372000000011</c:v>
                </c:pt>
                <c:pt idx="4">
                  <c:v>5.8627000000001317E-2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7-CFAF-491D-8EDA-B3A068EA63F0}"/>
            </c:ext>
          </c:extLst>
        </c:ser>
        <c:ser>
          <c:idx val="184"/>
          <c:order val="184"/>
          <c:invertIfNegative val="0"/>
          <c:val>
            <c:numRef>
              <c:f>times!$B$185:$F$185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8-CFAF-491D-8EDA-B3A068EA63F0}"/>
            </c:ext>
          </c:extLst>
        </c:ser>
        <c:ser>
          <c:idx val="185"/>
          <c:order val="185"/>
          <c:invertIfNegative val="0"/>
          <c:val>
            <c:numRef>
              <c:f>times!$B$186:$F$186</c:f>
              <c:numCache>
                <c:formatCode>General</c:formatCode>
                <c:ptCount val="5"/>
                <c:pt idx="0">
                  <c:v>4.2738799999999912</c:v>
                </c:pt>
                <c:pt idx="1">
                  <c:v>1.5599280000000135</c:v>
                </c:pt>
                <c:pt idx="2">
                  <c:v>1.2541459999999915</c:v>
                </c:pt>
                <c:pt idx="3">
                  <c:v>3.622177999999991</c:v>
                </c:pt>
                <c:pt idx="4">
                  <c:v>0.33743300000000431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9-CFAF-491D-8EDA-B3A068EA63F0}"/>
            </c:ext>
          </c:extLst>
        </c:ser>
        <c:ser>
          <c:idx val="186"/>
          <c:order val="186"/>
          <c:invertIfNegative val="0"/>
          <c:val>
            <c:numRef>
              <c:f>times!$B$187:$F$187</c:f>
              <c:numCache>
                <c:formatCode>General</c:formatCode>
                <c:ptCount val="5"/>
                <c:pt idx="0">
                  <c:v>0</c:v>
                </c:pt>
                <c:pt idx="1">
                  <c:v>0.71478200000009906</c:v>
                </c:pt>
                <c:pt idx="2">
                  <c:v>0</c:v>
                </c:pt>
                <c:pt idx="3">
                  <c:v>0</c:v>
                </c:pt>
                <c:pt idx="4">
                  <c:v>0.38621100000003139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CFAF-491D-8EDA-B3A068EA63F0}"/>
            </c:ext>
          </c:extLst>
        </c:ser>
        <c:ser>
          <c:idx val="187"/>
          <c:order val="187"/>
          <c:invertIfNegative val="0"/>
          <c:val>
            <c:numRef>
              <c:f>times!$B$188:$F$188</c:f>
              <c:numCache>
                <c:formatCode>General</c:formatCode>
                <c:ptCount val="5"/>
                <c:pt idx="0">
                  <c:v>7.9722690000000114</c:v>
                </c:pt>
                <c:pt idx="1">
                  <c:v>1.5643819999999948</c:v>
                </c:pt>
                <c:pt idx="2">
                  <c:v>0.13726299999999014</c:v>
                </c:pt>
                <c:pt idx="3">
                  <c:v>3.8680530000000033</c:v>
                </c:pt>
                <c:pt idx="4">
                  <c:v>17.785790999999989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CFAF-491D-8EDA-B3A068EA63F0}"/>
            </c:ext>
          </c:extLst>
        </c:ser>
        <c:ser>
          <c:idx val="188"/>
          <c:order val="188"/>
          <c:invertIfNegative val="0"/>
          <c:val>
            <c:numRef>
              <c:f>times!$B$189:$F$189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C-CFAF-491D-8EDA-B3A068EA63F0}"/>
            </c:ext>
          </c:extLst>
        </c:ser>
        <c:ser>
          <c:idx val="189"/>
          <c:order val="189"/>
          <c:invertIfNegative val="0"/>
          <c:val>
            <c:numRef>
              <c:f>times!$B$190:$F$190</c:f>
              <c:numCache>
                <c:formatCode>General</c:formatCode>
                <c:ptCount val="5"/>
                <c:pt idx="0">
                  <c:v>1.0783729999999991</c:v>
                </c:pt>
                <c:pt idx="1">
                  <c:v>0.55931499999999801</c:v>
                </c:pt>
                <c:pt idx="2">
                  <c:v>5.5453310000000045</c:v>
                </c:pt>
                <c:pt idx="3">
                  <c:v>0.3281650000000127</c:v>
                </c:pt>
                <c:pt idx="4">
                  <c:v>0.62225799999998799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D-CFAF-491D-8EDA-B3A068EA63F0}"/>
            </c:ext>
          </c:extLst>
        </c:ser>
        <c:ser>
          <c:idx val="190"/>
          <c:order val="190"/>
          <c:spPr>
            <a:noFill/>
          </c:spPr>
          <c:invertIfNegative val="0"/>
          <c:val>
            <c:numRef>
              <c:f>times!$B$191:$F$191</c:f>
              <c:numCache>
                <c:formatCode>General</c:formatCode>
                <c:ptCount val="5"/>
                <c:pt idx="0">
                  <c:v>0</c:v>
                </c:pt>
                <c:pt idx="1">
                  <c:v>1.1585520000000145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E-CFAF-491D-8EDA-B3A068EA63F0}"/>
            </c:ext>
          </c:extLst>
        </c:ser>
        <c:ser>
          <c:idx val="191"/>
          <c:order val="191"/>
          <c:invertIfNegative val="0"/>
          <c:val>
            <c:numRef>
              <c:f>times!$B$192:$F$192</c:f>
              <c:numCache>
                <c:formatCode>General</c:formatCode>
                <c:ptCount val="5"/>
                <c:pt idx="0">
                  <c:v>2.2038760000000082</c:v>
                </c:pt>
                <c:pt idx="1">
                  <c:v>1.460770999999994</c:v>
                </c:pt>
                <c:pt idx="2">
                  <c:v>3.6425560000000132</c:v>
                </c:pt>
                <c:pt idx="3">
                  <c:v>0.61924200000001406</c:v>
                </c:pt>
                <c:pt idx="4">
                  <c:v>5.6362819999999942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F-CFAF-491D-8EDA-B3A068EA63F0}"/>
            </c:ext>
          </c:extLst>
        </c:ser>
        <c:ser>
          <c:idx val="192"/>
          <c:order val="192"/>
          <c:spPr>
            <a:noFill/>
          </c:spPr>
          <c:invertIfNegative val="0"/>
          <c:val>
            <c:numRef>
              <c:f>times!$B$193:$F$193</c:f>
              <c:numCache>
                <c:formatCode>General</c:formatCode>
                <c:ptCount val="5"/>
                <c:pt idx="0">
                  <c:v>0</c:v>
                </c:pt>
                <c:pt idx="1">
                  <c:v>0.5287580000000105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0-CFAF-491D-8EDA-B3A068EA63F0}"/>
            </c:ext>
          </c:extLst>
        </c:ser>
        <c:ser>
          <c:idx val="193"/>
          <c:order val="193"/>
          <c:invertIfNegative val="0"/>
          <c:val>
            <c:numRef>
              <c:f>times!$B$194:$F$194</c:f>
              <c:numCache>
                <c:formatCode>General</c:formatCode>
                <c:ptCount val="5"/>
                <c:pt idx="0">
                  <c:v>1.9895290000000045</c:v>
                </c:pt>
                <c:pt idx="1">
                  <c:v>0.54392799999999397</c:v>
                </c:pt>
                <c:pt idx="2">
                  <c:v>2.0453660000000013</c:v>
                </c:pt>
                <c:pt idx="3">
                  <c:v>3.0060100000000034</c:v>
                </c:pt>
                <c:pt idx="4">
                  <c:v>0.59415699999999561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1-CFAF-491D-8EDA-B3A068EA63F0}"/>
            </c:ext>
          </c:extLst>
        </c:ser>
        <c:ser>
          <c:idx val="194"/>
          <c:order val="194"/>
          <c:spPr>
            <a:noFill/>
          </c:spPr>
          <c:invertIfNegative val="0"/>
          <c:val>
            <c:numRef>
              <c:f>times!$B$195:$F$195</c:f>
              <c:numCache>
                <c:formatCode>General</c:formatCode>
                <c:ptCount val="5"/>
                <c:pt idx="0">
                  <c:v>0</c:v>
                </c:pt>
                <c:pt idx="1">
                  <c:v>2.8205279999999959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2-CFAF-491D-8EDA-B3A068EA63F0}"/>
            </c:ext>
          </c:extLst>
        </c:ser>
        <c:ser>
          <c:idx val="195"/>
          <c:order val="195"/>
          <c:invertIfNegative val="0"/>
          <c:val>
            <c:numRef>
              <c:f>times!$B$196:$F$196</c:f>
              <c:numCache>
                <c:formatCode>General</c:formatCode>
                <c:ptCount val="5"/>
                <c:pt idx="0">
                  <c:v>3.3644559999999899</c:v>
                </c:pt>
                <c:pt idx="1">
                  <c:v>0.10998100000000477</c:v>
                </c:pt>
                <c:pt idx="2">
                  <c:v>0.78934399999999982</c:v>
                </c:pt>
                <c:pt idx="3">
                  <c:v>0.87986100000000533</c:v>
                </c:pt>
                <c:pt idx="4">
                  <c:v>1.1172229999999956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3-CFAF-491D-8EDA-B3A068EA63F0}"/>
            </c:ext>
          </c:extLst>
        </c:ser>
        <c:ser>
          <c:idx val="196"/>
          <c:order val="196"/>
          <c:spPr>
            <a:noFill/>
          </c:spPr>
          <c:invertIfNegative val="0"/>
          <c:val>
            <c:numRef>
              <c:f>times!$B$197:$F$197</c:f>
              <c:numCache>
                <c:formatCode>General</c:formatCode>
                <c:ptCount val="5"/>
                <c:pt idx="0">
                  <c:v>0</c:v>
                </c:pt>
                <c:pt idx="1">
                  <c:v>3.1500509999999906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4-CFAF-491D-8EDA-B3A068EA63F0}"/>
            </c:ext>
          </c:extLst>
        </c:ser>
        <c:ser>
          <c:idx val="197"/>
          <c:order val="197"/>
          <c:invertIfNegative val="0"/>
          <c:val>
            <c:numRef>
              <c:f>times!$B$198:$F$198</c:f>
              <c:numCache>
                <c:formatCode>General</c:formatCode>
                <c:ptCount val="5"/>
                <c:pt idx="0">
                  <c:v>3.2600319999999954</c:v>
                </c:pt>
                <c:pt idx="1">
                  <c:v>0.1820160000000044</c:v>
                </c:pt>
                <c:pt idx="2">
                  <c:v>0.92512600000000589</c:v>
                </c:pt>
                <c:pt idx="3">
                  <c:v>0.70640299999999456</c:v>
                </c:pt>
                <c:pt idx="4">
                  <c:v>2.4445499999999925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5-CFAF-491D-8EDA-B3A068EA63F0}"/>
            </c:ext>
          </c:extLst>
        </c:ser>
        <c:ser>
          <c:idx val="198"/>
          <c:order val="198"/>
          <c:invertIfNegative val="0"/>
          <c:val>
            <c:numRef>
              <c:f>times!$B$199:$F$199</c:f>
              <c:numCache>
                <c:formatCode>General</c:formatCode>
                <c:ptCount val="5"/>
                <c:pt idx="0">
                  <c:v>0</c:v>
                </c:pt>
                <c:pt idx="1">
                  <c:v>6.9268999999991365E-2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6-CFAF-491D-8EDA-B3A068EA63F0}"/>
            </c:ext>
          </c:extLst>
        </c:ser>
        <c:ser>
          <c:idx val="199"/>
          <c:order val="199"/>
          <c:invertIfNegative val="0"/>
          <c:val>
            <c:numRef>
              <c:f>times!$B$200:$F$200</c:f>
              <c:numCache>
                <c:formatCode>General</c:formatCode>
                <c:ptCount val="5"/>
                <c:pt idx="0">
                  <c:v>0.25128499999999576</c:v>
                </c:pt>
                <c:pt idx="1">
                  <c:v>6.3510870000000068</c:v>
                </c:pt>
                <c:pt idx="2">
                  <c:v>1.6864579999999876</c:v>
                </c:pt>
                <c:pt idx="3">
                  <c:v>1.1633209999999963</c:v>
                </c:pt>
                <c:pt idx="4">
                  <c:v>6.0515800000000013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7-CFAF-491D-8EDA-B3A068EA63F0}"/>
            </c:ext>
          </c:extLst>
        </c:ser>
        <c:ser>
          <c:idx val="200"/>
          <c:order val="200"/>
          <c:invertIfNegative val="0"/>
          <c:val>
            <c:numRef>
              <c:f>times!$B$201:$F$201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8-CFAF-491D-8EDA-B3A068EA63F0}"/>
            </c:ext>
          </c:extLst>
        </c:ser>
        <c:ser>
          <c:idx val="201"/>
          <c:order val="201"/>
          <c:invertIfNegative val="0"/>
          <c:val>
            <c:numRef>
              <c:f>times!$B$202:$F$202</c:f>
              <c:numCache>
                <c:formatCode>General</c:formatCode>
                <c:ptCount val="5"/>
                <c:pt idx="0">
                  <c:v>0.41720399999999813</c:v>
                </c:pt>
                <c:pt idx="1">
                  <c:v>3.0768510000000049</c:v>
                </c:pt>
                <c:pt idx="2">
                  <c:v>0.19267400000001089</c:v>
                </c:pt>
                <c:pt idx="3">
                  <c:v>0.66772299999999518</c:v>
                </c:pt>
                <c:pt idx="4">
                  <c:v>2.5956520000000012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9-CFAF-491D-8EDA-B3A068EA63F0}"/>
            </c:ext>
          </c:extLst>
        </c:ser>
        <c:ser>
          <c:idx val="202"/>
          <c:order val="202"/>
          <c:invertIfNegative val="0"/>
          <c:val>
            <c:numRef>
              <c:f>times!$B$203:$F$203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CFAF-491D-8EDA-B3A068EA63F0}"/>
            </c:ext>
          </c:extLst>
        </c:ser>
        <c:ser>
          <c:idx val="203"/>
          <c:order val="203"/>
          <c:invertIfNegative val="0"/>
          <c:val>
            <c:numRef>
              <c:f>times!$B$204:$F$204</c:f>
              <c:numCache>
                <c:formatCode>General</c:formatCode>
                <c:ptCount val="5"/>
                <c:pt idx="0">
                  <c:v>1.2099790000000041</c:v>
                </c:pt>
                <c:pt idx="1">
                  <c:v>0.90726499999999533</c:v>
                </c:pt>
                <c:pt idx="2">
                  <c:v>0.55948100000000522</c:v>
                </c:pt>
                <c:pt idx="3">
                  <c:v>0.52774199999998928</c:v>
                </c:pt>
                <c:pt idx="4">
                  <c:v>0.58693400000001361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B-CFAF-491D-8EDA-B3A068EA63F0}"/>
            </c:ext>
          </c:extLst>
        </c:ser>
        <c:ser>
          <c:idx val="204"/>
          <c:order val="204"/>
          <c:invertIfNegative val="0"/>
          <c:val>
            <c:numRef>
              <c:f>times!$B$205:$F$205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C-CFAF-491D-8EDA-B3A068EA63F0}"/>
            </c:ext>
          </c:extLst>
        </c:ser>
        <c:ser>
          <c:idx val="205"/>
          <c:order val="205"/>
          <c:invertIfNegative val="0"/>
          <c:val>
            <c:numRef>
              <c:f>times!$B$206:$F$206</c:f>
              <c:numCache>
                <c:formatCode>General</c:formatCode>
                <c:ptCount val="5"/>
                <c:pt idx="0">
                  <c:v>0.99272199999998634</c:v>
                </c:pt>
                <c:pt idx="1">
                  <c:v>0.97039499999999634</c:v>
                </c:pt>
                <c:pt idx="2">
                  <c:v>1.6911619999999914</c:v>
                </c:pt>
                <c:pt idx="3">
                  <c:v>1.587916000000007</c:v>
                </c:pt>
                <c:pt idx="4">
                  <c:v>1.8253349999999955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D-CFAF-491D-8EDA-B3A068EA63F0}"/>
            </c:ext>
          </c:extLst>
        </c:ser>
        <c:ser>
          <c:idx val="206"/>
          <c:order val="206"/>
          <c:invertIfNegative val="0"/>
          <c:val>
            <c:numRef>
              <c:f>times!$B$207:$F$207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E-CFAF-491D-8EDA-B3A068EA63F0}"/>
            </c:ext>
          </c:extLst>
        </c:ser>
        <c:ser>
          <c:idx val="207"/>
          <c:order val="207"/>
          <c:invertIfNegative val="0"/>
          <c:val>
            <c:numRef>
              <c:f>times!$B$208:$F$208</c:f>
              <c:numCache>
                <c:formatCode>General</c:formatCode>
                <c:ptCount val="5"/>
                <c:pt idx="0">
                  <c:v>1.4686670000000106</c:v>
                </c:pt>
                <c:pt idx="1">
                  <c:v>0.31342100000000528</c:v>
                </c:pt>
                <c:pt idx="2">
                  <c:v>0.31938700000000608</c:v>
                </c:pt>
                <c:pt idx="3">
                  <c:v>0.64483400000000302</c:v>
                </c:pt>
                <c:pt idx="4">
                  <c:v>2.5992090000000019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F-CFAF-491D-8EDA-B3A068EA63F0}"/>
            </c:ext>
          </c:extLst>
        </c:ser>
        <c:ser>
          <c:idx val="208"/>
          <c:order val="208"/>
          <c:invertIfNegative val="0"/>
          <c:val>
            <c:numRef>
              <c:f>times!$B$209:$F$209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0-CFAF-491D-8EDA-B3A068EA63F0}"/>
            </c:ext>
          </c:extLst>
        </c:ser>
        <c:ser>
          <c:idx val="209"/>
          <c:order val="209"/>
          <c:invertIfNegative val="0"/>
          <c:val>
            <c:numRef>
              <c:f>times!$B$210:$F$210</c:f>
              <c:numCache>
                <c:formatCode>General</c:formatCode>
                <c:ptCount val="5"/>
                <c:pt idx="0">
                  <c:v>5.5257129999999961</c:v>
                </c:pt>
                <c:pt idx="1">
                  <c:v>0.60093499999999267</c:v>
                </c:pt>
                <c:pt idx="2">
                  <c:v>0.54908100000000104</c:v>
                </c:pt>
                <c:pt idx="3">
                  <c:v>2.7894119999999987</c:v>
                </c:pt>
                <c:pt idx="4">
                  <c:v>2.2737279999999771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1-CFAF-491D-8EDA-B3A068EA63F0}"/>
            </c:ext>
          </c:extLst>
        </c:ser>
        <c:ser>
          <c:idx val="210"/>
          <c:order val="210"/>
          <c:invertIfNegative val="0"/>
          <c:val>
            <c:numRef>
              <c:f>times!$B$211:$F$211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2-CFAF-491D-8EDA-B3A068EA63F0}"/>
            </c:ext>
          </c:extLst>
        </c:ser>
        <c:ser>
          <c:idx val="211"/>
          <c:order val="211"/>
          <c:invertIfNegative val="0"/>
          <c:val>
            <c:numRef>
              <c:f>times!$B$212:$F$212</c:f>
              <c:numCache>
                <c:formatCode>General</c:formatCode>
                <c:ptCount val="5"/>
                <c:pt idx="0">
                  <c:v>0.73002199999999107</c:v>
                </c:pt>
                <c:pt idx="1">
                  <c:v>3.3808870000000013</c:v>
                </c:pt>
                <c:pt idx="2">
                  <c:v>0.61623499999998899</c:v>
                </c:pt>
                <c:pt idx="3">
                  <c:v>1.9191199999999924</c:v>
                </c:pt>
                <c:pt idx="4">
                  <c:v>0.47575999999997975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3-CFAF-491D-8EDA-B3A068EA63F0}"/>
            </c:ext>
          </c:extLst>
        </c:ser>
        <c:ser>
          <c:idx val="212"/>
          <c:order val="212"/>
          <c:invertIfNegative val="0"/>
          <c:val>
            <c:numRef>
              <c:f>times!$B$213:$F$213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4-CFAF-491D-8EDA-B3A068EA63F0}"/>
            </c:ext>
          </c:extLst>
        </c:ser>
        <c:ser>
          <c:idx val="213"/>
          <c:order val="213"/>
          <c:invertIfNegative val="0"/>
          <c:val>
            <c:numRef>
              <c:f>times!$B$214:$F$214</c:f>
              <c:numCache>
                <c:formatCode>General</c:formatCode>
                <c:ptCount val="5"/>
                <c:pt idx="0">
                  <c:v>0.39196799999999143</c:v>
                </c:pt>
                <c:pt idx="1">
                  <c:v>0.64133799999999042</c:v>
                </c:pt>
                <c:pt idx="2">
                  <c:v>0.84426600000000462</c:v>
                </c:pt>
                <c:pt idx="3">
                  <c:v>1.145228000000003</c:v>
                </c:pt>
                <c:pt idx="4">
                  <c:v>1.1835350000000062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5-CFAF-491D-8EDA-B3A068EA63F0}"/>
            </c:ext>
          </c:extLst>
        </c:ser>
        <c:ser>
          <c:idx val="214"/>
          <c:order val="214"/>
          <c:invertIfNegative val="0"/>
          <c:val>
            <c:numRef>
              <c:f>times!$B$215:$F$215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6-CFAF-491D-8EDA-B3A068EA63F0}"/>
            </c:ext>
          </c:extLst>
        </c:ser>
        <c:ser>
          <c:idx val="215"/>
          <c:order val="215"/>
          <c:invertIfNegative val="0"/>
          <c:val>
            <c:numRef>
              <c:f>times!$B$216:$F$216</c:f>
              <c:numCache>
                <c:formatCode>General</c:formatCode>
                <c:ptCount val="5"/>
                <c:pt idx="0">
                  <c:v>0.34058400000000688</c:v>
                </c:pt>
                <c:pt idx="1">
                  <c:v>0.30835999999999331</c:v>
                </c:pt>
                <c:pt idx="2">
                  <c:v>2.3329339999999945</c:v>
                </c:pt>
                <c:pt idx="3">
                  <c:v>4.3693849999999941</c:v>
                </c:pt>
                <c:pt idx="4">
                  <c:v>0.42920400000002701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7-CFAF-491D-8EDA-B3A068EA63F0}"/>
            </c:ext>
          </c:extLst>
        </c:ser>
        <c:ser>
          <c:idx val="216"/>
          <c:order val="216"/>
          <c:invertIfNegative val="0"/>
          <c:val>
            <c:numRef>
              <c:f>times!$B$217:$F$217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8-CFAF-491D-8EDA-B3A068EA63F0}"/>
            </c:ext>
          </c:extLst>
        </c:ser>
        <c:ser>
          <c:idx val="217"/>
          <c:order val="217"/>
          <c:invertIfNegative val="0"/>
          <c:val>
            <c:numRef>
              <c:f>times!$B$218:$F$218</c:f>
              <c:numCache>
                <c:formatCode>General</c:formatCode>
                <c:ptCount val="5"/>
                <c:pt idx="0">
                  <c:v>2.5378190000000131</c:v>
                </c:pt>
                <c:pt idx="1">
                  <c:v>1.6358050000000048</c:v>
                </c:pt>
                <c:pt idx="2">
                  <c:v>1.047900999999996</c:v>
                </c:pt>
                <c:pt idx="3">
                  <c:v>0.75554199999999128</c:v>
                </c:pt>
                <c:pt idx="4">
                  <c:v>5.5003469999999766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9-CFAF-491D-8EDA-B3A068EA63F0}"/>
            </c:ext>
          </c:extLst>
        </c:ser>
        <c:ser>
          <c:idx val="218"/>
          <c:order val="218"/>
          <c:invertIfNegative val="0"/>
          <c:val>
            <c:numRef>
              <c:f>times!$B$219:$F$219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A-CFAF-491D-8EDA-B3A068EA63F0}"/>
            </c:ext>
          </c:extLst>
        </c:ser>
        <c:ser>
          <c:idx val="219"/>
          <c:order val="219"/>
          <c:invertIfNegative val="0"/>
          <c:val>
            <c:numRef>
              <c:f>times!$B$220:$F$220</c:f>
              <c:numCache>
                <c:formatCode>General</c:formatCode>
                <c:ptCount val="5"/>
                <c:pt idx="0">
                  <c:v>2.5586079999999924</c:v>
                </c:pt>
                <c:pt idx="1">
                  <c:v>9.8874179999999967</c:v>
                </c:pt>
                <c:pt idx="2">
                  <c:v>0.61658099999999649</c:v>
                </c:pt>
                <c:pt idx="3">
                  <c:v>3.0075239999999894</c:v>
                </c:pt>
                <c:pt idx="4">
                  <c:v>1.2697890000000029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B-CFAF-491D-8EDA-B3A068EA63F0}"/>
            </c:ext>
          </c:extLst>
        </c:ser>
        <c:ser>
          <c:idx val="220"/>
          <c:order val="220"/>
          <c:invertIfNegative val="0"/>
          <c:val>
            <c:numRef>
              <c:f>times!$B$221:$F$221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C-CFAF-491D-8EDA-B3A068EA63F0}"/>
            </c:ext>
          </c:extLst>
        </c:ser>
        <c:ser>
          <c:idx val="221"/>
          <c:order val="221"/>
          <c:invertIfNegative val="0"/>
          <c:val>
            <c:numRef>
              <c:f>times!$B$222:$F$222</c:f>
              <c:numCache>
                <c:formatCode>General</c:formatCode>
                <c:ptCount val="5"/>
                <c:pt idx="0">
                  <c:v>0.64109199999998623</c:v>
                </c:pt>
                <c:pt idx="1">
                  <c:v>0.4132539999999949</c:v>
                </c:pt>
                <c:pt idx="2">
                  <c:v>0.74839800000000878</c:v>
                </c:pt>
                <c:pt idx="3">
                  <c:v>0.60847300000000359</c:v>
                </c:pt>
                <c:pt idx="4">
                  <c:v>1.3680719999999837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D-CFAF-491D-8EDA-B3A068EA63F0}"/>
            </c:ext>
          </c:extLst>
        </c:ser>
        <c:ser>
          <c:idx val="222"/>
          <c:order val="222"/>
          <c:invertIfNegative val="0"/>
          <c:val>
            <c:numRef>
              <c:f>times!$B$223:$F$223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E-CFAF-491D-8EDA-B3A068EA63F0}"/>
            </c:ext>
          </c:extLst>
        </c:ser>
        <c:ser>
          <c:idx val="223"/>
          <c:order val="223"/>
          <c:invertIfNegative val="0"/>
          <c:val>
            <c:numRef>
              <c:f>times!$B$224:$F$224</c:f>
              <c:numCache>
                <c:formatCode>General</c:formatCode>
                <c:ptCount val="5"/>
                <c:pt idx="0">
                  <c:v>1.1318060000000116</c:v>
                </c:pt>
                <c:pt idx="1">
                  <c:v>1.6267949999999871</c:v>
                </c:pt>
                <c:pt idx="2">
                  <c:v>0.3588619999999878</c:v>
                </c:pt>
                <c:pt idx="3">
                  <c:v>0.22916200000000231</c:v>
                </c:pt>
                <c:pt idx="4">
                  <c:v>0.82301200000000563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F-CFAF-491D-8EDA-B3A068EA63F0}"/>
            </c:ext>
          </c:extLst>
        </c:ser>
        <c:ser>
          <c:idx val="224"/>
          <c:order val="224"/>
          <c:invertIfNegative val="0"/>
          <c:val>
            <c:numRef>
              <c:f>times!$B$225:$F$225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0-CFAF-491D-8EDA-B3A068EA63F0}"/>
            </c:ext>
          </c:extLst>
        </c:ser>
        <c:ser>
          <c:idx val="225"/>
          <c:order val="225"/>
          <c:invertIfNegative val="0"/>
          <c:val>
            <c:numRef>
              <c:f>times!$B$226:$F$226</c:f>
              <c:numCache>
                <c:formatCode>General</c:formatCode>
                <c:ptCount val="5"/>
                <c:pt idx="0">
                  <c:v>2.4819980000000044</c:v>
                </c:pt>
                <c:pt idx="1">
                  <c:v>0.29813899999999194</c:v>
                </c:pt>
                <c:pt idx="2">
                  <c:v>1.5684050000000127</c:v>
                </c:pt>
                <c:pt idx="3">
                  <c:v>5.2793369999999982</c:v>
                </c:pt>
                <c:pt idx="4">
                  <c:v>2.375959000000023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1-CFAF-491D-8EDA-B3A068EA63F0}"/>
            </c:ext>
          </c:extLst>
        </c:ser>
        <c:ser>
          <c:idx val="226"/>
          <c:order val="226"/>
          <c:invertIfNegative val="0"/>
          <c:val>
            <c:numRef>
              <c:f>times!$B$227:$F$227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2-CFAF-491D-8EDA-B3A068EA63F0}"/>
            </c:ext>
          </c:extLst>
        </c:ser>
        <c:ser>
          <c:idx val="227"/>
          <c:order val="227"/>
          <c:invertIfNegative val="0"/>
          <c:val>
            <c:numRef>
              <c:f>times!$B$228:$F$228</c:f>
              <c:numCache>
                <c:formatCode>General</c:formatCode>
                <c:ptCount val="5"/>
                <c:pt idx="0">
                  <c:v>2.7099409999999864</c:v>
                </c:pt>
                <c:pt idx="1">
                  <c:v>0.46635200000000054</c:v>
                </c:pt>
                <c:pt idx="2">
                  <c:v>3.1691800000000114</c:v>
                </c:pt>
                <c:pt idx="3">
                  <c:v>0.7323599999999999</c:v>
                </c:pt>
                <c:pt idx="4">
                  <c:v>1.8175249999999892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3-CFAF-491D-8EDA-B3A068EA63F0}"/>
            </c:ext>
          </c:extLst>
        </c:ser>
        <c:ser>
          <c:idx val="228"/>
          <c:order val="228"/>
          <c:invertIfNegative val="0"/>
          <c:val>
            <c:numRef>
              <c:f>times!$B$229:$F$229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4-CFAF-491D-8EDA-B3A068EA63F0}"/>
            </c:ext>
          </c:extLst>
        </c:ser>
        <c:ser>
          <c:idx val="229"/>
          <c:order val="229"/>
          <c:invertIfNegative val="0"/>
          <c:val>
            <c:numRef>
              <c:f>times!$B$230:$F$230</c:f>
              <c:numCache>
                <c:formatCode>General</c:formatCode>
                <c:ptCount val="5"/>
                <c:pt idx="0">
                  <c:v>0.50039899999998738</c:v>
                </c:pt>
                <c:pt idx="1">
                  <c:v>0.19640599999999608</c:v>
                </c:pt>
                <c:pt idx="2">
                  <c:v>0.23378700000000663</c:v>
                </c:pt>
                <c:pt idx="3">
                  <c:v>0.3725729999999885</c:v>
                </c:pt>
                <c:pt idx="4">
                  <c:v>0.78462899999999536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5-CFAF-491D-8EDA-B3A068EA63F0}"/>
            </c:ext>
          </c:extLst>
        </c:ser>
        <c:ser>
          <c:idx val="230"/>
          <c:order val="230"/>
          <c:invertIfNegative val="0"/>
          <c:val>
            <c:numRef>
              <c:f>times!$B$231:$F$231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6-CFAF-491D-8EDA-B3A068EA63F0}"/>
            </c:ext>
          </c:extLst>
        </c:ser>
        <c:ser>
          <c:idx val="231"/>
          <c:order val="231"/>
          <c:invertIfNegative val="0"/>
          <c:val>
            <c:numRef>
              <c:f>times!$B$232:$F$232</c:f>
              <c:numCache>
                <c:formatCode>General</c:formatCode>
                <c:ptCount val="5"/>
                <c:pt idx="0">
                  <c:v>0.17911599999999339</c:v>
                </c:pt>
                <c:pt idx="1">
                  <c:v>2.6757790000000057</c:v>
                </c:pt>
                <c:pt idx="2">
                  <c:v>1.5380969999999934</c:v>
                </c:pt>
                <c:pt idx="3">
                  <c:v>2.2602329999999995</c:v>
                </c:pt>
                <c:pt idx="4">
                  <c:v>1.034150000000011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7-CFAF-491D-8EDA-B3A068EA63F0}"/>
            </c:ext>
          </c:extLst>
        </c:ser>
        <c:ser>
          <c:idx val="232"/>
          <c:order val="232"/>
          <c:invertIfNegative val="0"/>
          <c:val>
            <c:numRef>
              <c:f>times!$B$233:$F$233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0.5700750000000312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8-CFAF-491D-8EDA-B3A068EA63F0}"/>
            </c:ext>
          </c:extLst>
        </c:ser>
        <c:ser>
          <c:idx val="233"/>
          <c:order val="233"/>
          <c:invertIfNegative val="0"/>
          <c:val>
            <c:numRef>
              <c:f>times!$B$234:$F$234</c:f>
              <c:numCache>
                <c:formatCode>General</c:formatCode>
                <c:ptCount val="5"/>
                <c:pt idx="0">
                  <c:v>7.3342210000000136</c:v>
                </c:pt>
                <c:pt idx="1">
                  <c:v>9.0251480000000015</c:v>
                </c:pt>
                <c:pt idx="2">
                  <c:v>0.63270700000001057</c:v>
                </c:pt>
                <c:pt idx="3">
                  <c:v>0.49712299999998777</c:v>
                </c:pt>
                <c:pt idx="4">
                  <c:v>0.34790099999997892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9-CFAF-491D-8EDA-B3A068EA63F0}"/>
            </c:ext>
          </c:extLst>
        </c:ser>
        <c:ser>
          <c:idx val="234"/>
          <c:order val="234"/>
          <c:invertIfNegative val="0"/>
          <c:val>
            <c:numRef>
              <c:f>times!$B$235:$F$235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9.5721999999994978E-2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A-CFAF-491D-8EDA-B3A068EA63F0}"/>
            </c:ext>
          </c:extLst>
        </c:ser>
        <c:ser>
          <c:idx val="235"/>
          <c:order val="235"/>
          <c:invertIfNegative val="0"/>
          <c:val>
            <c:numRef>
              <c:f>times!$B$236:$F$236</c:f>
              <c:numCache>
                <c:formatCode>General</c:formatCode>
                <c:ptCount val="5"/>
                <c:pt idx="0">
                  <c:v>0.73439799999999877</c:v>
                </c:pt>
                <c:pt idx="1">
                  <c:v>0.72842900000000554</c:v>
                </c:pt>
                <c:pt idx="2">
                  <c:v>0.1954900000000066</c:v>
                </c:pt>
                <c:pt idx="3">
                  <c:v>5.1493969999999933</c:v>
                </c:pt>
                <c:pt idx="4">
                  <c:v>1.2895750000000135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B-CFAF-491D-8EDA-B3A068EA63F0}"/>
            </c:ext>
          </c:extLst>
        </c:ser>
        <c:ser>
          <c:idx val="236"/>
          <c:order val="236"/>
          <c:invertIfNegative val="0"/>
          <c:val>
            <c:numRef>
              <c:f>times!$B$237:$F$237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9.07749999999794E-2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C-CFAF-491D-8EDA-B3A068EA63F0}"/>
            </c:ext>
          </c:extLst>
        </c:ser>
        <c:ser>
          <c:idx val="237"/>
          <c:order val="237"/>
          <c:invertIfNegative val="0"/>
          <c:val>
            <c:numRef>
              <c:f>times!$B$238:$F$238</c:f>
              <c:numCache>
                <c:formatCode>General</c:formatCode>
                <c:ptCount val="5"/>
                <c:pt idx="0">
                  <c:v>2.1568780000000061</c:v>
                </c:pt>
                <c:pt idx="1">
                  <c:v>0.286264999999986</c:v>
                </c:pt>
                <c:pt idx="2">
                  <c:v>0.90788800000001402</c:v>
                </c:pt>
                <c:pt idx="3">
                  <c:v>0.11715200000000436</c:v>
                </c:pt>
                <c:pt idx="4">
                  <c:v>1.6908080000000041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D-CFAF-491D-8EDA-B3A068EA63F0}"/>
            </c:ext>
          </c:extLst>
        </c:ser>
        <c:ser>
          <c:idx val="238"/>
          <c:order val="238"/>
          <c:invertIfNegative val="0"/>
          <c:val>
            <c:numRef>
              <c:f>times!$B$239:$F$239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E-CFAF-491D-8EDA-B3A068EA63F0}"/>
            </c:ext>
          </c:extLst>
        </c:ser>
        <c:ser>
          <c:idx val="239"/>
          <c:order val="239"/>
          <c:invertIfNegative val="0"/>
          <c:val>
            <c:numRef>
              <c:f>times!$B$240:$F$240</c:f>
              <c:numCache>
                <c:formatCode>General</c:formatCode>
                <c:ptCount val="5"/>
                <c:pt idx="0">
                  <c:v>0.97733500000001072</c:v>
                </c:pt>
                <c:pt idx="1">
                  <c:v>8.3325000000002092E-2</c:v>
                </c:pt>
                <c:pt idx="2">
                  <c:v>2.896333999999996</c:v>
                </c:pt>
                <c:pt idx="3">
                  <c:v>1.4354339999999866</c:v>
                </c:pt>
                <c:pt idx="4">
                  <c:v>0.53631500000000187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F-CFAF-491D-8EDA-B3A068EA63F0}"/>
            </c:ext>
          </c:extLst>
        </c:ser>
        <c:ser>
          <c:idx val="240"/>
          <c:order val="240"/>
          <c:invertIfNegative val="0"/>
          <c:val>
            <c:numRef>
              <c:f>times!$B$241:$F$241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7.3160000000001446E-2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0-CFAF-491D-8EDA-B3A068EA63F0}"/>
            </c:ext>
          </c:extLst>
        </c:ser>
        <c:ser>
          <c:idx val="241"/>
          <c:order val="241"/>
          <c:invertIfNegative val="0"/>
          <c:val>
            <c:numRef>
              <c:f>times!$B$242:$F$242</c:f>
              <c:numCache>
                <c:formatCode>General</c:formatCode>
                <c:ptCount val="5"/>
                <c:pt idx="0">
                  <c:v>1.3200640000000021</c:v>
                </c:pt>
                <c:pt idx="1">
                  <c:v>3.7940570000000093</c:v>
                </c:pt>
                <c:pt idx="2">
                  <c:v>0.77878200000000675</c:v>
                </c:pt>
                <c:pt idx="3">
                  <c:v>0.35424499999999171</c:v>
                </c:pt>
                <c:pt idx="4">
                  <c:v>1.9509679999999889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1-CFAF-491D-8EDA-B3A068EA63F0}"/>
            </c:ext>
          </c:extLst>
        </c:ser>
        <c:ser>
          <c:idx val="242"/>
          <c:order val="242"/>
          <c:spPr>
            <a:noFill/>
          </c:spPr>
          <c:invertIfNegative val="0"/>
          <c:val>
            <c:numRef>
              <c:f>times!$B$243:$F$243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4.0188310000000058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2-CFAF-491D-8EDA-B3A068EA63F0}"/>
            </c:ext>
          </c:extLst>
        </c:ser>
        <c:ser>
          <c:idx val="243"/>
          <c:order val="243"/>
          <c:invertIfNegative val="0"/>
          <c:val>
            <c:numRef>
              <c:f>times!$B$244:$F$244</c:f>
              <c:numCache>
                <c:formatCode>General</c:formatCode>
                <c:ptCount val="5"/>
                <c:pt idx="0">
                  <c:v>0.4803579999999954</c:v>
                </c:pt>
                <c:pt idx="1">
                  <c:v>4.7976130000000126</c:v>
                </c:pt>
                <c:pt idx="2">
                  <c:v>5.0667320000000018</c:v>
                </c:pt>
                <c:pt idx="3">
                  <c:v>1.8043220000000133</c:v>
                </c:pt>
                <c:pt idx="4">
                  <c:v>1.9501339999999914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3-CFAF-491D-8EDA-B3A068EA63F0}"/>
            </c:ext>
          </c:extLst>
        </c:ser>
        <c:ser>
          <c:idx val="244"/>
          <c:order val="244"/>
          <c:invertIfNegative val="0"/>
          <c:val>
            <c:numRef>
              <c:f>times!$B$245:$F$245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4-CFAF-491D-8EDA-B3A068EA63F0}"/>
            </c:ext>
          </c:extLst>
        </c:ser>
        <c:ser>
          <c:idx val="245"/>
          <c:order val="245"/>
          <c:invertIfNegative val="0"/>
          <c:val>
            <c:numRef>
              <c:f>times!$B$246:$F$246</c:f>
              <c:numCache>
                <c:formatCode>General</c:formatCode>
                <c:ptCount val="5"/>
                <c:pt idx="0">
                  <c:v>1.253735000000006</c:v>
                </c:pt>
                <c:pt idx="1">
                  <c:v>0.36461900000000469</c:v>
                </c:pt>
                <c:pt idx="2">
                  <c:v>1.7909510000000068</c:v>
                </c:pt>
                <c:pt idx="3">
                  <c:v>0.35875900000002048</c:v>
                </c:pt>
                <c:pt idx="4">
                  <c:v>2.2258830000000103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5-CFAF-491D-8EDA-B3A068EA63F0}"/>
            </c:ext>
          </c:extLst>
        </c:ser>
        <c:ser>
          <c:idx val="246"/>
          <c:order val="246"/>
          <c:invertIfNegative val="0"/>
          <c:val>
            <c:numRef>
              <c:f>times!$B$247:$F$247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6-CFAF-491D-8EDA-B3A068EA63F0}"/>
            </c:ext>
          </c:extLst>
        </c:ser>
        <c:ser>
          <c:idx val="247"/>
          <c:order val="247"/>
          <c:invertIfNegative val="0"/>
          <c:val>
            <c:numRef>
              <c:f>times!$B$248:$F$248</c:f>
              <c:numCache>
                <c:formatCode>General</c:formatCode>
                <c:ptCount val="5"/>
                <c:pt idx="0">
                  <c:v>5.8888249999999971</c:v>
                </c:pt>
                <c:pt idx="1">
                  <c:v>0.21110400000000595</c:v>
                </c:pt>
                <c:pt idx="2">
                  <c:v>4.3363879999999995</c:v>
                </c:pt>
                <c:pt idx="3">
                  <c:v>0.45358199999998305</c:v>
                </c:pt>
                <c:pt idx="4">
                  <c:v>4.0695160000000214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7-CFAF-491D-8EDA-B3A068EA63F0}"/>
            </c:ext>
          </c:extLst>
        </c:ser>
        <c:ser>
          <c:idx val="248"/>
          <c:order val="248"/>
          <c:invertIfNegative val="0"/>
          <c:val>
            <c:numRef>
              <c:f>times!$B$249:$F$249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2.2697990000000061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8-CFAF-491D-8EDA-B3A068EA63F0}"/>
            </c:ext>
          </c:extLst>
        </c:ser>
        <c:ser>
          <c:idx val="249"/>
          <c:order val="249"/>
          <c:invertIfNegative val="0"/>
          <c:val>
            <c:numRef>
              <c:f>times!$B$250:$F$250</c:f>
              <c:numCache>
                <c:formatCode>General</c:formatCode>
                <c:ptCount val="5"/>
                <c:pt idx="0">
                  <c:v>2.9427729999999883</c:v>
                </c:pt>
                <c:pt idx="1">
                  <c:v>12.888147000000004</c:v>
                </c:pt>
                <c:pt idx="2">
                  <c:v>0.34532100000001265</c:v>
                </c:pt>
                <c:pt idx="3">
                  <c:v>0.33840500000002294</c:v>
                </c:pt>
                <c:pt idx="4">
                  <c:v>0.59457200000002786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9-CFAF-491D-8EDA-B3A068EA63F0}"/>
            </c:ext>
          </c:extLst>
        </c:ser>
        <c:ser>
          <c:idx val="250"/>
          <c:order val="250"/>
          <c:invertIfNegative val="0"/>
          <c:val>
            <c:numRef>
              <c:f>times!$B$251:$F$251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2.4860929999999826</c:v>
                </c:pt>
                <c:pt idx="3">
                  <c:v>2.5106840000001398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A-CFAF-491D-8EDA-B3A068EA63F0}"/>
            </c:ext>
          </c:extLst>
        </c:ser>
        <c:ser>
          <c:idx val="251"/>
          <c:order val="251"/>
          <c:invertIfNegative val="0"/>
          <c:val>
            <c:numRef>
              <c:f>times!$B$252:$F$252</c:f>
              <c:numCache>
                <c:formatCode>General</c:formatCode>
                <c:ptCount val="5"/>
                <c:pt idx="0">
                  <c:v>0.20609300000000985</c:v>
                </c:pt>
                <c:pt idx="1">
                  <c:v>2.8314139999999952</c:v>
                </c:pt>
                <c:pt idx="2">
                  <c:v>4.2872220000000141</c:v>
                </c:pt>
                <c:pt idx="3">
                  <c:v>1.3062469999999848</c:v>
                </c:pt>
                <c:pt idx="4">
                  <c:v>1.6682220000000143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FB-CFAF-491D-8EDA-B3A068EA6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1271296"/>
        <c:axId val="111281280"/>
      </c:barChart>
      <c:catAx>
        <c:axId val="111271296"/>
        <c:scaling>
          <c:orientation val="maxMin"/>
        </c:scaling>
        <c:delete val="0"/>
        <c:axPos val="l"/>
        <c:majorTickMark val="out"/>
        <c:minorTickMark val="none"/>
        <c:tickLblPos val="nextTo"/>
        <c:crossAx val="111281280"/>
        <c:crosses val="autoZero"/>
        <c:auto val="1"/>
        <c:lblAlgn val="ctr"/>
        <c:lblOffset val="100"/>
        <c:noMultiLvlLbl val="0"/>
      </c:catAx>
      <c:valAx>
        <c:axId val="111281280"/>
        <c:scaling>
          <c:orientation val="minMax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111271296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times!$I$473:$M$473</c:f>
              <c:numCache>
                <c:formatCode>General</c:formatCode>
                <c:ptCount val="5"/>
                <c:pt idx="0">
                  <c:v>443.09075399999978</c:v>
                </c:pt>
                <c:pt idx="1">
                  <c:v>508.02449999999993</c:v>
                </c:pt>
                <c:pt idx="2">
                  <c:v>519.48433899999986</c:v>
                </c:pt>
                <c:pt idx="3">
                  <c:v>544.71123199999977</c:v>
                </c:pt>
                <c:pt idx="4">
                  <c:v>590.40559899999982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8-4725-87FF-8F33D60A703C}"/>
            </c:ext>
          </c:extLst>
        </c:ser>
        <c:ser>
          <c:idx val="1"/>
          <c:order val="1"/>
          <c:spPr>
            <a:solidFill>
              <a:srgbClr val="FFC000"/>
            </a:solidFill>
          </c:spPr>
          <c:invertIfNegative val="0"/>
          <c:val>
            <c:numRef>
              <c:f>times!$I$474:$M$474</c:f>
              <c:numCache>
                <c:formatCode>General</c:formatCode>
                <c:ptCount val="5"/>
                <c:pt idx="0">
                  <c:v>1.7836869999999863</c:v>
                </c:pt>
                <c:pt idx="1">
                  <c:v>2.9265689999999722</c:v>
                </c:pt>
                <c:pt idx="2">
                  <c:v>0.94806000000005497</c:v>
                </c:pt>
                <c:pt idx="3">
                  <c:v>0.72397499999999582</c:v>
                </c:pt>
                <c:pt idx="4">
                  <c:v>1.3152069999999867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A8-4725-87FF-8F33D60A703C}"/>
            </c:ext>
          </c:extLst>
        </c:ser>
        <c:ser>
          <c:idx val="2"/>
          <c:order val="2"/>
          <c:spPr>
            <a:noFill/>
          </c:spPr>
          <c:invertIfNegative val="0"/>
          <c:val>
            <c:numRef>
              <c:f>times!$I$475:$M$475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A8-4725-87FF-8F33D60A703C}"/>
            </c:ext>
          </c:extLst>
        </c:ser>
        <c:ser>
          <c:idx val="3"/>
          <c:order val="3"/>
          <c:invertIfNegative val="0"/>
          <c:val>
            <c:numRef>
              <c:f>times!$I$476:$M$476</c:f>
              <c:numCache>
                <c:formatCode>General</c:formatCode>
                <c:ptCount val="5"/>
                <c:pt idx="0">
                  <c:v>0.1966019999999844</c:v>
                </c:pt>
                <c:pt idx="1">
                  <c:v>1.7684929999999781</c:v>
                </c:pt>
                <c:pt idx="2">
                  <c:v>3.4599060000000463</c:v>
                </c:pt>
                <c:pt idx="3">
                  <c:v>3.0483789999999544</c:v>
                </c:pt>
                <c:pt idx="4">
                  <c:v>3.3438409999999976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A8-4725-87FF-8F33D60A703C}"/>
            </c:ext>
          </c:extLst>
        </c:ser>
        <c:ser>
          <c:idx val="4"/>
          <c:order val="4"/>
          <c:spPr>
            <a:noFill/>
          </c:spPr>
          <c:invertIfNegative val="0"/>
          <c:val>
            <c:numRef>
              <c:f>times!$I$477:$M$477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A8-4725-87FF-8F33D60A703C}"/>
            </c:ext>
          </c:extLst>
        </c:ser>
        <c:ser>
          <c:idx val="5"/>
          <c:order val="5"/>
          <c:invertIfNegative val="0"/>
          <c:val>
            <c:numRef>
              <c:f>times!$I$478:$M$478</c:f>
              <c:numCache>
                <c:formatCode>General</c:formatCode>
                <c:ptCount val="5"/>
                <c:pt idx="0">
                  <c:v>1.6705590000000257</c:v>
                </c:pt>
                <c:pt idx="1">
                  <c:v>0.8181489999999485</c:v>
                </c:pt>
                <c:pt idx="2">
                  <c:v>1.5394680000000562</c:v>
                </c:pt>
                <c:pt idx="3">
                  <c:v>2.4409719999999879</c:v>
                </c:pt>
                <c:pt idx="4">
                  <c:v>3.3921550000000025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4A8-4725-87FF-8F33D60A703C}"/>
            </c:ext>
          </c:extLst>
        </c:ser>
        <c:ser>
          <c:idx val="6"/>
          <c:order val="6"/>
          <c:invertIfNegative val="0"/>
          <c:val>
            <c:numRef>
              <c:f>times!$I$479:$M$479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4A8-4725-87FF-8F33D60A703C}"/>
            </c:ext>
          </c:extLst>
        </c:ser>
        <c:ser>
          <c:idx val="7"/>
          <c:order val="7"/>
          <c:invertIfNegative val="0"/>
          <c:val>
            <c:numRef>
              <c:f>times!$I$480:$M$480</c:f>
              <c:numCache>
                <c:formatCode>General</c:formatCode>
                <c:ptCount val="5"/>
                <c:pt idx="0">
                  <c:v>2.836229000000003</c:v>
                </c:pt>
                <c:pt idx="1">
                  <c:v>1.3106719999999541</c:v>
                </c:pt>
                <c:pt idx="2">
                  <c:v>2.1203460000000405</c:v>
                </c:pt>
                <c:pt idx="3">
                  <c:v>0.40463799999997718</c:v>
                </c:pt>
                <c:pt idx="4">
                  <c:v>0.7383230000000367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4A8-4725-87FF-8F33D60A703C}"/>
            </c:ext>
          </c:extLst>
        </c:ser>
        <c:ser>
          <c:idx val="8"/>
          <c:order val="8"/>
          <c:invertIfNegative val="0"/>
          <c:val>
            <c:numRef>
              <c:f>times!$I$481:$M$481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4A8-4725-87FF-8F33D60A703C}"/>
            </c:ext>
          </c:extLst>
        </c:ser>
        <c:ser>
          <c:idx val="9"/>
          <c:order val="9"/>
          <c:invertIfNegative val="0"/>
          <c:val>
            <c:numRef>
              <c:f>times!$I$482:$M$482</c:f>
              <c:numCache>
                <c:formatCode>General</c:formatCode>
                <c:ptCount val="5"/>
                <c:pt idx="0">
                  <c:v>0.33991099999997232</c:v>
                </c:pt>
                <c:pt idx="1">
                  <c:v>0.74671399999999721</c:v>
                </c:pt>
                <c:pt idx="2">
                  <c:v>1.9843439999999646</c:v>
                </c:pt>
                <c:pt idx="3">
                  <c:v>1.5438130000000001</c:v>
                </c:pt>
                <c:pt idx="4">
                  <c:v>5.4608220000000074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4A8-4725-87FF-8F33D60A703C}"/>
            </c:ext>
          </c:extLst>
        </c:ser>
        <c:ser>
          <c:idx val="10"/>
          <c:order val="10"/>
          <c:invertIfNegative val="0"/>
          <c:val>
            <c:numRef>
              <c:f>times!$I$483:$M$483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4A8-4725-87FF-8F33D60A703C}"/>
            </c:ext>
          </c:extLst>
        </c:ser>
        <c:ser>
          <c:idx val="11"/>
          <c:order val="11"/>
          <c:invertIfNegative val="0"/>
          <c:val>
            <c:numRef>
              <c:f>times!$I$484:$M$484</c:f>
              <c:numCache>
                <c:formatCode>General</c:formatCode>
                <c:ptCount val="5"/>
                <c:pt idx="0">
                  <c:v>0.18538499999999658</c:v>
                </c:pt>
                <c:pt idx="1">
                  <c:v>0.39876600000002327</c:v>
                </c:pt>
                <c:pt idx="2">
                  <c:v>0.76108699999997498</c:v>
                </c:pt>
                <c:pt idx="3">
                  <c:v>2.6877439999999524</c:v>
                </c:pt>
                <c:pt idx="4">
                  <c:v>0.21127500000000055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4A8-4725-87FF-8F33D60A703C}"/>
            </c:ext>
          </c:extLst>
        </c:ser>
        <c:ser>
          <c:idx val="12"/>
          <c:order val="12"/>
          <c:invertIfNegative val="0"/>
          <c:val>
            <c:numRef>
              <c:f>times!$I$485:$M$485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4A8-4725-87FF-8F33D60A703C}"/>
            </c:ext>
          </c:extLst>
        </c:ser>
        <c:ser>
          <c:idx val="13"/>
          <c:order val="13"/>
          <c:invertIfNegative val="0"/>
          <c:val>
            <c:numRef>
              <c:f>times!$I$486:$M$486</c:f>
              <c:numCache>
                <c:formatCode>General</c:formatCode>
                <c:ptCount val="5"/>
                <c:pt idx="0">
                  <c:v>3.4507780000000139</c:v>
                </c:pt>
                <c:pt idx="1">
                  <c:v>3.1507440000000315</c:v>
                </c:pt>
                <c:pt idx="2">
                  <c:v>2.3404160000000047</c:v>
                </c:pt>
                <c:pt idx="3">
                  <c:v>6.0076380000000427</c:v>
                </c:pt>
                <c:pt idx="4">
                  <c:v>2.2812959999999975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4A8-4725-87FF-8F33D60A703C}"/>
            </c:ext>
          </c:extLst>
        </c:ser>
        <c:ser>
          <c:idx val="14"/>
          <c:order val="14"/>
          <c:invertIfNegative val="0"/>
          <c:val>
            <c:numRef>
              <c:f>times!$I$487:$M$487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4A8-4725-87FF-8F33D60A703C}"/>
            </c:ext>
          </c:extLst>
        </c:ser>
        <c:ser>
          <c:idx val="15"/>
          <c:order val="15"/>
          <c:invertIfNegative val="0"/>
          <c:val>
            <c:numRef>
              <c:f>times!$I$488:$M$488</c:f>
              <c:numCache>
                <c:formatCode>General</c:formatCode>
                <c:ptCount val="5"/>
                <c:pt idx="0">
                  <c:v>0.27359899999999016</c:v>
                </c:pt>
                <c:pt idx="1">
                  <c:v>2.5168230000000449</c:v>
                </c:pt>
                <c:pt idx="2">
                  <c:v>0.72091899999998077</c:v>
                </c:pt>
                <c:pt idx="3">
                  <c:v>0.66548799999998209</c:v>
                </c:pt>
                <c:pt idx="4">
                  <c:v>2.8076919999999745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4A8-4725-87FF-8F33D60A703C}"/>
            </c:ext>
          </c:extLst>
        </c:ser>
        <c:ser>
          <c:idx val="16"/>
          <c:order val="16"/>
          <c:invertIfNegative val="0"/>
          <c:val>
            <c:numRef>
              <c:f>times!$I$489:$M$489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4A8-4725-87FF-8F33D60A703C}"/>
            </c:ext>
          </c:extLst>
        </c:ser>
        <c:ser>
          <c:idx val="17"/>
          <c:order val="17"/>
          <c:invertIfNegative val="0"/>
          <c:val>
            <c:numRef>
              <c:f>times!$I$490:$M$490</c:f>
              <c:numCache>
                <c:formatCode>General</c:formatCode>
                <c:ptCount val="5"/>
                <c:pt idx="0">
                  <c:v>1.7682379999999966</c:v>
                </c:pt>
                <c:pt idx="1">
                  <c:v>1.1567069999999831</c:v>
                </c:pt>
                <c:pt idx="2">
                  <c:v>0.96199999999998909</c:v>
                </c:pt>
                <c:pt idx="3">
                  <c:v>0.22808499999996457</c:v>
                </c:pt>
                <c:pt idx="4">
                  <c:v>0.88756200000000263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4A8-4725-87FF-8F33D60A703C}"/>
            </c:ext>
          </c:extLst>
        </c:ser>
        <c:ser>
          <c:idx val="18"/>
          <c:order val="18"/>
          <c:invertIfNegative val="0"/>
          <c:val>
            <c:numRef>
              <c:f>times!$I$491:$M$491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4A8-4725-87FF-8F33D60A703C}"/>
            </c:ext>
          </c:extLst>
        </c:ser>
        <c:ser>
          <c:idx val="19"/>
          <c:order val="19"/>
          <c:invertIfNegative val="0"/>
          <c:val>
            <c:numRef>
              <c:f>times!$I$492:$M$492</c:f>
              <c:numCache>
                <c:formatCode>General</c:formatCode>
                <c:ptCount val="5"/>
                <c:pt idx="0">
                  <c:v>0.72306900000000951</c:v>
                </c:pt>
                <c:pt idx="1">
                  <c:v>9.981300000004012E-2</c:v>
                </c:pt>
                <c:pt idx="2">
                  <c:v>0.898145999999997</c:v>
                </c:pt>
                <c:pt idx="3">
                  <c:v>0.56018600000004426</c:v>
                </c:pt>
                <c:pt idx="4">
                  <c:v>0.84415899999999056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4A8-4725-87FF-8F33D60A703C}"/>
            </c:ext>
          </c:extLst>
        </c:ser>
        <c:ser>
          <c:idx val="20"/>
          <c:order val="20"/>
          <c:invertIfNegative val="0"/>
          <c:val>
            <c:numRef>
              <c:f>times!$I$493:$M$493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4A8-4725-87FF-8F33D60A703C}"/>
            </c:ext>
          </c:extLst>
        </c:ser>
        <c:ser>
          <c:idx val="21"/>
          <c:order val="21"/>
          <c:invertIfNegative val="0"/>
          <c:val>
            <c:numRef>
              <c:f>times!$I$494:$M$494</c:f>
              <c:numCache>
                <c:formatCode>General</c:formatCode>
                <c:ptCount val="5"/>
                <c:pt idx="0">
                  <c:v>0.26146899999997686</c:v>
                </c:pt>
                <c:pt idx="1">
                  <c:v>1.859279000000015</c:v>
                </c:pt>
                <c:pt idx="2">
                  <c:v>4.3944609999999784</c:v>
                </c:pt>
                <c:pt idx="3">
                  <c:v>0.89997700000003533</c:v>
                </c:pt>
                <c:pt idx="4">
                  <c:v>0.5996900000000096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4A8-4725-87FF-8F33D60A703C}"/>
            </c:ext>
          </c:extLst>
        </c:ser>
        <c:ser>
          <c:idx val="22"/>
          <c:order val="22"/>
          <c:invertIfNegative val="0"/>
          <c:val>
            <c:numRef>
              <c:f>times!$I$495:$M$495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4A8-4725-87FF-8F33D60A703C}"/>
            </c:ext>
          </c:extLst>
        </c:ser>
        <c:ser>
          <c:idx val="23"/>
          <c:order val="23"/>
          <c:invertIfNegative val="0"/>
          <c:val>
            <c:numRef>
              <c:f>times!$I$496:$M$496</c:f>
              <c:numCache>
                <c:formatCode>General</c:formatCode>
                <c:ptCount val="5"/>
                <c:pt idx="0">
                  <c:v>1.4430070000000228</c:v>
                </c:pt>
                <c:pt idx="1">
                  <c:v>1.1138829999999871</c:v>
                </c:pt>
                <c:pt idx="2">
                  <c:v>2.2001840000000357</c:v>
                </c:pt>
                <c:pt idx="3">
                  <c:v>4.9817809999999554</c:v>
                </c:pt>
                <c:pt idx="4">
                  <c:v>1.13732600000003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4A8-4725-87FF-8F33D60A703C}"/>
            </c:ext>
          </c:extLst>
        </c:ser>
        <c:ser>
          <c:idx val="24"/>
          <c:order val="24"/>
          <c:invertIfNegative val="0"/>
          <c:val>
            <c:numRef>
              <c:f>times!$I$497:$M$497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4A8-4725-87FF-8F33D60A703C}"/>
            </c:ext>
          </c:extLst>
        </c:ser>
        <c:ser>
          <c:idx val="25"/>
          <c:order val="25"/>
          <c:invertIfNegative val="0"/>
          <c:val>
            <c:numRef>
              <c:f>times!$I$498:$M$498</c:f>
              <c:numCache>
                <c:formatCode>General</c:formatCode>
                <c:ptCount val="5"/>
                <c:pt idx="0">
                  <c:v>0.39205199999997831</c:v>
                </c:pt>
                <c:pt idx="1">
                  <c:v>4.0459070000000565</c:v>
                </c:pt>
                <c:pt idx="2">
                  <c:v>0.21784200000001874</c:v>
                </c:pt>
                <c:pt idx="3">
                  <c:v>1.7838420000000497</c:v>
                </c:pt>
                <c:pt idx="4">
                  <c:v>0.34661000000005515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4A8-4725-87FF-8F33D60A703C}"/>
            </c:ext>
          </c:extLst>
        </c:ser>
        <c:ser>
          <c:idx val="26"/>
          <c:order val="26"/>
          <c:invertIfNegative val="0"/>
          <c:val>
            <c:numRef>
              <c:f>times!$I$499:$M$499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4A8-4725-87FF-8F33D60A703C}"/>
            </c:ext>
          </c:extLst>
        </c:ser>
        <c:ser>
          <c:idx val="27"/>
          <c:order val="27"/>
          <c:invertIfNegative val="0"/>
          <c:val>
            <c:numRef>
              <c:f>times!$I$500:$M$500</c:f>
              <c:numCache>
                <c:formatCode>General</c:formatCode>
                <c:ptCount val="5"/>
                <c:pt idx="0">
                  <c:v>5.3987989999999968</c:v>
                </c:pt>
                <c:pt idx="1">
                  <c:v>5.6711729999999534</c:v>
                </c:pt>
                <c:pt idx="2">
                  <c:v>1.6003110000000333</c:v>
                </c:pt>
                <c:pt idx="3">
                  <c:v>5.0692980000000034</c:v>
                </c:pt>
                <c:pt idx="4">
                  <c:v>8.2961400000000367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4A8-4725-87FF-8F33D60A703C}"/>
            </c:ext>
          </c:extLst>
        </c:ser>
        <c:ser>
          <c:idx val="28"/>
          <c:order val="28"/>
          <c:invertIfNegative val="0"/>
          <c:val>
            <c:numRef>
              <c:f>times!$I$501:$M$501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4A8-4725-87FF-8F33D60A703C}"/>
            </c:ext>
          </c:extLst>
        </c:ser>
        <c:ser>
          <c:idx val="29"/>
          <c:order val="29"/>
          <c:invertIfNegative val="0"/>
          <c:val>
            <c:numRef>
              <c:f>times!$I$502:$M$502</c:f>
              <c:numCache>
                <c:formatCode>General</c:formatCode>
                <c:ptCount val="5"/>
                <c:pt idx="0">
                  <c:v>1.127081999999973</c:v>
                </c:pt>
                <c:pt idx="1">
                  <c:v>2.966199999999958</c:v>
                </c:pt>
                <c:pt idx="2">
                  <c:v>2.8804069999999911</c:v>
                </c:pt>
                <c:pt idx="3">
                  <c:v>0.24864500000001044</c:v>
                </c:pt>
                <c:pt idx="4">
                  <c:v>0.21212400000001708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4A8-4725-87FF-8F33D60A703C}"/>
            </c:ext>
          </c:extLst>
        </c:ser>
        <c:ser>
          <c:idx val="30"/>
          <c:order val="30"/>
          <c:invertIfNegative val="0"/>
          <c:val>
            <c:numRef>
              <c:f>times!$I$503:$M$503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4A8-4725-87FF-8F33D60A703C}"/>
            </c:ext>
          </c:extLst>
        </c:ser>
        <c:ser>
          <c:idx val="31"/>
          <c:order val="31"/>
          <c:invertIfNegative val="0"/>
          <c:val>
            <c:numRef>
              <c:f>times!$I$504:$M$504</c:f>
              <c:numCache>
                <c:formatCode>General</c:formatCode>
                <c:ptCount val="5"/>
                <c:pt idx="0">
                  <c:v>0.46862099999998463</c:v>
                </c:pt>
                <c:pt idx="1">
                  <c:v>4.4670949999999721</c:v>
                </c:pt>
                <c:pt idx="2">
                  <c:v>3.5571969999999737</c:v>
                </c:pt>
                <c:pt idx="3">
                  <c:v>2.46908499999995</c:v>
                </c:pt>
                <c:pt idx="4">
                  <c:v>0.96650899999997364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4A8-4725-87FF-8F33D60A703C}"/>
            </c:ext>
          </c:extLst>
        </c:ser>
        <c:ser>
          <c:idx val="32"/>
          <c:order val="32"/>
          <c:invertIfNegative val="0"/>
          <c:val>
            <c:numRef>
              <c:f>times!$I$505:$M$505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4A8-4725-87FF-8F33D60A703C}"/>
            </c:ext>
          </c:extLst>
        </c:ser>
        <c:ser>
          <c:idx val="33"/>
          <c:order val="33"/>
          <c:invertIfNegative val="0"/>
          <c:val>
            <c:numRef>
              <c:f>times!$I$506:$M$506</c:f>
              <c:numCache>
                <c:formatCode>General</c:formatCode>
                <c:ptCount val="5"/>
                <c:pt idx="0">
                  <c:v>0.42162000000001854</c:v>
                </c:pt>
                <c:pt idx="1">
                  <c:v>3.953487999999993</c:v>
                </c:pt>
                <c:pt idx="2">
                  <c:v>0.93111899999996695</c:v>
                </c:pt>
                <c:pt idx="3">
                  <c:v>0.58356900000001133</c:v>
                </c:pt>
                <c:pt idx="4">
                  <c:v>0.40612599999997201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4A8-4725-87FF-8F33D60A703C}"/>
            </c:ext>
          </c:extLst>
        </c:ser>
        <c:ser>
          <c:idx val="34"/>
          <c:order val="34"/>
          <c:invertIfNegative val="0"/>
          <c:val>
            <c:numRef>
              <c:f>times!$I$507:$M$507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4A8-4725-87FF-8F33D60A703C}"/>
            </c:ext>
          </c:extLst>
        </c:ser>
        <c:ser>
          <c:idx val="35"/>
          <c:order val="35"/>
          <c:invertIfNegative val="0"/>
          <c:val>
            <c:numRef>
              <c:f>times!$I$508:$M$508</c:f>
              <c:numCache>
                <c:formatCode>General</c:formatCode>
                <c:ptCount val="5"/>
                <c:pt idx="0">
                  <c:v>0.43826100000001134</c:v>
                </c:pt>
                <c:pt idx="1">
                  <c:v>3.4966220000000021</c:v>
                </c:pt>
                <c:pt idx="2">
                  <c:v>0.28429900000003272</c:v>
                </c:pt>
                <c:pt idx="3">
                  <c:v>2.0609799999999723</c:v>
                </c:pt>
                <c:pt idx="4">
                  <c:v>1.1840349999999944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4A8-4725-87FF-8F33D60A703C}"/>
            </c:ext>
          </c:extLst>
        </c:ser>
        <c:ser>
          <c:idx val="36"/>
          <c:order val="36"/>
          <c:invertIfNegative val="0"/>
          <c:val>
            <c:numRef>
              <c:f>times!$I$509:$M$509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0.29971999999986565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4A8-4725-87FF-8F33D60A703C}"/>
            </c:ext>
          </c:extLst>
        </c:ser>
        <c:ser>
          <c:idx val="37"/>
          <c:order val="37"/>
          <c:invertIfNegative val="0"/>
          <c:val>
            <c:numRef>
              <c:f>times!$I$510:$M$510</c:f>
              <c:numCache>
                <c:formatCode>General</c:formatCode>
                <c:ptCount val="5"/>
                <c:pt idx="0">
                  <c:v>1.4810840000000098</c:v>
                </c:pt>
                <c:pt idx="1">
                  <c:v>1.0929740000000265</c:v>
                </c:pt>
                <c:pt idx="2">
                  <c:v>3.5195730000000367</c:v>
                </c:pt>
                <c:pt idx="3">
                  <c:v>0.81912799999997787</c:v>
                </c:pt>
                <c:pt idx="4">
                  <c:v>3.1915549999999939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4A8-4725-87FF-8F33D60A703C}"/>
            </c:ext>
          </c:extLst>
        </c:ser>
        <c:ser>
          <c:idx val="38"/>
          <c:order val="38"/>
          <c:invertIfNegative val="0"/>
          <c:val>
            <c:numRef>
              <c:f>times!$I$511:$M$511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4A8-4725-87FF-8F33D60A703C}"/>
            </c:ext>
          </c:extLst>
        </c:ser>
        <c:ser>
          <c:idx val="39"/>
          <c:order val="39"/>
          <c:invertIfNegative val="0"/>
          <c:val>
            <c:numRef>
              <c:f>times!$I$512:$M$512</c:f>
              <c:numCache>
                <c:formatCode>General</c:formatCode>
                <c:ptCount val="5"/>
                <c:pt idx="0">
                  <c:v>0.57933800000000701</c:v>
                </c:pt>
                <c:pt idx="1">
                  <c:v>2.9361669999999549</c:v>
                </c:pt>
                <c:pt idx="2">
                  <c:v>2.2450410000000147</c:v>
                </c:pt>
                <c:pt idx="3">
                  <c:v>0.90791500000000269</c:v>
                </c:pt>
                <c:pt idx="4">
                  <c:v>1.3654970000000048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4A8-4725-87FF-8F33D60A703C}"/>
            </c:ext>
          </c:extLst>
        </c:ser>
        <c:ser>
          <c:idx val="40"/>
          <c:order val="40"/>
          <c:invertIfNegative val="0"/>
          <c:val>
            <c:numRef>
              <c:f>times!$I$513:$M$513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4A8-4725-87FF-8F33D60A703C}"/>
            </c:ext>
          </c:extLst>
        </c:ser>
        <c:ser>
          <c:idx val="41"/>
          <c:order val="41"/>
          <c:invertIfNegative val="0"/>
          <c:val>
            <c:numRef>
              <c:f>times!$I$514:$M$514</c:f>
              <c:numCache>
                <c:formatCode>General</c:formatCode>
                <c:ptCount val="5"/>
                <c:pt idx="0">
                  <c:v>1.0242289999999912</c:v>
                </c:pt>
                <c:pt idx="1">
                  <c:v>1.8844779999999446</c:v>
                </c:pt>
                <c:pt idx="2">
                  <c:v>1.2683439999999564</c:v>
                </c:pt>
                <c:pt idx="3">
                  <c:v>1.1415150000000267</c:v>
                </c:pt>
                <c:pt idx="4">
                  <c:v>0.96212200000002213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B4A8-4725-87FF-8F33D60A703C}"/>
            </c:ext>
          </c:extLst>
        </c:ser>
        <c:ser>
          <c:idx val="42"/>
          <c:order val="42"/>
          <c:invertIfNegative val="0"/>
          <c:val>
            <c:numRef>
              <c:f>times!$I$515:$M$515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4A8-4725-87FF-8F33D60A703C}"/>
            </c:ext>
          </c:extLst>
        </c:ser>
        <c:ser>
          <c:idx val="43"/>
          <c:order val="43"/>
          <c:invertIfNegative val="0"/>
          <c:val>
            <c:numRef>
              <c:f>times!$I$516:$M$516</c:f>
              <c:numCache>
                <c:formatCode>General</c:formatCode>
                <c:ptCount val="5"/>
                <c:pt idx="0">
                  <c:v>0.79237899999998263</c:v>
                </c:pt>
                <c:pt idx="1">
                  <c:v>1.0694220000000314</c:v>
                </c:pt>
                <c:pt idx="2">
                  <c:v>1.8656469999999672</c:v>
                </c:pt>
                <c:pt idx="3">
                  <c:v>0.55103599999995367</c:v>
                </c:pt>
                <c:pt idx="4">
                  <c:v>8.5661770000000388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B4A8-4725-87FF-8F33D60A703C}"/>
            </c:ext>
          </c:extLst>
        </c:ser>
        <c:ser>
          <c:idx val="44"/>
          <c:order val="44"/>
          <c:invertIfNegative val="0"/>
          <c:val>
            <c:numRef>
              <c:f>times!$I$517:$M$517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4A8-4725-87FF-8F33D60A703C}"/>
            </c:ext>
          </c:extLst>
        </c:ser>
        <c:ser>
          <c:idx val="45"/>
          <c:order val="45"/>
          <c:invertIfNegative val="0"/>
          <c:val>
            <c:numRef>
              <c:f>times!$I$518:$M$518</c:f>
              <c:numCache>
                <c:formatCode>General</c:formatCode>
                <c:ptCount val="5"/>
                <c:pt idx="0">
                  <c:v>3.115587000000005</c:v>
                </c:pt>
                <c:pt idx="1">
                  <c:v>2.3770170000000235</c:v>
                </c:pt>
                <c:pt idx="2">
                  <c:v>0.41967999999997119</c:v>
                </c:pt>
                <c:pt idx="3">
                  <c:v>0.22732799999994313</c:v>
                </c:pt>
                <c:pt idx="4">
                  <c:v>0.7075720000000274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4A8-4725-87FF-8F33D60A703C}"/>
            </c:ext>
          </c:extLst>
        </c:ser>
        <c:ser>
          <c:idx val="46"/>
          <c:order val="46"/>
          <c:invertIfNegative val="0"/>
          <c:val>
            <c:numRef>
              <c:f>times!$I$519:$M$519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4A8-4725-87FF-8F33D60A703C}"/>
            </c:ext>
          </c:extLst>
        </c:ser>
        <c:ser>
          <c:idx val="47"/>
          <c:order val="47"/>
          <c:invertIfNegative val="0"/>
          <c:val>
            <c:numRef>
              <c:f>times!$I$520:$M$520</c:f>
              <c:numCache>
                <c:formatCode>General</c:formatCode>
                <c:ptCount val="5"/>
                <c:pt idx="0">
                  <c:v>0.82059299999997393</c:v>
                </c:pt>
                <c:pt idx="1">
                  <c:v>0.4497639999999592</c:v>
                </c:pt>
                <c:pt idx="2">
                  <c:v>2.6984149999999545</c:v>
                </c:pt>
                <c:pt idx="3">
                  <c:v>0.30768699999998717</c:v>
                </c:pt>
                <c:pt idx="4">
                  <c:v>1.6039759999999887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4A8-4725-87FF-8F33D60A703C}"/>
            </c:ext>
          </c:extLst>
        </c:ser>
        <c:ser>
          <c:idx val="48"/>
          <c:order val="48"/>
          <c:invertIfNegative val="0"/>
          <c:val>
            <c:numRef>
              <c:f>times!$I$521:$M$521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6.9701109999999744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4A8-4725-87FF-8F33D60A703C}"/>
            </c:ext>
          </c:extLst>
        </c:ser>
        <c:ser>
          <c:idx val="49"/>
          <c:order val="49"/>
          <c:invertIfNegative val="0"/>
          <c:val>
            <c:numRef>
              <c:f>times!$I$522:$M$522</c:f>
              <c:numCache>
                <c:formatCode>General</c:formatCode>
                <c:ptCount val="5"/>
                <c:pt idx="0">
                  <c:v>0.79883799999998928</c:v>
                </c:pt>
                <c:pt idx="1">
                  <c:v>10.269962999999962</c:v>
                </c:pt>
                <c:pt idx="2">
                  <c:v>2.6110559999999623</c:v>
                </c:pt>
                <c:pt idx="3">
                  <c:v>0.78767800000002808</c:v>
                </c:pt>
                <c:pt idx="4">
                  <c:v>0.13191700000004403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4A8-4725-87FF-8F33D60A703C}"/>
            </c:ext>
          </c:extLst>
        </c:ser>
        <c:ser>
          <c:idx val="50"/>
          <c:order val="50"/>
          <c:invertIfNegative val="0"/>
          <c:val>
            <c:numRef>
              <c:f>times!$I$523:$M$523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4A8-4725-87FF-8F33D60A703C}"/>
            </c:ext>
          </c:extLst>
        </c:ser>
        <c:ser>
          <c:idx val="51"/>
          <c:order val="51"/>
          <c:invertIfNegative val="0"/>
          <c:val>
            <c:numRef>
              <c:f>times!$I$524:$M$524</c:f>
              <c:numCache>
                <c:formatCode>General</c:formatCode>
                <c:ptCount val="5"/>
                <c:pt idx="0">
                  <c:v>0.70722299999999905</c:v>
                </c:pt>
                <c:pt idx="1">
                  <c:v>0.25689399999998841</c:v>
                </c:pt>
                <c:pt idx="2">
                  <c:v>0.70558600000003935</c:v>
                </c:pt>
                <c:pt idx="3">
                  <c:v>0.41050499999994372</c:v>
                </c:pt>
                <c:pt idx="4">
                  <c:v>1.3308449999999539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4A8-4725-87FF-8F33D60A703C}"/>
            </c:ext>
          </c:extLst>
        </c:ser>
        <c:ser>
          <c:idx val="52"/>
          <c:order val="52"/>
          <c:invertIfNegative val="0"/>
          <c:val>
            <c:numRef>
              <c:f>times!$I$525:$M$525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4A8-4725-87FF-8F33D60A703C}"/>
            </c:ext>
          </c:extLst>
        </c:ser>
        <c:ser>
          <c:idx val="53"/>
          <c:order val="53"/>
          <c:invertIfNegative val="0"/>
          <c:val>
            <c:numRef>
              <c:f>times!$I$526:$M$526</c:f>
              <c:numCache>
                <c:formatCode>General</c:formatCode>
                <c:ptCount val="5"/>
                <c:pt idx="0">
                  <c:v>0.68950300000000198</c:v>
                </c:pt>
                <c:pt idx="1">
                  <c:v>0.6429960000000392</c:v>
                </c:pt>
                <c:pt idx="2">
                  <c:v>5.5306440000000521</c:v>
                </c:pt>
                <c:pt idx="3">
                  <c:v>0.47989900000004582</c:v>
                </c:pt>
                <c:pt idx="4">
                  <c:v>1.472802999999999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4A8-4725-87FF-8F33D60A703C}"/>
            </c:ext>
          </c:extLst>
        </c:ser>
        <c:ser>
          <c:idx val="54"/>
          <c:order val="54"/>
          <c:invertIfNegative val="0"/>
          <c:val>
            <c:numRef>
              <c:f>times!$I$527:$M$527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4A8-4725-87FF-8F33D60A703C}"/>
            </c:ext>
          </c:extLst>
        </c:ser>
        <c:ser>
          <c:idx val="55"/>
          <c:order val="55"/>
          <c:invertIfNegative val="0"/>
          <c:val>
            <c:numRef>
              <c:f>times!$I$528:$M$528</c:f>
              <c:numCache>
                <c:formatCode>General</c:formatCode>
                <c:ptCount val="5"/>
                <c:pt idx="0">
                  <c:v>1.2931009999999787</c:v>
                </c:pt>
                <c:pt idx="1">
                  <c:v>2.6526639999999588</c:v>
                </c:pt>
                <c:pt idx="2">
                  <c:v>2.9088440000000446</c:v>
                </c:pt>
                <c:pt idx="3">
                  <c:v>0.81246599999997215</c:v>
                </c:pt>
                <c:pt idx="4">
                  <c:v>2.1782389999999623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4A8-4725-87FF-8F33D60A703C}"/>
            </c:ext>
          </c:extLst>
        </c:ser>
        <c:ser>
          <c:idx val="56"/>
          <c:order val="56"/>
          <c:invertIfNegative val="0"/>
          <c:val>
            <c:numRef>
              <c:f>times!$I$529:$M$529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4A8-4725-87FF-8F33D60A703C}"/>
            </c:ext>
          </c:extLst>
        </c:ser>
        <c:ser>
          <c:idx val="57"/>
          <c:order val="57"/>
          <c:invertIfNegative val="0"/>
          <c:val>
            <c:numRef>
              <c:f>times!$I$530:$M$530</c:f>
              <c:numCache>
                <c:formatCode>General</c:formatCode>
                <c:ptCount val="5"/>
                <c:pt idx="0">
                  <c:v>1.2872179999999958</c:v>
                </c:pt>
                <c:pt idx="1">
                  <c:v>0.61411299999997482</c:v>
                </c:pt>
                <c:pt idx="2">
                  <c:v>0.83669299999996838</c:v>
                </c:pt>
                <c:pt idx="3">
                  <c:v>0.23370999999997366</c:v>
                </c:pt>
                <c:pt idx="4">
                  <c:v>0.82763499999998658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4A8-4725-87FF-8F33D60A703C}"/>
            </c:ext>
          </c:extLst>
        </c:ser>
        <c:ser>
          <c:idx val="58"/>
          <c:order val="58"/>
          <c:invertIfNegative val="0"/>
          <c:val>
            <c:numRef>
              <c:f>times!$I$531:$M$531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B4A8-4725-87FF-8F33D60A703C}"/>
            </c:ext>
          </c:extLst>
        </c:ser>
        <c:ser>
          <c:idx val="59"/>
          <c:order val="59"/>
          <c:invertIfNegative val="0"/>
          <c:val>
            <c:numRef>
              <c:f>times!$I$532:$M$532</c:f>
              <c:numCache>
                <c:formatCode>General</c:formatCode>
                <c:ptCount val="5"/>
                <c:pt idx="0">
                  <c:v>0.18042700000000877</c:v>
                </c:pt>
                <c:pt idx="1">
                  <c:v>8.0328309999999874</c:v>
                </c:pt>
                <c:pt idx="2">
                  <c:v>0.44079799999997249</c:v>
                </c:pt>
                <c:pt idx="3">
                  <c:v>0.12635099999999966</c:v>
                </c:pt>
                <c:pt idx="4">
                  <c:v>0.39298799999994571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B4A8-4725-87FF-8F33D60A703C}"/>
            </c:ext>
          </c:extLst>
        </c:ser>
        <c:ser>
          <c:idx val="60"/>
          <c:order val="60"/>
          <c:invertIfNegative val="0"/>
          <c:val>
            <c:numRef>
              <c:f>times!$I$533:$M$533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1.26141999999993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B4A8-4725-87FF-8F33D60A703C}"/>
            </c:ext>
          </c:extLst>
        </c:ser>
        <c:ser>
          <c:idx val="61"/>
          <c:order val="61"/>
          <c:invertIfNegative val="0"/>
          <c:val>
            <c:numRef>
              <c:f>times!$I$534:$M$534</c:f>
              <c:numCache>
                <c:formatCode>General</c:formatCode>
                <c:ptCount val="5"/>
                <c:pt idx="0">
                  <c:v>0.15785099999999375</c:v>
                </c:pt>
                <c:pt idx="1">
                  <c:v>2.0955430000000206</c:v>
                </c:pt>
                <c:pt idx="2">
                  <c:v>0.90744900000004236</c:v>
                </c:pt>
                <c:pt idx="3">
                  <c:v>0.27449000000001433</c:v>
                </c:pt>
                <c:pt idx="4">
                  <c:v>3.5250029999999697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B4A8-4725-87FF-8F33D60A703C}"/>
            </c:ext>
          </c:extLst>
        </c:ser>
        <c:ser>
          <c:idx val="62"/>
          <c:order val="62"/>
          <c:invertIfNegative val="0"/>
          <c:val>
            <c:numRef>
              <c:f>times!$I$535:$M$535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1.4273449999999457</c:v>
                </c:pt>
                <c:pt idx="3">
                  <c:v>0.638213000000178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4A8-4725-87FF-8F33D60A703C}"/>
            </c:ext>
          </c:extLst>
        </c:ser>
        <c:ser>
          <c:idx val="63"/>
          <c:order val="63"/>
          <c:invertIfNegative val="0"/>
          <c:val>
            <c:numRef>
              <c:f>times!$I$536:$M$536</c:f>
              <c:numCache>
                <c:formatCode>General</c:formatCode>
                <c:ptCount val="5"/>
                <c:pt idx="0">
                  <c:v>2.1293860000000109</c:v>
                </c:pt>
                <c:pt idx="1">
                  <c:v>2.334793999999988</c:v>
                </c:pt>
                <c:pt idx="2">
                  <c:v>1.6360310000000027</c:v>
                </c:pt>
                <c:pt idx="3">
                  <c:v>0.21994800000004489</c:v>
                </c:pt>
                <c:pt idx="4">
                  <c:v>0.18989499999997861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B4A8-4725-87FF-8F33D60A703C}"/>
            </c:ext>
          </c:extLst>
        </c:ser>
        <c:ser>
          <c:idx val="64"/>
          <c:order val="64"/>
          <c:invertIfNegative val="0"/>
          <c:val>
            <c:numRef>
              <c:f>times!$I$537:$M$537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1.0073280000000295</c:v>
                </c:pt>
                <c:pt idx="3">
                  <c:v>9.3366849999999886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B4A8-4725-87FF-8F33D60A703C}"/>
            </c:ext>
          </c:extLst>
        </c:ser>
        <c:ser>
          <c:idx val="65"/>
          <c:order val="65"/>
          <c:invertIfNegative val="0"/>
          <c:val>
            <c:numRef>
              <c:f>times!$I$538:$M$538</c:f>
              <c:numCache>
                <c:formatCode>General</c:formatCode>
                <c:ptCount val="5"/>
                <c:pt idx="0">
                  <c:v>3.554046000000028</c:v>
                </c:pt>
                <c:pt idx="1">
                  <c:v>2.6433590000000322</c:v>
                </c:pt>
                <c:pt idx="2">
                  <c:v>8.5493050000000039</c:v>
                </c:pt>
                <c:pt idx="3">
                  <c:v>2.4893650000000207</c:v>
                </c:pt>
                <c:pt idx="4">
                  <c:v>2.8434790000000021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B4A8-4725-87FF-8F33D60A703C}"/>
            </c:ext>
          </c:extLst>
        </c:ser>
        <c:ser>
          <c:idx val="66"/>
          <c:order val="66"/>
          <c:invertIfNegative val="0"/>
          <c:val>
            <c:numRef>
              <c:f>times!$I$539:$M$539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B4A8-4725-87FF-8F33D60A703C}"/>
            </c:ext>
          </c:extLst>
        </c:ser>
        <c:ser>
          <c:idx val="67"/>
          <c:order val="67"/>
          <c:invertIfNegative val="0"/>
          <c:val>
            <c:numRef>
              <c:f>times!$I$540:$M$540</c:f>
              <c:numCache>
                <c:formatCode>General</c:formatCode>
                <c:ptCount val="5"/>
                <c:pt idx="0">
                  <c:v>0.52622400000001335</c:v>
                </c:pt>
                <c:pt idx="1">
                  <c:v>2.0441060000000562</c:v>
                </c:pt>
                <c:pt idx="2">
                  <c:v>0.33493899999996302</c:v>
                </c:pt>
                <c:pt idx="3">
                  <c:v>0.11563100000000759</c:v>
                </c:pt>
                <c:pt idx="4">
                  <c:v>0.44923600000004171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B4A8-4725-87FF-8F33D60A703C}"/>
            </c:ext>
          </c:extLst>
        </c:ser>
        <c:ser>
          <c:idx val="68"/>
          <c:order val="68"/>
          <c:invertIfNegative val="0"/>
          <c:val>
            <c:numRef>
              <c:f>times!$I$541:$M$541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B4A8-4725-87FF-8F33D60A703C}"/>
            </c:ext>
          </c:extLst>
        </c:ser>
        <c:ser>
          <c:idx val="69"/>
          <c:order val="69"/>
          <c:invertIfNegative val="0"/>
          <c:val>
            <c:numRef>
              <c:f>times!$I$542:$M$542</c:f>
              <c:numCache>
                <c:formatCode>General</c:formatCode>
                <c:ptCount val="5"/>
                <c:pt idx="0">
                  <c:v>1.3049379999999928</c:v>
                </c:pt>
                <c:pt idx="1">
                  <c:v>0.8607520000000477</c:v>
                </c:pt>
                <c:pt idx="2">
                  <c:v>0.19755999999995311</c:v>
                </c:pt>
                <c:pt idx="3">
                  <c:v>0.22000700000000961</c:v>
                </c:pt>
                <c:pt idx="4">
                  <c:v>2.608086999999955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B4A8-4725-87FF-8F33D60A703C}"/>
            </c:ext>
          </c:extLst>
        </c:ser>
        <c:ser>
          <c:idx val="70"/>
          <c:order val="70"/>
          <c:invertIfNegative val="0"/>
          <c:val>
            <c:numRef>
              <c:f>times!$I$543:$M$543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B4A8-4725-87FF-8F33D60A703C}"/>
            </c:ext>
          </c:extLst>
        </c:ser>
        <c:ser>
          <c:idx val="71"/>
          <c:order val="71"/>
          <c:invertIfNegative val="0"/>
          <c:val>
            <c:numRef>
              <c:f>times!$I$544:$M$544</c:f>
              <c:numCache>
                <c:formatCode>General</c:formatCode>
                <c:ptCount val="5"/>
                <c:pt idx="0">
                  <c:v>4.4142000000022108E-2</c:v>
                </c:pt>
                <c:pt idx="1">
                  <c:v>0.43602099999998245</c:v>
                </c:pt>
                <c:pt idx="2">
                  <c:v>2.0265699999999924</c:v>
                </c:pt>
                <c:pt idx="3">
                  <c:v>5.690969999999993</c:v>
                </c:pt>
                <c:pt idx="4">
                  <c:v>2.4492510000000038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B4A8-4725-87FF-8F33D60A703C}"/>
            </c:ext>
          </c:extLst>
        </c:ser>
        <c:ser>
          <c:idx val="72"/>
          <c:order val="72"/>
          <c:invertIfNegative val="0"/>
          <c:val>
            <c:numRef>
              <c:f>times!$I$545:$M$545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1.5464620000001332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B4A8-4725-87FF-8F33D60A703C}"/>
            </c:ext>
          </c:extLst>
        </c:ser>
        <c:ser>
          <c:idx val="73"/>
          <c:order val="73"/>
          <c:invertIfNegative val="0"/>
          <c:val>
            <c:numRef>
              <c:f>times!$I$546:$M$546</c:f>
              <c:numCache>
                <c:formatCode>General</c:formatCode>
                <c:ptCount val="5"/>
                <c:pt idx="0">
                  <c:v>1.3463949999999727</c:v>
                </c:pt>
                <c:pt idx="1">
                  <c:v>9.3139569999999594</c:v>
                </c:pt>
                <c:pt idx="2">
                  <c:v>3.1306190000000242</c:v>
                </c:pt>
                <c:pt idx="3">
                  <c:v>0.48985800000002655</c:v>
                </c:pt>
                <c:pt idx="4">
                  <c:v>0.37780699999996159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B4A8-4725-87FF-8F33D60A703C}"/>
            </c:ext>
          </c:extLst>
        </c:ser>
        <c:ser>
          <c:idx val="74"/>
          <c:order val="74"/>
          <c:invertIfNegative val="0"/>
          <c:val>
            <c:numRef>
              <c:f>times!$I$547:$M$547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11.36705500000005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B4A8-4725-87FF-8F33D60A703C}"/>
            </c:ext>
          </c:extLst>
        </c:ser>
        <c:ser>
          <c:idx val="75"/>
          <c:order val="75"/>
          <c:invertIfNegative val="0"/>
          <c:val>
            <c:numRef>
              <c:f>times!$I$548:$M$548</c:f>
              <c:numCache>
                <c:formatCode>General</c:formatCode>
                <c:ptCount val="5"/>
                <c:pt idx="0">
                  <c:v>0.46250300000002653</c:v>
                </c:pt>
                <c:pt idx="1">
                  <c:v>1.0634240000000545</c:v>
                </c:pt>
                <c:pt idx="2">
                  <c:v>13.136736000000042</c:v>
                </c:pt>
                <c:pt idx="3">
                  <c:v>2.9146429999999555</c:v>
                </c:pt>
                <c:pt idx="4">
                  <c:v>2.5394880000000057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B4A8-4725-87FF-8F33D60A703C}"/>
            </c:ext>
          </c:extLst>
        </c:ser>
        <c:ser>
          <c:idx val="76"/>
          <c:order val="76"/>
          <c:invertIfNegative val="0"/>
          <c:val>
            <c:numRef>
              <c:f>times!$I$549:$M$549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0.74195000000008804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B4A8-4725-87FF-8F33D60A703C}"/>
            </c:ext>
          </c:extLst>
        </c:ser>
        <c:ser>
          <c:idx val="77"/>
          <c:order val="77"/>
          <c:invertIfNegative val="0"/>
          <c:val>
            <c:numRef>
              <c:f>times!$I$550:$M$550</c:f>
              <c:numCache>
                <c:formatCode>General</c:formatCode>
                <c:ptCount val="5"/>
                <c:pt idx="0">
                  <c:v>1.5501140000000078</c:v>
                </c:pt>
                <c:pt idx="1">
                  <c:v>0.67610400000000936</c:v>
                </c:pt>
                <c:pt idx="2">
                  <c:v>3.6565930000000435</c:v>
                </c:pt>
                <c:pt idx="3">
                  <c:v>1.0296829999999773</c:v>
                </c:pt>
                <c:pt idx="4">
                  <c:v>1.5189560000000029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B4A8-4725-87FF-8F33D60A703C}"/>
            </c:ext>
          </c:extLst>
        </c:ser>
        <c:ser>
          <c:idx val="78"/>
          <c:order val="78"/>
          <c:invertIfNegative val="0"/>
          <c:val>
            <c:numRef>
              <c:f>times!$I$551:$M$551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0.28589499999998225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B4A8-4725-87FF-8F33D60A703C}"/>
            </c:ext>
          </c:extLst>
        </c:ser>
        <c:ser>
          <c:idx val="79"/>
          <c:order val="79"/>
          <c:invertIfNegative val="0"/>
          <c:val>
            <c:numRef>
              <c:f>times!$I$552:$M$552</c:f>
              <c:numCache>
                <c:formatCode>General</c:formatCode>
                <c:ptCount val="5"/>
                <c:pt idx="0">
                  <c:v>2.3658669999999802</c:v>
                </c:pt>
                <c:pt idx="1">
                  <c:v>0.31108200000005581</c:v>
                </c:pt>
                <c:pt idx="2">
                  <c:v>1.3155779999999595</c:v>
                </c:pt>
                <c:pt idx="3">
                  <c:v>1.2210340000000315</c:v>
                </c:pt>
                <c:pt idx="4">
                  <c:v>8.2738999999946827E-2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4A8-4725-87FF-8F33D60A703C}"/>
            </c:ext>
          </c:extLst>
        </c:ser>
        <c:ser>
          <c:idx val="80"/>
          <c:order val="80"/>
          <c:invertIfNegative val="0"/>
          <c:val>
            <c:numRef>
              <c:f>times!$I$553:$M$553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16.651908999999932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B4A8-4725-87FF-8F33D60A703C}"/>
            </c:ext>
          </c:extLst>
        </c:ser>
        <c:ser>
          <c:idx val="81"/>
          <c:order val="81"/>
          <c:invertIfNegative val="0"/>
          <c:val>
            <c:numRef>
              <c:f>times!$I$554:$M$554</c:f>
              <c:numCache>
                <c:formatCode>General</c:formatCode>
                <c:ptCount val="5"/>
                <c:pt idx="0">
                  <c:v>5.2989239999999995</c:v>
                </c:pt>
                <c:pt idx="1">
                  <c:v>0.72358399999995981</c:v>
                </c:pt>
                <c:pt idx="2">
                  <c:v>17.872942999999964</c:v>
                </c:pt>
                <c:pt idx="3">
                  <c:v>2.5832349999999451</c:v>
                </c:pt>
                <c:pt idx="4">
                  <c:v>0.60694100000000617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B4A8-4725-87FF-8F33D60A703C}"/>
            </c:ext>
          </c:extLst>
        </c:ser>
        <c:ser>
          <c:idx val="82"/>
          <c:order val="82"/>
          <c:invertIfNegative val="0"/>
          <c:val>
            <c:numRef>
              <c:f>times!$I$555:$M$555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B4A8-4725-87FF-8F33D60A703C}"/>
            </c:ext>
          </c:extLst>
        </c:ser>
        <c:ser>
          <c:idx val="83"/>
          <c:order val="83"/>
          <c:invertIfNegative val="0"/>
          <c:val>
            <c:numRef>
              <c:f>times!$I$556:$M$556</c:f>
              <c:numCache>
                <c:formatCode>General</c:formatCode>
                <c:ptCount val="5"/>
                <c:pt idx="0">
                  <c:v>1.8836749999999824</c:v>
                </c:pt>
                <c:pt idx="1">
                  <c:v>0.42781600000000708</c:v>
                </c:pt>
                <c:pt idx="2">
                  <c:v>0.11359300000003714</c:v>
                </c:pt>
                <c:pt idx="3">
                  <c:v>5.2560320000000047</c:v>
                </c:pt>
                <c:pt idx="4">
                  <c:v>1.1275550000000294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B4A8-4725-87FF-8F33D60A703C}"/>
            </c:ext>
          </c:extLst>
        </c:ser>
        <c:ser>
          <c:idx val="84"/>
          <c:order val="84"/>
          <c:invertIfNegative val="0"/>
          <c:val>
            <c:numRef>
              <c:f>times!$I$557:$M$557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5.0075620000001209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B4A8-4725-87FF-8F33D60A703C}"/>
            </c:ext>
          </c:extLst>
        </c:ser>
        <c:ser>
          <c:idx val="85"/>
          <c:order val="85"/>
          <c:invertIfNegative val="0"/>
          <c:val>
            <c:numRef>
              <c:f>times!$I$558:$M$558</c:f>
              <c:numCache>
                <c:formatCode>General</c:formatCode>
                <c:ptCount val="5"/>
                <c:pt idx="0">
                  <c:v>0.21890400000000909</c:v>
                </c:pt>
                <c:pt idx="1">
                  <c:v>0.58427200000005541</c:v>
                </c:pt>
                <c:pt idx="2">
                  <c:v>12.733236000000034</c:v>
                </c:pt>
                <c:pt idx="3">
                  <c:v>0.61629900000002635</c:v>
                </c:pt>
                <c:pt idx="4">
                  <c:v>7.1653059999999869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B4A8-4725-87FF-8F33D60A703C}"/>
            </c:ext>
          </c:extLst>
        </c:ser>
        <c:ser>
          <c:idx val="86"/>
          <c:order val="86"/>
          <c:invertIfNegative val="0"/>
          <c:val>
            <c:numRef>
              <c:f>times!$I$559:$M$559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2.3807419999999411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B4A8-4725-87FF-8F33D60A703C}"/>
            </c:ext>
          </c:extLst>
        </c:ser>
        <c:ser>
          <c:idx val="87"/>
          <c:order val="87"/>
          <c:invertIfNegative val="0"/>
          <c:val>
            <c:numRef>
              <c:f>times!$I$560:$M$560</c:f>
              <c:numCache>
                <c:formatCode>General</c:formatCode>
                <c:ptCount val="5"/>
                <c:pt idx="0">
                  <c:v>0.22322100000002365</c:v>
                </c:pt>
                <c:pt idx="1">
                  <c:v>7.2632680000000391</c:v>
                </c:pt>
                <c:pt idx="2">
                  <c:v>2.9970409999999674</c:v>
                </c:pt>
                <c:pt idx="3">
                  <c:v>0.34748700000000099</c:v>
                </c:pt>
                <c:pt idx="4">
                  <c:v>0.34462099999996099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B4A8-4725-87FF-8F33D60A703C}"/>
            </c:ext>
          </c:extLst>
        </c:ser>
        <c:ser>
          <c:idx val="88"/>
          <c:order val="88"/>
          <c:invertIfNegative val="0"/>
          <c:val>
            <c:numRef>
              <c:f>times!$I$561:$M$561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27.584799000000089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B4A8-4725-87FF-8F33D60A703C}"/>
            </c:ext>
          </c:extLst>
        </c:ser>
        <c:ser>
          <c:idx val="89"/>
          <c:order val="89"/>
          <c:invertIfNegative val="0"/>
          <c:val>
            <c:numRef>
              <c:f>times!$I$562:$M$562</c:f>
              <c:numCache>
                <c:formatCode>General</c:formatCode>
                <c:ptCount val="5"/>
                <c:pt idx="0">
                  <c:v>0.35810700000001816</c:v>
                </c:pt>
                <c:pt idx="1">
                  <c:v>0.3507520000000568</c:v>
                </c:pt>
                <c:pt idx="2">
                  <c:v>0.22647700000004534</c:v>
                </c:pt>
                <c:pt idx="3">
                  <c:v>43.177741999999967</c:v>
                </c:pt>
                <c:pt idx="4">
                  <c:v>0.97794899999996687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B4A8-4725-87FF-8F33D60A703C}"/>
            </c:ext>
          </c:extLst>
        </c:ser>
        <c:ser>
          <c:idx val="90"/>
          <c:order val="90"/>
          <c:invertIfNegative val="0"/>
          <c:val>
            <c:numRef>
              <c:f>times!$I$563:$M$563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0.14127400000006674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B4A8-4725-87FF-8F33D60A703C}"/>
            </c:ext>
          </c:extLst>
        </c:ser>
        <c:ser>
          <c:idx val="91"/>
          <c:order val="91"/>
          <c:invertIfNegative val="0"/>
          <c:val>
            <c:numRef>
              <c:f>times!$I$564:$M$564</c:f>
              <c:numCache>
                <c:formatCode>General</c:formatCode>
                <c:ptCount val="5"/>
                <c:pt idx="0">
                  <c:v>0.67315999999999576</c:v>
                </c:pt>
                <c:pt idx="1">
                  <c:v>0.66355399999997644</c:v>
                </c:pt>
                <c:pt idx="2">
                  <c:v>0.28177500000003874</c:v>
                </c:pt>
                <c:pt idx="3">
                  <c:v>1.1192230000000336</c:v>
                </c:pt>
                <c:pt idx="4">
                  <c:v>0.47348499999998239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B4A8-4725-87FF-8F33D60A703C}"/>
            </c:ext>
          </c:extLst>
        </c:ser>
        <c:ser>
          <c:idx val="92"/>
          <c:order val="92"/>
          <c:invertIfNegative val="0"/>
          <c:val>
            <c:numRef>
              <c:f>times!$I$565:$M$565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B4A8-4725-87FF-8F33D60A703C}"/>
            </c:ext>
          </c:extLst>
        </c:ser>
        <c:ser>
          <c:idx val="93"/>
          <c:order val="93"/>
          <c:invertIfNegative val="0"/>
          <c:val>
            <c:numRef>
              <c:f>times!$I$566:$M$566</c:f>
              <c:numCache>
                <c:formatCode>General</c:formatCode>
                <c:ptCount val="5"/>
                <c:pt idx="0">
                  <c:v>0.56773099999998067</c:v>
                </c:pt>
                <c:pt idx="1">
                  <c:v>1.1195259999999507</c:v>
                </c:pt>
                <c:pt idx="2">
                  <c:v>0.97989099999995233</c:v>
                </c:pt>
                <c:pt idx="3">
                  <c:v>0.24419799999998304</c:v>
                </c:pt>
                <c:pt idx="4">
                  <c:v>0.92651699999998982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B4A8-4725-87FF-8F33D60A703C}"/>
            </c:ext>
          </c:extLst>
        </c:ser>
        <c:ser>
          <c:idx val="94"/>
          <c:order val="94"/>
          <c:invertIfNegative val="0"/>
          <c:val>
            <c:numRef>
              <c:f>times!$I$567:$M$567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B4A8-4725-87FF-8F33D60A703C}"/>
            </c:ext>
          </c:extLst>
        </c:ser>
        <c:ser>
          <c:idx val="95"/>
          <c:order val="95"/>
          <c:invertIfNegative val="0"/>
          <c:val>
            <c:numRef>
              <c:f>times!$I$568:$M$568</c:f>
              <c:numCache>
                <c:formatCode>General</c:formatCode>
                <c:ptCount val="5"/>
                <c:pt idx="0">
                  <c:v>0.20940799999999626</c:v>
                </c:pt>
                <c:pt idx="1">
                  <c:v>1.8236610000000155</c:v>
                </c:pt>
                <c:pt idx="2">
                  <c:v>4.3627410000000282</c:v>
                </c:pt>
                <c:pt idx="3">
                  <c:v>0.19788600000003953</c:v>
                </c:pt>
                <c:pt idx="4">
                  <c:v>0.27759800000001178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B4A8-4725-87FF-8F33D60A703C}"/>
            </c:ext>
          </c:extLst>
        </c:ser>
        <c:ser>
          <c:idx val="96"/>
          <c:order val="96"/>
          <c:invertIfNegative val="0"/>
          <c:val>
            <c:numRef>
              <c:f>times!$I$569:$M$569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B4A8-4725-87FF-8F33D60A703C}"/>
            </c:ext>
          </c:extLst>
        </c:ser>
        <c:ser>
          <c:idx val="97"/>
          <c:order val="97"/>
          <c:invertIfNegative val="0"/>
          <c:val>
            <c:numRef>
              <c:f>times!$I$570:$M$570</c:f>
              <c:numCache>
                <c:formatCode>General</c:formatCode>
                <c:ptCount val="5"/>
                <c:pt idx="0">
                  <c:v>0.56440199999997276</c:v>
                </c:pt>
                <c:pt idx="1">
                  <c:v>0.36907599999995</c:v>
                </c:pt>
                <c:pt idx="2">
                  <c:v>1.5154159999999592</c:v>
                </c:pt>
                <c:pt idx="3">
                  <c:v>0.30763200000001234</c:v>
                </c:pt>
                <c:pt idx="4">
                  <c:v>2.1232109999999693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B4A8-4725-87FF-8F33D60A703C}"/>
            </c:ext>
          </c:extLst>
        </c:ser>
        <c:ser>
          <c:idx val="98"/>
          <c:order val="98"/>
          <c:invertIfNegative val="0"/>
          <c:val>
            <c:numRef>
              <c:f>times!$I$571:$M$571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1.976300000012543E-2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B4A8-4725-87FF-8F33D60A703C}"/>
            </c:ext>
          </c:extLst>
        </c:ser>
        <c:ser>
          <c:idx val="99"/>
          <c:order val="99"/>
          <c:invertIfNegative val="0"/>
          <c:val>
            <c:numRef>
              <c:f>times!$I$572:$M$572</c:f>
              <c:numCache>
                <c:formatCode>General</c:formatCode>
                <c:ptCount val="5"/>
                <c:pt idx="0">
                  <c:v>0.73739599999998973</c:v>
                </c:pt>
                <c:pt idx="1">
                  <c:v>2.3234860000000026</c:v>
                </c:pt>
                <c:pt idx="2">
                  <c:v>2.063761999999997</c:v>
                </c:pt>
                <c:pt idx="3">
                  <c:v>3.0708580000000438</c:v>
                </c:pt>
                <c:pt idx="4">
                  <c:v>4.3674549999999499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B4A8-4725-87FF-8F33D60A703C}"/>
            </c:ext>
          </c:extLst>
        </c:ser>
        <c:ser>
          <c:idx val="100"/>
          <c:order val="100"/>
          <c:invertIfNegative val="0"/>
          <c:val>
            <c:numRef>
              <c:f>times!$I$573:$M$573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0.28796200000010685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B4A8-4725-87FF-8F33D60A703C}"/>
            </c:ext>
          </c:extLst>
        </c:ser>
        <c:ser>
          <c:idx val="101"/>
          <c:order val="101"/>
          <c:invertIfNegative val="0"/>
          <c:val>
            <c:numRef>
              <c:f>times!$I$574:$M$574</c:f>
              <c:numCache>
                <c:formatCode>General</c:formatCode>
                <c:ptCount val="5"/>
                <c:pt idx="0">
                  <c:v>1.2939220000000091</c:v>
                </c:pt>
                <c:pt idx="1">
                  <c:v>2.8412720000000036</c:v>
                </c:pt>
                <c:pt idx="2">
                  <c:v>0.81999399999995148</c:v>
                </c:pt>
                <c:pt idx="3">
                  <c:v>4.6554170000000568</c:v>
                </c:pt>
                <c:pt idx="4">
                  <c:v>0.43649100000004637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B4A8-4725-87FF-8F33D60A703C}"/>
            </c:ext>
          </c:extLst>
        </c:ser>
        <c:ser>
          <c:idx val="102"/>
          <c:order val="102"/>
          <c:invertIfNegative val="0"/>
          <c:val>
            <c:numRef>
              <c:f>times!$I$575:$M$575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0.13713099999995393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B4A8-4725-87FF-8F33D60A703C}"/>
            </c:ext>
          </c:extLst>
        </c:ser>
        <c:ser>
          <c:idx val="103"/>
          <c:order val="103"/>
          <c:invertIfNegative val="0"/>
          <c:val>
            <c:numRef>
              <c:f>times!$I$576:$M$576</c:f>
              <c:numCache>
                <c:formatCode>General</c:formatCode>
                <c:ptCount val="5"/>
                <c:pt idx="0">
                  <c:v>4.9094460000000026</c:v>
                </c:pt>
                <c:pt idx="1">
                  <c:v>0.87925600000005488</c:v>
                </c:pt>
                <c:pt idx="2">
                  <c:v>3.4188950000000204</c:v>
                </c:pt>
                <c:pt idx="3">
                  <c:v>0.5736220000000003</c:v>
                </c:pt>
                <c:pt idx="4">
                  <c:v>0.60763999999994667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B4A8-4725-87FF-8F33D60A703C}"/>
            </c:ext>
          </c:extLst>
        </c:ser>
        <c:ser>
          <c:idx val="104"/>
          <c:order val="104"/>
          <c:invertIfNegative val="0"/>
          <c:val>
            <c:numRef>
              <c:f>times!$I$577:$M$577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0.69355500000006032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B4A8-4725-87FF-8F33D60A703C}"/>
            </c:ext>
          </c:extLst>
        </c:ser>
        <c:ser>
          <c:idx val="105"/>
          <c:order val="105"/>
          <c:invertIfNegative val="0"/>
          <c:val>
            <c:numRef>
              <c:f>times!$I$578:$M$578</c:f>
              <c:numCache>
                <c:formatCode>General</c:formatCode>
                <c:ptCount val="5"/>
                <c:pt idx="0">
                  <c:v>1.2966589999999769</c:v>
                </c:pt>
                <c:pt idx="1">
                  <c:v>0.63827900000001137</c:v>
                </c:pt>
                <c:pt idx="2">
                  <c:v>0.15344100000004346</c:v>
                </c:pt>
                <c:pt idx="3">
                  <c:v>1.301195000000007</c:v>
                </c:pt>
                <c:pt idx="4">
                  <c:v>0.20408099999997376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B4A8-4725-87FF-8F33D60A703C}"/>
            </c:ext>
          </c:extLst>
        </c:ser>
        <c:ser>
          <c:idx val="106"/>
          <c:order val="106"/>
          <c:invertIfNegative val="0"/>
          <c:val>
            <c:numRef>
              <c:f>times!$I$579:$M$579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2.2650250000000369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B4A8-4725-87FF-8F33D60A703C}"/>
            </c:ext>
          </c:extLst>
        </c:ser>
        <c:ser>
          <c:idx val="107"/>
          <c:order val="107"/>
          <c:invertIfNegative val="0"/>
          <c:val>
            <c:numRef>
              <c:f>times!$I$580:$M$580</c:f>
              <c:numCache>
                <c:formatCode>General</c:formatCode>
                <c:ptCount val="5"/>
                <c:pt idx="0">
                  <c:v>0.8069290000000251</c:v>
                </c:pt>
                <c:pt idx="1">
                  <c:v>7.7551039999999603</c:v>
                </c:pt>
                <c:pt idx="2">
                  <c:v>0.18379200000003948</c:v>
                </c:pt>
                <c:pt idx="3">
                  <c:v>2.4691060000000107</c:v>
                </c:pt>
                <c:pt idx="4">
                  <c:v>2.2650340000000142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B4A8-4725-87FF-8F33D60A7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694976"/>
        <c:axId val="113700864"/>
      </c:barChart>
      <c:catAx>
        <c:axId val="113694976"/>
        <c:scaling>
          <c:orientation val="maxMin"/>
        </c:scaling>
        <c:delete val="0"/>
        <c:axPos val="l"/>
        <c:majorTickMark val="out"/>
        <c:minorTickMark val="none"/>
        <c:tickLblPos val="nextTo"/>
        <c:crossAx val="113700864"/>
        <c:crosses val="autoZero"/>
        <c:auto val="1"/>
        <c:lblAlgn val="ctr"/>
        <c:lblOffset val="100"/>
        <c:noMultiLvlLbl val="0"/>
      </c:catAx>
      <c:valAx>
        <c:axId val="113700864"/>
        <c:scaling>
          <c:orientation val="minMax"/>
          <c:min val="400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113694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times!$AX$15:$BQ$15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7000</c:v>
                </c:pt>
              </c:numCache>
            </c:numRef>
          </c:xVal>
          <c:yVal>
            <c:numRef>
              <c:f>times!$AX$16:$BQ$16</c:f>
              <c:numCache>
                <c:formatCode>0.00000</c:formatCode>
                <c:ptCount val="20"/>
                <c:pt idx="0">
                  <c:v>50.742665343234776</c:v>
                </c:pt>
                <c:pt idx="1">
                  <c:v>42.383836808815133</c:v>
                </c:pt>
                <c:pt idx="2">
                  <c:v>35.401956331719873</c:v>
                </c:pt>
                <c:pt idx="3">
                  <c:v>29.570199549568279</c:v>
                </c:pt>
                <c:pt idx="4">
                  <c:v>24.699106829241394</c:v>
                </c:pt>
                <c:pt idx="5">
                  <c:v>20.63042818293005</c:v>
                </c:pt>
                <c:pt idx="6">
                  <c:v>17.23198210986105</c:v>
                </c:pt>
                <c:pt idx="7">
                  <c:v>14.393361339938897</c:v>
                </c:pt>
                <c:pt idx="8">
                  <c:v>12.02234596932959</c:v>
                </c:pt>
                <c:pt idx="9">
                  <c:v>10.041907459461381</c:v>
                </c:pt>
                <c:pt idx="10">
                  <c:v>8.3877061666367396</c:v>
                </c:pt>
                <c:pt idx="11">
                  <c:v>7.0060011030622977</c:v>
                </c:pt>
                <c:pt idx="12">
                  <c:v>5.8519040225024517</c:v>
                </c:pt>
                <c:pt idx="13">
                  <c:v>4.887921110034096</c:v>
                </c:pt>
                <c:pt idx="14">
                  <c:v>4.0827348989397976</c:v>
                </c:pt>
                <c:pt idx="15">
                  <c:v>3.4101868421736237</c:v>
                </c:pt>
                <c:pt idx="16">
                  <c:v>2.8484274846143007</c:v>
                </c:pt>
                <c:pt idx="17">
                  <c:v>2.3792066272634642</c:v>
                </c:pt>
                <c:pt idx="18">
                  <c:v>1.9872804225454539</c:v>
                </c:pt>
                <c:pt idx="19">
                  <c:v>2.0484992547395545E-4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BD-4B52-B02F-F9ABBE0B6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73952"/>
        <c:axId val="97256576"/>
      </c:scatterChart>
      <c:valAx>
        <c:axId val="113773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256576"/>
        <c:crosses val="autoZero"/>
        <c:crossBetween val="midCat"/>
      </c:valAx>
      <c:valAx>
        <c:axId val="9725657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113773952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part_1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times!$J$47:$AE$47</c:f>
              <c:numCache>
                <c:formatCode>General</c:formatCode>
                <c:ptCount val="22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</c:numCache>
            </c:numRef>
          </c:xVal>
          <c:yVal>
            <c:numRef>
              <c:f>times!$J$51:$AE$51</c:f>
              <c:numCache>
                <c:formatCode>0.0</c:formatCode>
                <c:ptCount val="22"/>
                <c:pt idx="0">
                  <c:v>7988.4528037221289</c:v>
                </c:pt>
                <c:pt idx="1">
                  <c:v>7978.4714464563358</c:v>
                </c:pt>
                <c:pt idx="2">
                  <c:v>7968.48922194651</c:v>
                </c:pt>
                <c:pt idx="3">
                  <c:v>7958.5061984178146</c:v>
                </c:pt>
                <c:pt idx="4">
                  <c:v>7948.5224366776183</c:v>
                </c:pt>
                <c:pt idx="5">
                  <c:v>7938.5379911308937</c:v>
                </c:pt>
                <c:pt idx="6">
                  <c:v>7928.5529106297608</c:v>
                </c:pt>
                <c:pt idx="7">
                  <c:v>7918.5601461975093</c:v>
                </c:pt>
                <c:pt idx="8">
                  <c:v>7908.5615760433384</c:v>
                </c:pt>
                <c:pt idx="9">
                  <c:v>7898.5630002264043</c:v>
                </c:pt>
                <c:pt idx="10">
                  <c:v>7888.5644187858397</c:v>
                </c:pt>
                <c:pt idx="11">
                  <c:v>7878.5658317603884</c:v>
                </c:pt>
                <c:pt idx="12">
                  <c:v>7868.5672391884173</c:v>
                </c:pt>
                <c:pt idx="13">
                  <c:v>7858.5686411079141</c:v>
                </c:pt>
                <c:pt idx="14">
                  <c:v>7848.5700375565002</c:v>
                </c:pt>
                <c:pt idx="15">
                  <c:v>7838.5714285714284</c:v>
                </c:pt>
                <c:pt idx="16">
                  <c:v>7828.5728141895906</c:v>
                </c:pt>
                <c:pt idx="17">
                  <c:v>7818.5741944475212</c:v>
                </c:pt>
                <c:pt idx="18">
                  <c:v>7808.5755693814044</c:v>
                </c:pt>
                <c:pt idx="19">
                  <c:v>7798.5769390270752</c:v>
                </c:pt>
                <c:pt idx="20">
                  <c:v>7788.578303420024</c:v>
                </c:pt>
                <c:pt idx="21">
                  <c:v>7778.5796625954026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A-4134-B554-42D2572A6B55}"/>
            </c:ext>
          </c:extLst>
        </c:ser>
        <c:ser>
          <c:idx val="2"/>
          <c:order val="1"/>
          <c:tx>
            <c:v>part_2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times!$AF$47:$DE$47</c:f>
              <c:numCache>
                <c:formatCode>General</c:formatCode>
                <c:ptCount val="78"/>
                <c:pt idx="0">
                  <c:v>230</c:v>
                </c:pt>
                <c:pt idx="1">
                  <c:v>240</c:v>
                </c:pt>
                <c:pt idx="2">
                  <c:v>250</c:v>
                </c:pt>
                <c:pt idx="3">
                  <c:v>260</c:v>
                </c:pt>
                <c:pt idx="4">
                  <c:v>270</c:v>
                </c:pt>
                <c:pt idx="5">
                  <c:v>280</c:v>
                </c:pt>
                <c:pt idx="6">
                  <c:v>290</c:v>
                </c:pt>
                <c:pt idx="7">
                  <c:v>300</c:v>
                </c:pt>
                <c:pt idx="8">
                  <c:v>310</c:v>
                </c:pt>
                <c:pt idx="9">
                  <c:v>320</c:v>
                </c:pt>
                <c:pt idx="10">
                  <c:v>330</c:v>
                </c:pt>
                <c:pt idx="11">
                  <c:v>340</c:v>
                </c:pt>
                <c:pt idx="12">
                  <c:v>350</c:v>
                </c:pt>
                <c:pt idx="13">
                  <c:v>360</c:v>
                </c:pt>
                <c:pt idx="14">
                  <c:v>370</c:v>
                </c:pt>
                <c:pt idx="15">
                  <c:v>380</c:v>
                </c:pt>
                <c:pt idx="16">
                  <c:v>390</c:v>
                </c:pt>
                <c:pt idx="17">
                  <c:v>400</c:v>
                </c:pt>
                <c:pt idx="18">
                  <c:v>410</c:v>
                </c:pt>
                <c:pt idx="19">
                  <c:v>420</c:v>
                </c:pt>
                <c:pt idx="20">
                  <c:v>430</c:v>
                </c:pt>
                <c:pt idx="21">
                  <c:v>440</c:v>
                </c:pt>
                <c:pt idx="22">
                  <c:v>450</c:v>
                </c:pt>
                <c:pt idx="23">
                  <c:v>460</c:v>
                </c:pt>
                <c:pt idx="24">
                  <c:v>470</c:v>
                </c:pt>
                <c:pt idx="25">
                  <c:v>480</c:v>
                </c:pt>
                <c:pt idx="26">
                  <c:v>490</c:v>
                </c:pt>
                <c:pt idx="27">
                  <c:v>500</c:v>
                </c:pt>
                <c:pt idx="28">
                  <c:v>510</c:v>
                </c:pt>
                <c:pt idx="29">
                  <c:v>520</c:v>
                </c:pt>
                <c:pt idx="30">
                  <c:v>530</c:v>
                </c:pt>
                <c:pt idx="31">
                  <c:v>540</c:v>
                </c:pt>
                <c:pt idx="32">
                  <c:v>550</c:v>
                </c:pt>
                <c:pt idx="33">
                  <c:v>560</c:v>
                </c:pt>
                <c:pt idx="34">
                  <c:v>570</c:v>
                </c:pt>
                <c:pt idx="35">
                  <c:v>580</c:v>
                </c:pt>
                <c:pt idx="36">
                  <c:v>590</c:v>
                </c:pt>
                <c:pt idx="37">
                  <c:v>600</c:v>
                </c:pt>
                <c:pt idx="38">
                  <c:v>610</c:v>
                </c:pt>
                <c:pt idx="39">
                  <c:v>620</c:v>
                </c:pt>
                <c:pt idx="40">
                  <c:v>630</c:v>
                </c:pt>
                <c:pt idx="41">
                  <c:v>640</c:v>
                </c:pt>
                <c:pt idx="42">
                  <c:v>650</c:v>
                </c:pt>
                <c:pt idx="43">
                  <c:v>660</c:v>
                </c:pt>
                <c:pt idx="44">
                  <c:v>670</c:v>
                </c:pt>
                <c:pt idx="45">
                  <c:v>680</c:v>
                </c:pt>
                <c:pt idx="46">
                  <c:v>690</c:v>
                </c:pt>
                <c:pt idx="47">
                  <c:v>700</c:v>
                </c:pt>
                <c:pt idx="48">
                  <c:v>710</c:v>
                </c:pt>
                <c:pt idx="49">
                  <c:v>720</c:v>
                </c:pt>
                <c:pt idx="50">
                  <c:v>730</c:v>
                </c:pt>
                <c:pt idx="51">
                  <c:v>740</c:v>
                </c:pt>
                <c:pt idx="52">
                  <c:v>750</c:v>
                </c:pt>
                <c:pt idx="53">
                  <c:v>760</c:v>
                </c:pt>
                <c:pt idx="54">
                  <c:v>770</c:v>
                </c:pt>
                <c:pt idx="55">
                  <c:v>780</c:v>
                </c:pt>
                <c:pt idx="56">
                  <c:v>790</c:v>
                </c:pt>
                <c:pt idx="57">
                  <c:v>800</c:v>
                </c:pt>
                <c:pt idx="58">
                  <c:v>810</c:v>
                </c:pt>
                <c:pt idx="59">
                  <c:v>820</c:v>
                </c:pt>
                <c:pt idx="60">
                  <c:v>830</c:v>
                </c:pt>
                <c:pt idx="61">
                  <c:v>840</c:v>
                </c:pt>
                <c:pt idx="62">
                  <c:v>850</c:v>
                </c:pt>
                <c:pt idx="63">
                  <c:v>860</c:v>
                </c:pt>
                <c:pt idx="64">
                  <c:v>870</c:v>
                </c:pt>
                <c:pt idx="65">
                  <c:v>880</c:v>
                </c:pt>
                <c:pt idx="66">
                  <c:v>890</c:v>
                </c:pt>
                <c:pt idx="67">
                  <c:v>900</c:v>
                </c:pt>
                <c:pt idx="68">
                  <c:v>910</c:v>
                </c:pt>
                <c:pt idx="69">
                  <c:v>920</c:v>
                </c:pt>
                <c:pt idx="70">
                  <c:v>930</c:v>
                </c:pt>
                <c:pt idx="71">
                  <c:v>940</c:v>
                </c:pt>
                <c:pt idx="72">
                  <c:v>950</c:v>
                </c:pt>
                <c:pt idx="73">
                  <c:v>960</c:v>
                </c:pt>
                <c:pt idx="74">
                  <c:v>970</c:v>
                </c:pt>
                <c:pt idx="75">
                  <c:v>980</c:v>
                </c:pt>
                <c:pt idx="76">
                  <c:v>990</c:v>
                </c:pt>
                <c:pt idx="77">
                  <c:v>1000</c:v>
                </c:pt>
              </c:numCache>
            </c:numRef>
          </c:xVal>
          <c:yVal>
            <c:numRef>
              <c:f>times!$AF$51:$DE$51</c:f>
              <c:numCache>
                <c:formatCode>0.0</c:formatCode>
                <c:ptCount val="78"/>
                <c:pt idx="0">
                  <c:v>231.41898341197037</c:v>
                </c:pt>
                <c:pt idx="1">
                  <c:v>241.41763456760998</c:v>
                </c:pt>
                <c:pt idx="2">
                  <c:v>251.41629083735677</c:v>
                </c:pt>
                <c:pt idx="3">
                  <c:v>261.41495218737447</c:v>
                </c:pt>
                <c:pt idx="4">
                  <c:v>271.41361858414569</c:v>
                </c:pt>
                <c:pt idx="5">
                  <c:v>281.4122899944681</c:v>
                </c:pt>
                <c:pt idx="6">
                  <c:v>291.41096638545042</c:v>
                </c:pt>
                <c:pt idx="7">
                  <c:v>301.40964772450889</c:v>
                </c:pt>
                <c:pt idx="8">
                  <c:v>311.40833397936336</c:v>
                </c:pt>
                <c:pt idx="9">
                  <c:v>321.40702511803374</c:v>
                </c:pt>
                <c:pt idx="10">
                  <c:v>331.40572110883625</c:v>
                </c:pt>
                <c:pt idx="11">
                  <c:v>341.40442192037995</c:v>
                </c:pt>
                <c:pt idx="12">
                  <c:v>351.40312752156331</c:v>
                </c:pt>
                <c:pt idx="13">
                  <c:v>361.40183788157054</c:v>
                </c:pt>
                <c:pt idx="14">
                  <c:v>371.40055296986833</c:v>
                </c:pt>
                <c:pt idx="15">
                  <c:v>381.39927275620255</c:v>
                </c:pt>
                <c:pt idx="16">
                  <c:v>391.39799721059478</c:v>
                </c:pt>
                <c:pt idx="17">
                  <c:v>401.39672630333916</c:v>
                </c:pt>
                <c:pt idx="18">
                  <c:v>411.39546000499911</c:v>
                </c:pt>
                <c:pt idx="19">
                  <c:v>421.39419828640428</c:v>
                </c:pt>
                <c:pt idx="20">
                  <c:v>431.39294111864734</c:v>
                </c:pt>
                <c:pt idx="21">
                  <c:v>441.39168847308082</c:v>
                </c:pt>
                <c:pt idx="22">
                  <c:v>451.39044032131426</c:v>
                </c:pt>
                <c:pt idx="23">
                  <c:v>461.38919663521119</c:v>
                </c:pt>
                <c:pt idx="24">
                  <c:v>471.387957386886</c:v>
                </c:pt>
                <c:pt idx="25">
                  <c:v>481.38672254870124</c:v>
                </c:pt>
                <c:pt idx="26">
                  <c:v>491.38549209326482</c:v>
                </c:pt>
                <c:pt idx="27">
                  <c:v>501.38426599342682</c:v>
                </c:pt>
                <c:pt idx="28">
                  <c:v>510.89885302964575</c:v>
                </c:pt>
                <c:pt idx="29">
                  <c:v>520.74930208217211</c:v>
                </c:pt>
                <c:pt idx="30">
                  <c:v>530.66653503142447</c:v>
                </c:pt>
                <c:pt idx="31">
                  <c:v>540.61132827687209</c:v>
                </c:pt>
                <c:pt idx="32">
                  <c:v>550.57080353560525</c:v>
                </c:pt>
                <c:pt idx="33">
                  <c:v>560.53925543095886</c:v>
                </c:pt>
                <c:pt idx="34">
                  <c:v>570.51369665627328</c:v>
                </c:pt>
                <c:pt idx="35">
                  <c:v>580.49238388218066</c:v>
                </c:pt>
                <c:pt idx="36">
                  <c:v>590.47421872077632</c:v>
                </c:pt>
                <c:pt idx="37">
                  <c:v>600.45846838648083</c:v>
                </c:pt>
                <c:pt idx="38">
                  <c:v>610.44462179464813</c:v>
                </c:pt>
                <c:pt idx="39">
                  <c:v>620.43230959001437</c:v>
                </c:pt>
                <c:pt idx="40">
                  <c:v>630.42125696158348</c:v>
                </c:pt>
                <c:pt idx="41">
                  <c:v>640.41125441729662</c:v>
                </c:pt>
                <c:pt idx="42">
                  <c:v>650.40213893973521</c:v>
                </c:pt>
                <c:pt idx="43">
                  <c:v>660.39378141660484</c:v>
                </c:pt>
                <c:pt idx="44">
                  <c:v>670.38607801022295</c:v>
                </c:pt>
                <c:pt idx="45">
                  <c:v>680.3789440812842</c:v>
                </c:pt>
                <c:pt idx="46">
                  <c:v>690.37230981626465</c:v>
                </c:pt>
                <c:pt idx="47">
                  <c:v>700.36611701949971</c:v>
                </c:pt>
                <c:pt idx="48">
                  <c:v>710.36031671902697</c:v>
                </c:pt>
                <c:pt idx="49">
                  <c:v>720.3548673521625</c:v>
                </c:pt>
                <c:pt idx="50">
                  <c:v>730.34973337133306</c:v>
                </c:pt>
                <c:pt idx="51">
                  <c:v>740.34488415937324</c:v>
                </c:pt>
                <c:pt idx="52">
                  <c:v>750.34029317596855</c:v>
                </c:pt>
                <c:pt idx="53">
                  <c:v>760.33593727899495</c:v>
                </c:pt>
                <c:pt idx="54">
                  <c:v>770.33179617977066</c:v>
                </c:pt>
                <c:pt idx="55">
                  <c:v>780.3278520019586</c:v>
                </c:pt>
                <c:pt idx="56">
                  <c:v>790.32408892150613</c:v>
                </c:pt>
                <c:pt idx="57">
                  <c:v>800.32049287053007</c:v>
                </c:pt>
                <c:pt idx="58">
                  <c:v>810.31705129209422</c:v>
                </c:pt>
                <c:pt idx="59">
                  <c:v>820.313752935818</c:v>
                </c:pt>
                <c:pt idx="60">
                  <c:v>830.31058768648472</c:v>
                </c:pt>
                <c:pt idx="61">
                  <c:v>840.30754641951046</c:v>
                </c:pt>
                <c:pt idx="62">
                  <c:v>850.30462087841534</c:v>
                </c:pt>
                <c:pt idx="63">
                  <c:v>860.30180357043048</c:v>
                </c:pt>
                <c:pt idx="64">
                  <c:v>870.29908767713982</c:v>
                </c:pt>
                <c:pt idx="65">
                  <c:v>880.29646697765122</c:v>
                </c:pt>
                <c:pt idx="66">
                  <c:v>890.29393578226598</c:v>
                </c:pt>
                <c:pt idx="67">
                  <c:v>900.29148887498411</c:v>
                </c:pt>
                <c:pt idx="68">
                  <c:v>910.28912146348262</c:v>
                </c:pt>
                <c:pt idx="69">
                  <c:v>920.28682913544048</c:v>
                </c:pt>
                <c:pt idx="70">
                  <c:v>930.28460782027651</c:v>
                </c:pt>
                <c:pt idx="71">
                  <c:v>940.28245375552069</c:v>
                </c:pt>
                <c:pt idx="72">
                  <c:v>950.28036345716862</c:v>
                </c:pt>
                <c:pt idx="73">
                  <c:v>960.27833369347059</c:v>
                </c:pt>
                <c:pt idx="74">
                  <c:v>970.27636146169164</c:v>
                </c:pt>
                <c:pt idx="75">
                  <c:v>980.27444396745352</c:v>
                </c:pt>
                <c:pt idx="76">
                  <c:v>990.27257860632187</c:v>
                </c:pt>
                <c:pt idx="77">
                  <c:v>1000.2707629473572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0A-4134-B554-42D2572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15552"/>
        <c:axId val="113817472"/>
      </c:scatterChart>
      <c:valAx>
        <c:axId val="113815552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sz="11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Total buffer capacity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113817472"/>
        <c:crosses val="autoZero"/>
        <c:crossBetween val="midCat"/>
        <c:majorUnit val="100"/>
        <c:minorUnit val="2"/>
      </c:valAx>
      <c:valAx>
        <c:axId val="113817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sz="1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Objective function value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113815552"/>
        <c:crosses val="autoZero"/>
        <c:crossBetween val="midCat"/>
        <c:majorUnit val="2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145677</xdr:colOff>
      <xdr:row>2</xdr:row>
      <xdr:rowOff>107156</xdr:rowOff>
    </xdr:from>
    <xdr:to>
      <xdr:col>24</xdr:col>
      <xdr:colOff>31377</xdr:colOff>
      <xdr:row>11</xdr:row>
      <xdr:rowOff>130969</xdr:rowOff>
    </xdr:to>
    <xdr:graphicFrame macro="">
      <xdr:nvGraphicFramePr>
        <xdr:cNvPr id="1446" name="Grafico 1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19</xdr:row>
          <xdr:rowOff>66675</xdr:rowOff>
        </xdr:from>
        <xdr:to>
          <xdr:col>2</xdr:col>
          <xdr:colOff>409575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SOLO FITNESS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25</xdr:row>
          <xdr:rowOff>28575</xdr:rowOff>
        </xdr:from>
        <xdr:to>
          <xdr:col>6</xdr:col>
          <xdr:colOff>390525</xdr:colOff>
          <xdr:row>26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SINGOLO ES.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6</xdr:row>
          <xdr:rowOff>66675</xdr:rowOff>
        </xdr:from>
        <xdr:to>
          <xdr:col>14</xdr:col>
          <xdr:colOff>295275</xdr:colOff>
          <xdr:row>9</xdr:row>
          <xdr:rowOff>85725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 ESEMPIO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25</xdr:row>
          <xdr:rowOff>66675</xdr:rowOff>
        </xdr:from>
        <xdr:to>
          <xdr:col>3</xdr:col>
          <xdr:colOff>123825</xdr:colOff>
          <xdr:row>26</xdr:row>
          <xdr:rowOff>104775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 Black"/>
                </a:rPr>
                <a:t>START EXPERIMENTS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32</xdr:row>
          <xdr:rowOff>28575</xdr:rowOff>
        </xdr:from>
        <xdr:to>
          <xdr:col>10</xdr:col>
          <xdr:colOff>28575</xdr:colOff>
          <xdr:row>33</xdr:row>
          <xdr:rowOff>114300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170827</xdr:colOff>
      <xdr:row>22</xdr:row>
      <xdr:rowOff>114321</xdr:rowOff>
    </xdr:from>
    <xdr:to>
      <xdr:col>99</xdr:col>
      <xdr:colOff>244634</xdr:colOff>
      <xdr:row>41</xdr:row>
      <xdr:rowOff>9846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475</xdr:row>
      <xdr:rowOff>0</xdr:rowOff>
    </xdr:from>
    <xdr:to>
      <xdr:col>118</xdr:col>
      <xdr:colOff>289601</xdr:colOff>
      <xdr:row>493</xdr:row>
      <xdr:rowOff>39210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464343</xdr:colOff>
      <xdr:row>1</xdr:row>
      <xdr:rowOff>63103</xdr:rowOff>
    </xdr:from>
    <xdr:to>
      <xdr:col>56</xdr:col>
      <xdr:colOff>392907</xdr:colOff>
      <xdr:row>12</xdr:row>
      <xdr:rowOff>23813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158751</xdr:colOff>
      <xdr:row>54</xdr:row>
      <xdr:rowOff>105833</xdr:rowOff>
    </xdr:from>
    <xdr:to>
      <xdr:col>17</xdr:col>
      <xdr:colOff>42334</xdr:colOff>
      <xdr:row>74</xdr:row>
      <xdr:rowOff>84667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Z172"/>
  <sheetViews>
    <sheetView showGridLines="0" tabSelected="1" zoomScale="80" zoomScaleNormal="80" zoomScalePageLayoutView="80" workbookViewId="0">
      <selection activeCell="F22" sqref="F22"/>
    </sheetView>
  </sheetViews>
  <sheetFormatPr defaultColWidth="8.86328125" defaultRowHeight="13.5"/>
  <cols>
    <col min="1" max="1" width="15.73046875" customWidth="1"/>
    <col min="2" max="2" width="14.3984375" customWidth="1"/>
    <col min="3" max="6" width="9.86328125" customWidth="1"/>
    <col min="7" max="7" width="11.1328125" customWidth="1"/>
    <col min="8" max="8" width="13.86328125" customWidth="1"/>
    <col min="9" max="9" width="15.265625" customWidth="1"/>
    <col min="10" max="10" width="9.86328125" customWidth="1"/>
    <col min="11" max="11" width="10.86328125" customWidth="1"/>
    <col min="12" max="20" width="9.86328125" customWidth="1"/>
    <col min="21" max="21" width="10.73046875" customWidth="1"/>
    <col min="22" max="25" width="9.86328125" customWidth="1"/>
  </cols>
  <sheetData>
    <row r="1" spans="1:26" ht="18">
      <c r="A1" s="24" t="s">
        <v>0</v>
      </c>
      <c r="B1" s="25"/>
      <c r="C1" s="25"/>
      <c r="D1" s="25"/>
      <c r="E1" s="25"/>
      <c r="F1" s="40"/>
      <c r="G1" s="40"/>
      <c r="H1" s="40"/>
      <c r="I1" s="40"/>
      <c r="J1" s="40">
        <v>10</v>
      </c>
      <c r="K1" s="40"/>
      <c r="L1" s="40"/>
      <c r="M1" s="40"/>
      <c r="N1" s="40"/>
      <c r="O1" s="40">
        <v>15</v>
      </c>
      <c r="S1">
        <v>20</v>
      </c>
    </row>
    <row r="3" spans="1:26">
      <c r="G3" s="106" t="s">
        <v>206</v>
      </c>
      <c r="H3" s="107">
        <v>3.1</v>
      </c>
    </row>
    <row r="4" spans="1:26" ht="14.65">
      <c r="A4" s="7" t="s">
        <v>5</v>
      </c>
      <c r="D4" s="7" t="s">
        <v>16</v>
      </c>
      <c r="J4" s="48" t="s">
        <v>58</v>
      </c>
      <c r="M4" t="s">
        <v>65</v>
      </c>
    </row>
    <row r="5" spans="1:26" ht="14.65">
      <c r="A5" s="6" t="s">
        <v>6</v>
      </c>
      <c r="B5" s="52">
        <v>2000</v>
      </c>
      <c r="D5" s="5" t="s">
        <v>17</v>
      </c>
      <c r="E5" s="5">
        <v>20</v>
      </c>
      <c r="G5" s="5" t="s">
        <v>29</v>
      </c>
      <c r="H5" s="93">
        <f>1/H3</f>
        <v>0.32258064516129031</v>
      </c>
      <c r="J5" s="5" t="s">
        <v>59</v>
      </c>
      <c r="K5" s="5">
        <v>0.8</v>
      </c>
      <c r="M5" s="49" t="s">
        <v>62</v>
      </c>
      <c r="N5" s="50" t="s">
        <v>63</v>
      </c>
      <c r="O5" s="50" t="s">
        <v>64</v>
      </c>
      <c r="P5" s="50" t="s">
        <v>155</v>
      </c>
    </row>
    <row r="6" spans="1:26" ht="14.65">
      <c r="A6" s="6" t="s">
        <v>7</v>
      </c>
      <c r="B6" s="52">
        <v>5</v>
      </c>
      <c r="D6" s="60" t="s">
        <v>18</v>
      </c>
      <c r="E6" s="60">
        <v>1</v>
      </c>
      <c r="G6" s="5" t="s">
        <v>25</v>
      </c>
      <c r="H6" s="5">
        <v>-1</v>
      </c>
      <c r="J6" s="5" t="s">
        <v>60</v>
      </c>
      <c r="K6" s="5">
        <v>0.01</v>
      </c>
      <c r="M6" s="51">
        <v>2000</v>
      </c>
      <c r="N6" s="50">
        <v>5</v>
      </c>
      <c r="O6" s="50">
        <v>1</v>
      </c>
      <c r="P6" s="50">
        <v>2</v>
      </c>
    </row>
    <row r="7" spans="1:26" ht="14.65">
      <c r="A7" s="6" t="s">
        <v>8</v>
      </c>
      <c r="B7" s="38">
        <f>+B6-1</f>
        <v>4</v>
      </c>
      <c r="D7" s="5" t="s">
        <v>19</v>
      </c>
      <c r="E7" s="5">
        <v>1.1000000000000001</v>
      </c>
      <c r="G7" s="5" t="s">
        <v>24</v>
      </c>
      <c r="H7" s="5">
        <v>1</v>
      </c>
      <c r="J7" s="60" t="s">
        <v>61</v>
      </c>
      <c r="K7" s="60">
        <v>0</v>
      </c>
      <c r="M7" s="8"/>
      <c r="P7" s="50" t="s">
        <v>220</v>
      </c>
    </row>
    <row r="8" spans="1:26" ht="14.65">
      <c r="B8" s="10"/>
      <c r="D8" s="5" t="s">
        <v>20</v>
      </c>
      <c r="E8" s="5">
        <v>1</v>
      </c>
      <c r="G8" s="17" t="s">
        <v>30</v>
      </c>
      <c r="H8" s="17">
        <v>0</v>
      </c>
      <c r="M8" s="15"/>
      <c r="P8" s="50">
        <v>1</v>
      </c>
    </row>
    <row r="9" spans="1:26" ht="14.65">
      <c r="A9" s="5" t="s">
        <v>31</v>
      </c>
      <c r="B9" s="23" t="s">
        <v>52</v>
      </c>
      <c r="D9" s="5" t="s">
        <v>21</v>
      </c>
      <c r="E9" s="5">
        <v>0.99</v>
      </c>
      <c r="G9" s="28" t="s">
        <v>40</v>
      </c>
      <c r="H9" s="28"/>
      <c r="J9" s="99"/>
      <c r="K9" s="10"/>
      <c r="M9" s="8"/>
      <c r="N9" s="12"/>
      <c r="O9" s="12"/>
      <c r="P9" s="12"/>
      <c r="Q9" s="12"/>
      <c r="R9" s="12"/>
      <c r="S9" s="12"/>
      <c r="T9" s="12"/>
      <c r="U9" s="12"/>
    </row>
    <row r="10" spans="1:26" ht="14.65">
      <c r="A10" s="31" t="s">
        <v>51</v>
      </c>
      <c r="B10" s="23" t="s">
        <v>52</v>
      </c>
      <c r="D10" s="5" t="s">
        <v>22</v>
      </c>
      <c r="E10" s="5">
        <v>3</v>
      </c>
      <c r="F10" s="101"/>
      <c r="G10" s="102"/>
      <c r="H10" s="83"/>
      <c r="J10" s="100"/>
      <c r="K10" s="100"/>
      <c r="M10" s="8"/>
    </row>
    <row r="11" spans="1:26" ht="18">
      <c r="A11" s="31" t="s">
        <v>56</v>
      </c>
      <c r="B11" s="23" t="s">
        <v>52</v>
      </c>
      <c r="C11" s="44"/>
      <c r="D11" s="5" t="s">
        <v>23</v>
      </c>
      <c r="E11" s="5">
        <v>0.99</v>
      </c>
      <c r="I11" s="61"/>
    </row>
    <row r="13" spans="1:26" ht="14.65">
      <c r="B13" s="30" t="s">
        <v>37</v>
      </c>
      <c r="C13" s="30" t="s">
        <v>38</v>
      </c>
      <c r="D13" s="30" t="s">
        <v>41</v>
      </c>
      <c r="E13" s="30" t="s">
        <v>42</v>
      </c>
      <c r="F13" s="30" t="s">
        <v>43</v>
      </c>
      <c r="G13" s="30" t="s">
        <v>44</v>
      </c>
      <c r="H13" s="30" t="s">
        <v>45</v>
      </c>
      <c r="I13" s="30" t="s">
        <v>46</v>
      </c>
      <c r="J13" s="30" t="s">
        <v>47</v>
      </c>
      <c r="K13" s="30" t="s">
        <v>48</v>
      </c>
      <c r="L13" s="30" t="s">
        <v>125</v>
      </c>
      <c r="M13" s="30" t="s">
        <v>126</v>
      </c>
      <c r="N13" s="30" t="s">
        <v>127</v>
      </c>
      <c r="O13" s="30" t="s">
        <v>128</v>
      </c>
      <c r="P13" s="30" t="s">
        <v>129</v>
      </c>
      <c r="Q13" s="30" t="s">
        <v>130</v>
      </c>
      <c r="R13" s="30" t="s">
        <v>131</v>
      </c>
      <c r="S13" s="30" t="s">
        <v>132</v>
      </c>
      <c r="T13" s="30" t="s">
        <v>133</v>
      </c>
      <c r="U13" s="30" t="s">
        <v>134</v>
      </c>
      <c r="V13" s="30" t="s">
        <v>135</v>
      </c>
      <c r="W13" s="30" t="s">
        <v>136</v>
      </c>
      <c r="X13" s="30" t="s">
        <v>137</v>
      </c>
      <c r="Y13" s="30" t="s">
        <v>138</v>
      </c>
      <c r="Z13" s="56"/>
    </row>
    <row r="14" spans="1:26" ht="14.65">
      <c r="A14" s="34" t="s">
        <v>4</v>
      </c>
      <c r="B14" s="46">
        <v>6</v>
      </c>
      <c r="C14" s="46">
        <v>7</v>
      </c>
      <c r="D14" s="46">
        <v>5</v>
      </c>
      <c r="E14" s="46">
        <v>6</v>
      </c>
      <c r="F14" s="46">
        <v>3</v>
      </c>
      <c r="G14" s="46">
        <v>4</v>
      </c>
      <c r="H14" s="46">
        <v>4</v>
      </c>
      <c r="I14" s="35">
        <v>4</v>
      </c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53"/>
      <c r="Z14" s="57"/>
    </row>
    <row r="15" spans="1:26" ht="14.65">
      <c r="A15" s="34" t="s">
        <v>9</v>
      </c>
      <c r="B15" s="36">
        <v>1</v>
      </c>
      <c r="C15" s="36">
        <v>1</v>
      </c>
      <c r="D15" s="36">
        <v>1</v>
      </c>
      <c r="E15" s="36">
        <v>1</v>
      </c>
      <c r="F15" s="36">
        <v>1</v>
      </c>
      <c r="G15" s="36">
        <v>1</v>
      </c>
      <c r="H15" s="36">
        <v>1</v>
      </c>
      <c r="I15" s="36">
        <v>1</v>
      </c>
      <c r="J15" s="36">
        <v>1</v>
      </c>
      <c r="K15" s="36">
        <v>1</v>
      </c>
      <c r="L15" s="36">
        <v>1</v>
      </c>
      <c r="M15" s="36">
        <v>1</v>
      </c>
      <c r="N15" s="36">
        <v>1</v>
      </c>
      <c r="O15" s="36">
        <v>1</v>
      </c>
      <c r="P15" s="36">
        <v>1</v>
      </c>
      <c r="Q15" s="36">
        <v>1</v>
      </c>
      <c r="R15" s="36">
        <v>1</v>
      </c>
      <c r="S15" s="36">
        <v>1</v>
      </c>
      <c r="T15" s="36">
        <v>1</v>
      </c>
      <c r="U15" s="36">
        <v>1</v>
      </c>
      <c r="V15" s="36">
        <v>1</v>
      </c>
      <c r="W15" s="36">
        <v>1</v>
      </c>
      <c r="X15" s="36">
        <v>1</v>
      </c>
      <c r="Y15" s="54">
        <v>1</v>
      </c>
      <c r="Z15" s="56"/>
    </row>
    <row r="16" spans="1:26" ht="14.65">
      <c r="A16" s="39" t="s">
        <v>39</v>
      </c>
      <c r="B16" s="37">
        <f>+B14+1</f>
        <v>7</v>
      </c>
      <c r="C16" s="37">
        <f t="shared" ref="C16:E16" si="0">+C14+1</f>
        <v>8</v>
      </c>
      <c r="D16" s="37">
        <f t="shared" si="0"/>
        <v>6</v>
      </c>
      <c r="E16" s="37">
        <f t="shared" si="0"/>
        <v>7</v>
      </c>
      <c r="F16" s="37">
        <v>1</v>
      </c>
      <c r="G16" s="37">
        <v>1</v>
      </c>
      <c r="H16" s="37">
        <v>1</v>
      </c>
      <c r="I16" s="37">
        <v>1</v>
      </c>
      <c r="J16" s="37">
        <v>1</v>
      </c>
      <c r="K16" s="37">
        <v>1</v>
      </c>
      <c r="L16" s="37">
        <v>1</v>
      </c>
      <c r="M16" s="37">
        <v>1</v>
      </c>
      <c r="N16" s="37">
        <v>1</v>
      </c>
      <c r="O16" s="37">
        <v>1</v>
      </c>
      <c r="P16" s="37">
        <v>1</v>
      </c>
      <c r="Q16" s="37">
        <v>1</v>
      </c>
      <c r="R16" s="37">
        <v>1</v>
      </c>
      <c r="S16" s="37">
        <v>1</v>
      </c>
      <c r="T16" s="37">
        <v>1</v>
      </c>
      <c r="U16" s="37">
        <v>1</v>
      </c>
      <c r="V16" s="37">
        <v>1</v>
      </c>
      <c r="W16" s="37">
        <v>1</v>
      </c>
      <c r="X16" s="37">
        <v>1</v>
      </c>
      <c r="Y16" s="37">
        <v>1</v>
      </c>
      <c r="Z16" s="58"/>
    </row>
    <row r="17" spans="1:26" ht="14.65">
      <c r="A17" s="34" t="s">
        <v>49</v>
      </c>
      <c r="B17" s="36">
        <v>2000</v>
      </c>
      <c r="C17" s="36">
        <v>2000</v>
      </c>
      <c r="D17" s="36">
        <v>2000</v>
      </c>
      <c r="E17" s="36">
        <v>2000</v>
      </c>
      <c r="F17" s="36">
        <v>2000</v>
      </c>
      <c r="G17" s="36">
        <v>2000</v>
      </c>
      <c r="H17" s="36">
        <v>2000</v>
      </c>
      <c r="I17" s="36">
        <v>2000</v>
      </c>
      <c r="J17" s="36">
        <v>2000</v>
      </c>
      <c r="K17" s="36">
        <v>2000</v>
      </c>
      <c r="L17" s="36">
        <v>2000</v>
      </c>
      <c r="M17" s="36">
        <v>2000</v>
      </c>
      <c r="N17" s="36">
        <v>2000</v>
      </c>
      <c r="O17" s="36">
        <v>2000</v>
      </c>
      <c r="P17" s="36">
        <v>2000</v>
      </c>
      <c r="Q17" s="36">
        <v>2000</v>
      </c>
      <c r="R17" s="36">
        <v>2000</v>
      </c>
      <c r="S17" s="36">
        <v>2000</v>
      </c>
      <c r="T17" s="36">
        <v>2000</v>
      </c>
      <c r="U17" s="36">
        <v>2000</v>
      </c>
      <c r="V17" s="36">
        <v>2000</v>
      </c>
      <c r="W17" s="36">
        <v>2000</v>
      </c>
      <c r="X17" s="36">
        <v>2000</v>
      </c>
      <c r="Y17" s="36">
        <v>2000</v>
      </c>
      <c r="Z17" s="56"/>
    </row>
    <row r="18" spans="1:26" ht="14.65">
      <c r="A18" s="34" t="s">
        <v>50</v>
      </c>
      <c r="B18" s="36">
        <v>0</v>
      </c>
      <c r="C18" s="36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56"/>
    </row>
    <row r="19" spans="1:26" ht="14.65">
      <c r="A19" s="41" t="s">
        <v>55</v>
      </c>
      <c r="B19" s="47"/>
      <c r="C19" s="47"/>
      <c r="D19" s="43"/>
      <c r="E19" s="43"/>
      <c r="F19" s="43"/>
      <c r="G19" s="43"/>
      <c r="H19" s="43"/>
      <c r="I19" s="42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55"/>
      <c r="Z19" s="59"/>
    </row>
    <row r="20" spans="1:26" ht="14.65">
      <c r="A20" s="19"/>
      <c r="B20" s="20"/>
      <c r="C20" s="21"/>
      <c r="I20" s="14"/>
      <c r="T20" s="4"/>
      <c r="U20" s="1"/>
    </row>
    <row r="21" spans="1:26" ht="15" thickBot="1">
      <c r="A21" s="19"/>
      <c r="B21" s="20">
        <v>0</v>
      </c>
      <c r="C21" s="22"/>
      <c r="H21" s="48"/>
      <c r="K21" s="48" t="s">
        <v>150</v>
      </c>
      <c r="S21" t="s">
        <v>158</v>
      </c>
      <c r="T21" s="4" t="s">
        <v>153</v>
      </c>
      <c r="U21" s="1" t="s">
        <v>186</v>
      </c>
      <c r="V21" t="s">
        <v>187</v>
      </c>
    </row>
    <row r="22" spans="1:26" ht="16.149999999999999">
      <c r="A22" s="16" t="s">
        <v>12</v>
      </c>
      <c r="B22" s="94">
        <v>6199.5201569999999</v>
      </c>
      <c r="C22" s="16" t="s">
        <v>13</v>
      </c>
      <c r="D22" s="120" t="s">
        <v>185</v>
      </c>
      <c r="H22" s="97" t="s">
        <v>146</v>
      </c>
      <c r="I22" s="98">
        <v>0</v>
      </c>
      <c r="K22" s="71" t="s">
        <v>146</v>
      </c>
      <c r="L22" s="72">
        <v>0</v>
      </c>
      <c r="M22" s="11">
        <v>1</v>
      </c>
      <c r="N22" s="74" t="s">
        <v>16</v>
      </c>
      <c r="O22" s="75" t="s">
        <v>52</v>
      </c>
      <c r="Q22" s="74">
        <v>2000</v>
      </c>
      <c r="R22" s="81" t="s">
        <v>153</v>
      </c>
      <c r="S22" s="90" t="s">
        <v>183</v>
      </c>
      <c r="T22" s="91" t="s">
        <v>201</v>
      </c>
      <c r="U22" s="75">
        <v>1</v>
      </c>
      <c r="V22" s="75">
        <v>1</v>
      </c>
    </row>
    <row r="23" spans="1:26" ht="16.5" thickBot="1">
      <c r="A23" s="16" t="s">
        <v>10</v>
      </c>
      <c r="B23" s="111">
        <v>0.32260561291050255</v>
      </c>
      <c r="C23" s="16" t="s">
        <v>11</v>
      </c>
      <c r="D23" s="119">
        <f>+IF(B23&lt;H5,1,0)</f>
        <v>0</v>
      </c>
      <c r="E23">
        <f>+B24-B7</f>
        <v>24</v>
      </c>
      <c r="H23" s="5" t="s">
        <v>203</v>
      </c>
      <c r="I23" s="5">
        <v>20</v>
      </c>
      <c r="K23" s="73" t="s">
        <v>151</v>
      </c>
      <c r="L23" s="72">
        <v>7</v>
      </c>
      <c r="M23" s="11">
        <v>2</v>
      </c>
      <c r="N23" s="79" t="s">
        <v>210</v>
      </c>
      <c r="O23" s="80" t="s">
        <v>52</v>
      </c>
      <c r="Q23" s="76">
        <v>5000</v>
      </c>
      <c r="R23" s="82" t="s">
        <v>52</v>
      </c>
      <c r="S23" s="85" t="s">
        <v>154</v>
      </c>
      <c r="T23" s="86" t="s">
        <v>156</v>
      </c>
      <c r="U23" t="s">
        <v>188</v>
      </c>
      <c r="V23" t="s">
        <v>193</v>
      </c>
    </row>
    <row r="24" spans="1:26" ht="16.5" thickBot="1">
      <c r="A24" s="16" t="s">
        <v>15</v>
      </c>
      <c r="B24" s="16">
        <v>28</v>
      </c>
      <c r="C24" s="16" t="s">
        <v>14</v>
      </c>
      <c r="D24" s="112"/>
      <c r="K24" s="63"/>
      <c r="L24" s="62"/>
      <c r="M24">
        <v>3</v>
      </c>
      <c r="N24" s="79" t="s">
        <v>58</v>
      </c>
      <c r="O24" s="80" t="s">
        <v>52</v>
      </c>
      <c r="Q24" s="74" t="s">
        <v>204</v>
      </c>
      <c r="R24" s="81" t="s">
        <v>153</v>
      </c>
      <c r="S24" s="87" t="s">
        <v>155</v>
      </c>
      <c r="T24" s="88">
        <v>0.85</v>
      </c>
      <c r="U24" s="1" t="s">
        <v>189</v>
      </c>
      <c r="V24" t="s">
        <v>194</v>
      </c>
    </row>
    <row r="25" spans="1:26" ht="16.5" thickBot="1">
      <c r="A25" s="16" t="s">
        <v>27</v>
      </c>
      <c r="B25" s="70">
        <v>0.29549880039249998</v>
      </c>
      <c r="C25" s="16"/>
      <c r="K25" s="116"/>
      <c r="L25" s="117">
        <v>0</v>
      </c>
      <c r="M25">
        <v>4</v>
      </c>
      <c r="N25" s="113" t="s">
        <v>149</v>
      </c>
      <c r="O25" s="114" t="s">
        <v>52</v>
      </c>
      <c r="Q25" s="79" t="s">
        <v>152</v>
      </c>
      <c r="R25" s="80" t="s">
        <v>52</v>
      </c>
      <c r="T25" s="4"/>
      <c r="U25" s="1" t="s">
        <v>190</v>
      </c>
      <c r="V25" t="s">
        <v>195</v>
      </c>
    </row>
    <row r="26" spans="1:26" ht="15" thickBot="1">
      <c r="A26" s="18"/>
      <c r="B26" s="18"/>
      <c r="C26" s="18"/>
      <c r="D26" s="18"/>
      <c r="E26" s="18"/>
      <c r="F26" s="18"/>
      <c r="G26" s="18"/>
      <c r="H26" s="45" t="s">
        <v>57</v>
      </c>
      <c r="I26" s="45" t="s">
        <v>157</v>
      </c>
      <c r="K26" s="31"/>
      <c r="L26" s="118"/>
      <c r="M26">
        <v>5</v>
      </c>
      <c r="N26" s="103" t="s">
        <v>202</v>
      </c>
      <c r="O26" s="104" t="s">
        <v>52</v>
      </c>
      <c r="Q26" s="76" t="s">
        <v>205</v>
      </c>
      <c r="R26" s="77" t="s">
        <v>52</v>
      </c>
      <c r="T26" s="4"/>
      <c r="U26" s="1" t="s">
        <v>191</v>
      </c>
      <c r="V26" t="s">
        <v>196</v>
      </c>
    </row>
    <row r="27" spans="1:26" ht="15" thickBot="1">
      <c r="A27" s="18"/>
      <c r="B27" s="18"/>
      <c r="C27" s="18"/>
      <c r="D27" s="18"/>
      <c r="E27" s="18"/>
      <c r="F27" s="18">
        <v>12</v>
      </c>
      <c r="G27" s="18"/>
      <c r="H27" s="92">
        <v>1</v>
      </c>
      <c r="I27">
        <v>40</v>
      </c>
      <c r="J27">
        <v>7</v>
      </c>
      <c r="K27">
        <v>3</v>
      </c>
      <c r="M27">
        <v>6</v>
      </c>
      <c r="N27" s="103"/>
      <c r="O27" s="104"/>
      <c r="P27" s="109" t="s">
        <v>201</v>
      </c>
      <c r="T27" s="4"/>
      <c r="U27" s="1" t="s">
        <v>192</v>
      </c>
      <c r="V27" t="s">
        <v>197</v>
      </c>
    </row>
    <row r="28" spans="1:26" ht="15" thickBot="1">
      <c r="I28">
        <v>9</v>
      </c>
      <c r="M28">
        <v>7</v>
      </c>
      <c r="N28" s="103" t="s">
        <v>211</v>
      </c>
      <c r="O28" s="104" t="s">
        <v>52</v>
      </c>
      <c r="P28" s="108" t="s">
        <v>52</v>
      </c>
      <c r="T28" s="4"/>
      <c r="U28" s="1"/>
    </row>
    <row r="29" spans="1:26" ht="14.65">
      <c r="A29" s="9" t="s">
        <v>28</v>
      </c>
      <c r="B29">
        <v>9</v>
      </c>
      <c r="C29" s="33" t="s">
        <v>147</v>
      </c>
      <c r="D29" s="33" t="s">
        <v>26</v>
      </c>
      <c r="E29" s="33" t="s">
        <v>35</v>
      </c>
      <c r="F29" s="33" t="s">
        <v>148</v>
      </c>
      <c r="G29" s="33" t="s">
        <v>32</v>
      </c>
      <c r="H29" s="33" t="s">
        <v>36</v>
      </c>
      <c r="I29" s="33" t="s">
        <v>37</v>
      </c>
      <c r="J29" s="33" t="s">
        <v>38</v>
      </c>
      <c r="K29" s="33" t="s">
        <v>41</v>
      </c>
      <c r="L29" s="33" t="s">
        <v>42</v>
      </c>
      <c r="M29" s="33" t="s">
        <v>43</v>
      </c>
      <c r="N29" s="33" t="s">
        <v>44</v>
      </c>
      <c r="O29" s="33" t="s">
        <v>45</v>
      </c>
      <c r="Q29" s="29"/>
      <c r="T29" s="4"/>
      <c r="U29" s="1"/>
    </row>
    <row r="30" spans="1:26" ht="14.65">
      <c r="A30" s="26" t="s">
        <v>26</v>
      </c>
      <c r="B30" s="64">
        <v>0.27030801052858816</v>
      </c>
      <c r="C30" s="65"/>
      <c r="D30" s="68"/>
      <c r="G30" s="32"/>
      <c r="H30" s="32"/>
      <c r="T30" s="4"/>
      <c r="U30" s="1"/>
    </row>
    <row r="31" spans="1:26" ht="14.65">
      <c r="A31" s="27" t="s">
        <v>35</v>
      </c>
      <c r="B31" s="78">
        <v>678</v>
      </c>
      <c r="C31" s="66"/>
      <c r="D31" s="68"/>
      <c r="G31" s="32"/>
      <c r="H31" s="32"/>
      <c r="Q31" s="40"/>
      <c r="R31" s="40"/>
      <c r="S31" s="40"/>
      <c r="T31" s="40"/>
      <c r="U31" s="40"/>
      <c r="V31" s="40"/>
      <c r="W31" s="40"/>
      <c r="X31" s="40"/>
    </row>
    <row r="32" spans="1:26" ht="14.65">
      <c r="A32" s="27" t="s">
        <v>36</v>
      </c>
      <c r="B32" s="69">
        <v>188.20150258295999</v>
      </c>
      <c r="C32" s="66"/>
      <c r="D32" s="68"/>
      <c r="G32" s="32"/>
      <c r="H32" s="32"/>
    </row>
    <row r="33" spans="1:21" ht="14.65">
      <c r="A33" s="27" t="s">
        <v>32</v>
      </c>
      <c r="B33" s="69">
        <v>1849.7417039999978</v>
      </c>
      <c r="C33" s="67"/>
      <c r="D33" s="68"/>
      <c r="G33" s="32"/>
      <c r="H33" s="32"/>
      <c r="N33" s="110"/>
      <c r="T33" s="4"/>
      <c r="U33" s="1"/>
    </row>
    <row r="34" spans="1:21" ht="14.65">
      <c r="A34" s="29" t="s">
        <v>33</v>
      </c>
      <c r="B34" s="29">
        <v>32</v>
      </c>
      <c r="C34" s="16"/>
      <c r="D34" s="68"/>
      <c r="G34" s="32"/>
      <c r="H34" s="32"/>
      <c r="T34" s="4"/>
      <c r="U34" s="1"/>
    </row>
    <row r="35" spans="1:21" ht="14.65">
      <c r="A35" s="29" t="s">
        <v>34</v>
      </c>
      <c r="B35" s="29">
        <v>19</v>
      </c>
      <c r="C35" s="16"/>
      <c r="D35" s="68"/>
      <c r="G35" s="32"/>
      <c r="H35" s="32"/>
      <c r="T35" s="4"/>
      <c r="U35" s="1"/>
    </row>
    <row r="36" spans="1:21" ht="14.65">
      <c r="A36" s="29" t="s">
        <v>53</v>
      </c>
      <c r="B36" s="29">
        <v>45</v>
      </c>
      <c r="C36" s="16"/>
      <c r="D36" s="68"/>
      <c r="G36" s="32"/>
      <c r="H36" s="32"/>
      <c r="T36" s="4"/>
      <c r="U36" s="1"/>
    </row>
    <row r="37" spans="1:21" ht="14.65">
      <c r="A37" s="29" t="s">
        <v>54</v>
      </c>
      <c r="B37" s="29">
        <v>30</v>
      </c>
      <c r="C37" s="16"/>
      <c r="D37" s="68"/>
      <c r="G37" s="32"/>
      <c r="H37" s="32"/>
      <c r="T37" s="4"/>
      <c r="U37" s="1"/>
    </row>
    <row r="38" spans="1:21" ht="14.65">
      <c r="A38" s="29" t="s">
        <v>66</v>
      </c>
      <c r="B38" s="29">
        <v>29</v>
      </c>
      <c r="D38" s="68"/>
      <c r="G38" s="32"/>
      <c r="H38" s="32"/>
      <c r="T38" s="4"/>
      <c r="U38" s="1"/>
    </row>
    <row r="39" spans="1:21" ht="14.65">
      <c r="A39" s="29" t="s">
        <v>67</v>
      </c>
      <c r="B39" s="29">
        <v>31</v>
      </c>
      <c r="D39" s="68"/>
      <c r="G39" s="32"/>
      <c r="H39" s="32"/>
      <c r="T39" s="4"/>
      <c r="U39" s="1"/>
    </row>
    <row r="40" spans="1:21" ht="14.65">
      <c r="A40" s="29" t="s">
        <v>68</v>
      </c>
      <c r="B40" s="29">
        <v>18</v>
      </c>
      <c r="D40" s="68"/>
      <c r="G40" s="32"/>
      <c r="H40" s="32"/>
      <c r="T40" s="4"/>
      <c r="U40" s="1"/>
    </row>
    <row r="41" spans="1:21" ht="14.65">
      <c r="A41" s="29" t="s">
        <v>139</v>
      </c>
      <c r="B41" s="29">
        <v>24</v>
      </c>
      <c r="D41" s="68"/>
      <c r="G41" s="32"/>
      <c r="H41" s="32"/>
      <c r="T41" s="4"/>
      <c r="U41" s="1"/>
    </row>
    <row r="42" spans="1:21" ht="14.65">
      <c r="A42" s="29" t="s">
        <v>140</v>
      </c>
      <c r="B42" s="29">
        <v>41</v>
      </c>
      <c r="D42" s="68"/>
      <c r="G42" s="32"/>
      <c r="H42" s="32"/>
      <c r="T42" s="4"/>
      <c r="U42" s="1"/>
    </row>
    <row r="43" spans="1:21" ht="14.65">
      <c r="A43" s="29" t="s">
        <v>141</v>
      </c>
      <c r="B43" s="29">
        <v>19</v>
      </c>
      <c r="D43" s="68"/>
      <c r="G43" s="32"/>
      <c r="H43" s="32"/>
      <c r="T43" s="4"/>
      <c r="U43" s="1"/>
    </row>
    <row r="44" spans="1:21" ht="14.65">
      <c r="A44" s="29" t="s">
        <v>142</v>
      </c>
      <c r="B44" s="29">
        <v>22</v>
      </c>
      <c r="D44" s="68"/>
      <c r="G44" s="32"/>
      <c r="H44" s="32"/>
      <c r="T44" s="4"/>
      <c r="U44" s="1"/>
    </row>
    <row r="45" spans="1:21" ht="14.65">
      <c r="A45" s="29" t="s">
        <v>143</v>
      </c>
      <c r="B45" s="29">
        <v>35</v>
      </c>
      <c r="D45" s="68"/>
      <c r="G45" s="32"/>
      <c r="H45" s="32"/>
      <c r="T45" s="4"/>
      <c r="U45" s="1"/>
    </row>
    <row r="46" spans="1:21" ht="14.65">
      <c r="A46" s="29" t="s">
        <v>144</v>
      </c>
      <c r="B46" s="29">
        <v>29</v>
      </c>
      <c r="D46" s="68"/>
      <c r="G46" s="32"/>
      <c r="H46" s="32"/>
      <c r="T46" s="4"/>
      <c r="U46" s="1"/>
    </row>
    <row r="47" spans="1:21" ht="14.65">
      <c r="A47" s="29" t="s">
        <v>145</v>
      </c>
      <c r="B47" s="29">
        <v>22</v>
      </c>
      <c r="D47" s="68"/>
      <c r="G47" s="32"/>
      <c r="H47" s="32"/>
      <c r="T47" s="4"/>
      <c r="U47" s="1"/>
    </row>
    <row r="48" spans="1:21" ht="14.65">
      <c r="A48" s="30"/>
      <c r="B48" s="29">
        <v>19</v>
      </c>
      <c r="D48" s="68"/>
      <c r="G48" s="32"/>
      <c r="H48" s="32"/>
      <c r="N48" s="29"/>
      <c r="O48" s="29"/>
      <c r="P48" s="29"/>
      <c r="Q48" s="29"/>
      <c r="T48" s="4"/>
      <c r="U48" s="1"/>
    </row>
    <row r="49" spans="2:21" ht="14.65">
      <c r="B49" s="8">
        <v>32</v>
      </c>
      <c r="D49" s="68"/>
      <c r="G49" s="32"/>
      <c r="H49" s="32"/>
      <c r="T49" s="4"/>
      <c r="U49" s="1"/>
    </row>
    <row r="50" spans="2:21" ht="14.65">
      <c r="B50" s="8">
        <v>18</v>
      </c>
      <c r="D50" s="68"/>
      <c r="G50" s="32"/>
      <c r="H50" s="32"/>
      <c r="T50" s="4"/>
      <c r="U50" s="1"/>
    </row>
    <row r="51" spans="2:21" ht="14.65">
      <c r="B51" s="8">
        <v>25</v>
      </c>
      <c r="D51" s="68"/>
      <c r="G51" s="32"/>
      <c r="H51" s="32"/>
      <c r="T51" s="4"/>
      <c r="U51" s="1"/>
    </row>
    <row r="52" spans="2:21" ht="14.65">
      <c r="B52" s="8">
        <v>28</v>
      </c>
      <c r="D52" s="68"/>
      <c r="G52" s="32"/>
      <c r="H52" s="32"/>
      <c r="T52" s="4"/>
      <c r="U52" s="1"/>
    </row>
    <row r="53" spans="2:21" ht="14.65">
      <c r="B53" s="8">
        <v>32</v>
      </c>
      <c r="D53" s="68"/>
      <c r="G53" s="32"/>
      <c r="H53" s="32"/>
      <c r="T53" s="4"/>
      <c r="U53" s="1"/>
    </row>
    <row r="54" spans="2:21" ht="14.65">
      <c r="B54" s="8">
        <v>29</v>
      </c>
      <c r="H54" s="13"/>
      <c r="T54" s="4"/>
      <c r="U54" s="1"/>
    </row>
    <row r="55" spans="2:21" ht="14.65">
      <c r="B55" s="8">
        <v>24</v>
      </c>
      <c r="T55" s="4"/>
      <c r="U55" s="1"/>
    </row>
    <row r="56" spans="2:21" ht="14.65">
      <c r="B56" s="8">
        <v>26</v>
      </c>
      <c r="T56" s="4"/>
      <c r="U56" s="1"/>
    </row>
    <row r="57" spans="2:21" ht="14.65">
      <c r="B57" s="8">
        <v>25</v>
      </c>
      <c r="T57" s="4"/>
      <c r="U57" s="1"/>
    </row>
    <row r="58" spans="2:21" ht="14.65">
      <c r="B58" s="8">
        <v>21</v>
      </c>
      <c r="T58" s="4"/>
      <c r="U58" s="1"/>
    </row>
    <row r="59" spans="2:21" ht="14.65">
      <c r="B59" s="8">
        <v>23</v>
      </c>
      <c r="T59" s="4"/>
      <c r="U59" s="1"/>
    </row>
    <row r="60" spans="2:21" ht="14.65">
      <c r="B60" s="8">
        <v>22</v>
      </c>
      <c r="T60" s="4"/>
      <c r="U60" s="1"/>
    </row>
    <row r="61" spans="2:21" ht="14.65">
      <c r="B61" s="8">
        <v>26</v>
      </c>
      <c r="T61" s="4"/>
      <c r="U61" s="1"/>
    </row>
    <row r="62" spans="2:21" ht="14.65">
      <c r="B62" s="8">
        <v>18</v>
      </c>
      <c r="T62" s="4"/>
      <c r="U62" s="1"/>
    </row>
    <row r="63" spans="2:21" ht="14.65">
      <c r="B63" s="8">
        <v>21</v>
      </c>
      <c r="T63" s="4"/>
      <c r="U63" s="1"/>
    </row>
    <row r="64" spans="2:21" ht="14.65">
      <c r="B64" s="8">
        <v>20</v>
      </c>
      <c r="T64" s="4"/>
      <c r="U64" s="1"/>
    </row>
    <row r="65" spans="2:21" ht="14.65">
      <c r="B65" s="8">
        <v>28</v>
      </c>
      <c r="T65" s="4"/>
      <c r="U65" s="1"/>
    </row>
    <row r="66" spans="2:21" ht="14.65">
      <c r="B66" s="8">
        <v>22</v>
      </c>
      <c r="T66" s="4"/>
      <c r="U66" s="1"/>
    </row>
    <row r="67" spans="2:21" ht="14.65">
      <c r="B67" s="8">
        <v>20</v>
      </c>
      <c r="T67" s="4"/>
      <c r="U67" s="1"/>
    </row>
    <row r="68" spans="2:21" ht="14.65">
      <c r="B68" s="8">
        <v>25</v>
      </c>
      <c r="T68" s="4"/>
      <c r="U68" s="1"/>
    </row>
    <row r="69" spans="2:21" ht="14.65">
      <c r="B69" s="8">
        <v>21</v>
      </c>
      <c r="T69" s="4"/>
      <c r="U69" s="1"/>
    </row>
    <row r="70" spans="2:21" ht="14.65">
      <c r="B70" s="8">
        <v>19</v>
      </c>
      <c r="T70" s="4"/>
      <c r="U70" s="1"/>
    </row>
    <row r="71" spans="2:21" ht="14.65">
      <c r="B71" s="8">
        <v>26</v>
      </c>
      <c r="T71" s="4"/>
      <c r="U71" s="1"/>
    </row>
    <row r="72" spans="2:21" ht="14.65">
      <c r="B72" s="8">
        <v>23</v>
      </c>
      <c r="T72" s="4"/>
      <c r="U72" s="1"/>
    </row>
    <row r="73" spans="2:21" ht="14.65">
      <c r="B73" s="8"/>
      <c r="T73" s="4"/>
      <c r="U73" s="1"/>
    </row>
    <row r="74" spans="2:21" ht="14.65">
      <c r="B74" s="8"/>
      <c r="T74" s="4"/>
      <c r="U74" s="1"/>
    </row>
    <row r="75" spans="2:21" ht="14.65">
      <c r="B75" s="8"/>
      <c r="T75" s="4"/>
      <c r="U75" s="1"/>
    </row>
    <row r="76" spans="2:21" ht="14.65">
      <c r="B76" s="8"/>
      <c r="T76" s="4"/>
      <c r="U76" s="1"/>
    </row>
    <row r="77" spans="2:21" ht="14.65">
      <c r="B77" s="8"/>
      <c r="T77" s="4"/>
      <c r="U77" s="1"/>
    </row>
    <row r="78" spans="2:21" ht="14.65">
      <c r="B78" s="8"/>
      <c r="T78" s="4"/>
      <c r="U78" s="1"/>
    </row>
    <row r="79" spans="2:21" ht="14.65">
      <c r="B79" s="8"/>
      <c r="T79" s="4"/>
      <c r="U79" s="1"/>
    </row>
    <row r="80" spans="2:21" ht="14.65">
      <c r="B80" s="8"/>
      <c r="T80" s="4"/>
      <c r="U80" s="1"/>
    </row>
    <row r="81" spans="2:21" ht="14.65">
      <c r="B81" s="8"/>
      <c r="T81" s="4"/>
      <c r="U81" s="1"/>
    </row>
    <row r="82" spans="2:21" ht="14.65">
      <c r="B82" s="8"/>
      <c r="T82" s="4"/>
      <c r="U82" s="1"/>
    </row>
    <row r="83" spans="2:21" ht="14.65">
      <c r="B83" s="8"/>
      <c r="T83" s="4"/>
      <c r="U83" s="1"/>
    </row>
    <row r="84" spans="2:21" ht="14.65">
      <c r="B84" s="8"/>
      <c r="T84" s="4"/>
      <c r="U84" s="1"/>
    </row>
    <row r="85" spans="2:21" ht="14.65">
      <c r="B85" s="8"/>
      <c r="T85" s="4"/>
      <c r="U85" s="1"/>
    </row>
    <row r="86" spans="2:21" ht="14.65">
      <c r="B86" s="8"/>
      <c r="T86" s="4"/>
      <c r="U86" s="1"/>
    </row>
    <row r="87" spans="2:21" ht="14.65">
      <c r="B87" s="8"/>
      <c r="T87" s="4"/>
      <c r="U87" s="1"/>
    </row>
    <row r="88" spans="2:21" ht="14.65">
      <c r="B88" s="8"/>
      <c r="T88" s="4"/>
      <c r="U88" s="1"/>
    </row>
    <row r="89" spans="2:21" ht="14.65">
      <c r="B89" s="8"/>
      <c r="T89" s="4"/>
      <c r="U89" s="1"/>
    </row>
    <row r="90" spans="2:21" ht="14.65">
      <c r="B90" s="8"/>
      <c r="T90" s="4"/>
      <c r="U90" s="1"/>
    </row>
    <row r="91" spans="2:21" ht="14.65">
      <c r="B91" s="8"/>
      <c r="T91" s="4"/>
      <c r="U91" s="1"/>
    </row>
    <row r="92" spans="2:21" ht="14.65">
      <c r="B92" s="8"/>
      <c r="T92" s="4"/>
      <c r="U92" s="1"/>
    </row>
    <row r="93" spans="2:21" ht="14.65">
      <c r="B93" s="8"/>
      <c r="T93" s="4"/>
      <c r="U93" s="1"/>
    </row>
    <row r="94" spans="2:21" ht="14.65">
      <c r="B94" s="8"/>
      <c r="T94" s="4"/>
      <c r="U94" s="1"/>
    </row>
    <row r="95" spans="2:21" ht="14.65">
      <c r="B95" s="8"/>
      <c r="T95" s="4"/>
      <c r="U95" s="1"/>
    </row>
    <row r="96" spans="2:21" ht="14.65">
      <c r="B96" s="8"/>
      <c r="T96" s="4"/>
      <c r="U96" s="1"/>
    </row>
    <row r="97" spans="2:21" ht="14.65">
      <c r="B97" s="8"/>
      <c r="T97" s="4"/>
      <c r="U97" s="1"/>
    </row>
    <row r="98" spans="2:21" ht="14.65">
      <c r="B98" s="8"/>
      <c r="T98" s="4"/>
      <c r="U98" s="1"/>
    </row>
    <row r="99" spans="2:21" ht="14.65">
      <c r="B99" s="8"/>
      <c r="T99" s="4"/>
      <c r="U99" s="1"/>
    </row>
    <row r="100" spans="2:21" ht="14.65">
      <c r="B100" s="8"/>
      <c r="T100" s="4"/>
      <c r="U100" s="1"/>
    </row>
    <row r="101" spans="2:21" ht="14.65">
      <c r="B101" s="8"/>
      <c r="T101" s="4"/>
      <c r="U101" s="1"/>
    </row>
    <row r="102" spans="2:21" ht="14.65">
      <c r="B102" s="8"/>
      <c r="T102" s="4"/>
      <c r="U102" s="1"/>
    </row>
    <row r="103" spans="2:21" ht="14.65">
      <c r="B103" s="8"/>
      <c r="T103" s="4"/>
      <c r="U103" s="1"/>
    </row>
    <row r="104" spans="2:21" ht="14.65">
      <c r="B104" s="8"/>
      <c r="T104" s="4"/>
      <c r="U104" s="1"/>
    </row>
    <row r="105" spans="2:21" ht="14.65">
      <c r="B105" s="8"/>
      <c r="T105" s="4"/>
      <c r="U105" s="1"/>
    </row>
    <row r="106" spans="2:21" ht="14.65">
      <c r="B106" s="8"/>
      <c r="T106" s="4"/>
      <c r="U106" s="1"/>
    </row>
    <row r="107" spans="2:21" ht="14.65">
      <c r="B107" s="8"/>
      <c r="T107" s="4"/>
      <c r="U107" s="1"/>
    </row>
    <row r="108" spans="2:21" ht="14.65">
      <c r="B108" s="8"/>
      <c r="T108" s="4"/>
      <c r="U108" s="1"/>
    </row>
    <row r="109" spans="2:21" ht="14.65">
      <c r="B109" s="8"/>
      <c r="T109" s="4"/>
      <c r="U109" s="1"/>
    </row>
    <row r="110" spans="2:21" ht="14.65">
      <c r="B110" s="8"/>
      <c r="T110" s="4"/>
      <c r="U110" s="1"/>
    </row>
    <row r="111" spans="2:21" ht="14.65">
      <c r="B111" s="8"/>
      <c r="T111" s="4"/>
      <c r="U111" s="1"/>
    </row>
    <row r="112" spans="2:21" ht="14.65">
      <c r="B112" s="8"/>
      <c r="T112" s="4"/>
      <c r="U112" s="1"/>
    </row>
    <row r="113" spans="2:21" ht="14.65">
      <c r="B113" s="8"/>
      <c r="T113" s="4"/>
      <c r="U113" s="1"/>
    </row>
    <row r="114" spans="2:21" ht="14.65">
      <c r="B114" s="8"/>
      <c r="T114" s="4"/>
      <c r="U114" s="1"/>
    </row>
    <row r="115" spans="2:21" ht="14.65">
      <c r="B115" s="8"/>
      <c r="T115" s="4"/>
      <c r="U115" s="1"/>
    </row>
    <row r="116" spans="2:21" ht="14.65">
      <c r="B116" s="8"/>
      <c r="T116" s="4"/>
      <c r="U116" s="1"/>
    </row>
    <row r="117" spans="2:21" ht="14.65">
      <c r="B117" s="8"/>
      <c r="T117" s="4"/>
      <c r="U117" s="1"/>
    </row>
    <row r="118" spans="2:21" ht="14.65">
      <c r="B118" s="8"/>
      <c r="T118" s="4"/>
      <c r="U118" s="1"/>
    </row>
    <row r="119" spans="2:21" ht="14.65">
      <c r="B119" s="8"/>
      <c r="T119" s="4"/>
      <c r="U119" s="1"/>
    </row>
    <row r="120" spans="2:21" ht="14.65">
      <c r="B120" s="8"/>
    </row>
    <row r="121" spans="2:21" ht="14.65">
      <c r="B121" s="8"/>
    </row>
    <row r="122" spans="2:21" ht="14.65">
      <c r="B122" s="8"/>
    </row>
    <row r="123" spans="2:21" ht="14.65">
      <c r="B123" s="8"/>
    </row>
    <row r="124" spans="2:21" ht="14.65">
      <c r="B124" s="8"/>
    </row>
    <row r="125" spans="2:21" ht="14.65">
      <c r="B125" s="8"/>
    </row>
    <row r="126" spans="2:21" ht="14.65">
      <c r="B126" s="8"/>
    </row>
    <row r="127" spans="2:21" ht="14.65">
      <c r="B127" s="8"/>
    </row>
    <row r="128" spans="2:21" ht="14.65">
      <c r="B128" s="8"/>
    </row>
    <row r="129" spans="2:2" ht="14.65">
      <c r="B129" s="8"/>
    </row>
    <row r="130" spans="2:2" ht="14.65">
      <c r="B130" s="8"/>
    </row>
    <row r="131" spans="2:2" ht="14.65">
      <c r="B131" s="8"/>
    </row>
    <row r="132" spans="2:2" ht="14.65">
      <c r="B132" s="8"/>
    </row>
    <row r="133" spans="2:2" ht="14.65">
      <c r="B133" s="8"/>
    </row>
    <row r="134" spans="2:2" ht="14.65">
      <c r="B134" s="8"/>
    </row>
    <row r="135" spans="2:2" ht="14.65">
      <c r="B135" s="8"/>
    </row>
    <row r="136" spans="2:2" ht="14.65">
      <c r="B136" s="8"/>
    </row>
    <row r="137" spans="2:2" ht="14.65">
      <c r="B137" s="8"/>
    </row>
    <row r="138" spans="2:2" ht="14.65">
      <c r="B138" s="8"/>
    </row>
    <row r="139" spans="2:2" ht="14.65">
      <c r="B139" s="8"/>
    </row>
    <row r="140" spans="2:2" ht="14.65">
      <c r="B140" s="8"/>
    </row>
    <row r="141" spans="2:2" ht="14.65">
      <c r="B141" s="8"/>
    </row>
    <row r="142" spans="2:2" ht="14.65">
      <c r="B142" s="8"/>
    </row>
    <row r="143" spans="2:2" ht="14.65">
      <c r="B143" s="8"/>
    </row>
    <row r="144" spans="2:2" ht="14.65">
      <c r="B144" s="8"/>
    </row>
    <row r="145" spans="2:2" ht="14.65">
      <c r="B145" s="8"/>
    </row>
    <row r="146" spans="2:2" ht="14.65">
      <c r="B146" s="8"/>
    </row>
    <row r="147" spans="2:2" ht="14.65">
      <c r="B147" s="8"/>
    </row>
    <row r="148" spans="2:2" ht="14.65">
      <c r="B148" s="8"/>
    </row>
    <row r="149" spans="2:2" ht="14.65">
      <c r="B149" s="8"/>
    </row>
    <row r="150" spans="2:2" ht="14.65">
      <c r="B150" s="8"/>
    </row>
    <row r="151" spans="2:2" ht="14.65">
      <c r="B151" s="8"/>
    </row>
    <row r="152" spans="2:2" ht="14.65">
      <c r="B152" s="8"/>
    </row>
    <row r="153" spans="2:2" ht="14.65">
      <c r="B153" s="8"/>
    </row>
    <row r="154" spans="2:2" ht="14.65">
      <c r="B154" s="8"/>
    </row>
    <row r="155" spans="2:2" ht="14.65">
      <c r="B155" s="8"/>
    </row>
    <row r="156" spans="2:2" ht="14.65">
      <c r="B156" s="8"/>
    </row>
    <row r="157" spans="2:2" ht="14.65">
      <c r="B157" s="8"/>
    </row>
    <row r="158" spans="2:2" ht="14.65">
      <c r="B158" s="8"/>
    </row>
    <row r="159" spans="2:2" ht="14.65">
      <c r="B159" s="8"/>
    </row>
    <row r="160" spans="2:2" ht="14.65">
      <c r="B160" s="8"/>
    </row>
    <row r="161" spans="2:2" ht="14.65">
      <c r="B161" s="8"/>
    </row>
    <row r="162" spans="2:2" ht="14.65">
      <c r="B162" s="8"/>
    </row>
    <row r="163" spans="2:2" ht="14.65">
      <c r="B163" s="8"/>
    </row>
    <row r="164" spans="2:2" ht="14.65">
      <c r="B164" s="8"/>
    </row>
    <row r="165" spans="2:2" ht="14.65">
      <c r="B165" s="8"/>
    </row>
    <row r="166" spans="2:2" ht="14.65">
      <c r="B166" s="8"/>
    </row>
    <row r="167" spans="2:2" ht="14.65">
      <c r="B167" s="8"/>
    </row>
    <row r="168" spans="2:2" ht="14.65">
      <c r="B168" s="8"/>
    </row>
    <row r="169" spans="2:2" ht="14.65">
      <c r="B169" s="8"/>
    </row>
    <row r="170" spans="2:2" ht="14.65">
      <c r="B170" s="8"/>
    </row>
    <row r="171" spans="2:2" ht="14.65">
      <c r="B171" s="8"/>
    </row>
    <row r="172" spans="2:2" ht="14.65">
      <c r="B172" s="8"/>
    </row>
  </sheetData>
  <scenarios current="0">
    <scenario name="prova" locked="1" count="4" user="antonio costa" comment="Creato da: antonio costa il 1/22/2013">
      <inputCells r="B14" val="3664"/>
      <inputCells r="C14" val="39"/>
      <inputCells r="D14" val="28"/>
      <inputCells r="E14" val="260"/>
    </scenario>
  </scenarios>
  <phoneticPr fontId="5" type="noConversion"/>
  <dataValidations count="4">
    <dataValidation type="list" allowBlank="1" showInputMessage="1" showErrorMessage="1" sqref="O22:O25 R22:R26" xr:uid="{00000000-0002-0000-0000-000000000000}">
      <formula1>"SI,NO"</formula1>
    </dataValidation>
    <dataValidation type="list" allowBlank="1" showInputMessage="1" showErrorMessage="1" sqref="T22" xr:uid="{00000000-0002-0000-0000-000001000000}">
      <formula1>"BIL,SBIL_I,SBIL_C,SBIL_F,ALL"</formula1>
    </dataValidation>
    <dataValidation type="list" allowBlank="1" showInputMessage="1" showErrorMessage="1" sqref="T23" xr:uid="{00000000-0002-0000-0000-000002000000}">
      <formula1>"Costante,Crescente,Decrescente"</formula1>
    </dataValidation>
    <dataValidation type="list" allowBlank="1" showInputMessage="1" showErrorMessage="1" sqref="T24" xr:uid="{00000000-0002-0000-0000-000003000000}">
      <formula1>"85%,90%,95%"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o_fitness">
                <anchor moveWithCells="1" sizeWithCells="1">
                  <from>
                    <xdr:col>1</xdr:col>
                    <xdr:colOff>142875</xdr:colOff>
                    <xdr:row>19</xdr:row>
                    <xdr:rowOff>66675</xdr:rowOff>
                  </from>
                  <to>
                    <xdr:col>2</xdr:col>
                    <xdr:colOff>409575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SO">
                <anchor moveWithCells="1" sizeWithCells="1">
                  <from>
                    <xdr:col>4</xdr:col>
                    <xdr:colOff>257175</xdr:colOff>
                    <xdr:row>25</xdr:row>
                    <xdr:rowOff>28575</xdr:rowOff>
                  </from>
                  <to>
                    <xdr:col>6</xdr:col>
                    <xdr:colOff>390525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6" name="Button 121">
              <controlPr defaultSize="0" print="0" autoFill="0" autoPict="0" macro="[0]!importa_esempio">
                <anchor moveWithCells="1" sizeWithCells="1">
                  <from>
                    <xdr:col>12</xdr:col>
                    <xdr:colOff>9525</xdr:colOff>
                    <xdr:row>6</xdr:row>
                    <xdr:rowOff>66675</xdr:rowOff>
                  </from>
                  <to>
                    <xdr:col>14</xdr:col>
                    <xdr:colOff>295275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7" name="Button 275">
              <controlPr defaultSize="0" print="0" autoFill="0" autoPict="0" macro="[0]!simulazioni">
                <anchor moveWithCells="1" sizeWithCells="1">
                  <from>
                    <xdr:col>0</xdr:col>
                    <xdr:colOff>561975</xdr:colOff>
                    <xdr:row>25</xdr:row>
                    <xdr:rowOff>66675</xdr:rowOff>
                  </from>
                  <to>
                    <xdr:col>3</xdr:col>
                    <xdr:colOff>123825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8" name="Button 288">
              <controlPr defaultSize="0" print="0" autoFill="0" autoPict="0" macro="[0]!BINARY_SEARCH">
                <anchor moveWithCells="1" sizeWithCells="1">
                  <from>
                    <xdr:col>8</xdr:col>
                    <xdr:colOff>257175</xdr:colOff>
                    <xdr:row>32</xdr:row>
                    <xdr:rowOff>28575</xdr:rowOff>
                  </from>
                  <to>
                    <xdr:col>10</xdr:col>
                    <xdr:colOff>28575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/>
  <dimension ref="A1:G67"/>
  <sheetViews>
    <sheetView workbookViewId="0"/>
  </sheetViews>
  <sheetFormatPr defaultColWidth="8.86328125" defaultRowHeight="13.5"/>
  <sheetData>
    <row r="1" spans="1:7">
      <c r="A1" t="s">
        <v>69</v>
      </c>
      <c r="B1">
        <v>2</v>
      </c>
    </row>
    <row r="3" spans="1:7">
      <c r="A3" t="s">
        <v>70</v>
      </c>
      <c r="B3">
        <v>0</v>
      </c>
    </row>
    <row r="5" spans="1:7">
      <c r="A5" t="s">
        <v>71</v>
      </c>
      <c r="B5">
        <v>1</v>
      </c>
    </row>
    <row r="7" spans="1:7">
      <c r="A7" t="s">
        <v>72</v>
      </c>
      <c r="B7">
        <v>20</v>
      </c>
    </row>
    <row r="9" spans="1:7">
      <c r="A9" t="s">
        <v>73</v>
      </c>
      <c r="B9">
        <v>6</v>
      </c>
    </row>
    <row r="10" spans="1:7">
      <c r="A10" t="s">
        <v>74</v>
      </c>
      <c r="B10" t="s">
        <v>116</v>
      </c>
    </row>
    <row r="11" spans="1:7">
      <c r="A11" t="s">
        <v>75</v>
      </c>
      <c r="B11" t="s">
        <v>117</v>
      </c>
      <c r="C11" t="s">
        <v>118</v>
      </c>
      <c r="D11" t="s">
        <v>119</v>
      </c>
      <c r="E11" t="s">
        <v>120</v>
      </c>
      <c r="F11" t="s">
        <v>121</v>
      </c>
      <c r="G11" t="s">
        <v>122</v>
      </c>
    </row>
    <row r="12" spans="1:7">
      <c r="A12" t="s">
        <v>76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">
        <v>77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">
        <v>78</v>
      </c>
      <c r="B14">
        <v>5000</v>
      </c>
      <c r="C14">
        <v>5000</v>
      </c>
      <c r="D14">
        <v>5000</v>
      </c>
      <c r="E14">
        <v>5000</v>
      </c>
      <c r="F14">
        <v>5000</v>
      </c>
      <c r="G14">
        <v>5000</v>
      </c>
    </row>
    <row r="16" spans="1:7">
      <c r="A16" t="s">
        <v>79</v>
      </c>
      <c r="B16">
        <v>1</v>
      </c>
    </row>
    <row r="17" spans="1:2">
      <c r="A17" t="s">
        <v>80</v>
      </c>
      <c r="B17" t="s">
        <v>123</v>
      </c>
    </row>
    <row r="18" spans="1:2">
      <c r="A18" t="s">
        <v>81</v>
      </c>
      <c r="B18" t="s">
        <v>123</v>
      </c>
    </row>
    <row r="19" spans="1:2">
      <c r="A19" t="s">
        <v>82</v>
      </c>
      <c r="B19">
        <v>1</v>
      </c>
    </row>
    <row r="20" spans="1:2">
      <c r="A20" t="s">
        <v>83</v>
      </c>
      <c r="B20" t="s">
        <v>124</v>
      </c>
    </row>
    <row r="22" spans="1:2">
      <c r="A22" t="s">
        <v>84</v>
      </c>
      <c r="B22">
        <v>0</v>
      </c>
    </row>
    <row r="23" spans="1:2">
      <c r="A23" t="s">
        <v>85</v>
      </c>
    </row>
    <row r="25" spans="1:2">
      <c r="A25" t="s">
        <v>86</v>
      </c>
      <c r="B25">
        <v>2</v>
      </c>
    </row>
    <row r="27" spans="1:2">
      <c r="A27" t="s">
        <v>87</v>
      </c>
      <c r="B27">
        <v>2</v>
      </c>
    </row>
    <row r="28" spans="1:2">
      <c r="A28" t="s">
        <v>88</v>
      </c>
      <c r="B28">
        <v>0.95</v>
      </c>
    </row>
    <row r="30" spans="1:2">
      <c r="A30" t="s">
        <v>89</v>
      </c>
      <c r="B30">
        <v>1</v>
      </c>
    </row>
    <row r="31" spans="1:2">
      <c r="A31" t="s">
        <v>90</v>
      </c>
      <c r="B31">
        <v>0.05</v>
      </c>
    </row>
    <row r="32" spans="1:2">
      <c r="A32" t="s">
        <v>91</v>
      </c>
      <c r="B32">
        <v>0</v>
      </c>
    </row>
    <row r="33" spans="1:2">
      <c r="A33" t="s">
        <v>92</v>
      </c>
      <c r="B33">
        <v>1000</v>
      </c>
    </row>
    <row r="34" spans="1:2">
      <c r="A34" t="s">
        <v>93</v>
      </c>
      <c r="B34">
        <v>0.25</v>
      </c>
    </row>
    <row r="36" spans="1:2">
      <c r="A36" t="s">
        <v>94</v>
      </c>
      <c r="B36">
        <v>2</v>
      </c>
    </row>
    <row r="38" spans="1:2">
      <c r="A38" t="s">
        <v>95</v>
      </c>
      <c r="B38">
        <v>100</v>
      </c>
    </row>
    <row r="39" spans="1:2">
      <c r="A39" t="s">
        <v>96</v>
      </c>
      <c r="B39">
        <v>1</v>
      </c>
    </row>
    <row r="40" spans="1:2">
      <c r="A40" t="s">
        <v>97</v>
      </c>
      <c r="B40">
        <v>1</v>
      </c>
    </row>
    <row r="42" spans="1:2">
      <c r="A42" t="s">
        <v>98</v>
      </c>
      <c r="B42">
        <v>0</v>
      </c>
    </row>
    <row r="43" spans="1:2">
      <c r="A43" t="s">
        <v>99</v>
      </c>
      <c r="B43">
        <v>40</v>
      </c>
    </row>
    <row r="44" spans="1:2">
      <c r="A44" t="s">
        <v>100</v>
      </c>
      <c r="B44">
        <v>4000</v>
      </c>
    </row>
    <row r="46" spans="1:2">
      <c r="A46" t="s">
        <v>101</v>
      </c>
      <c r="B46">
        <v>0</v>
      </c>
    </row>
    <row r="47" spans="1:2">
      <c r="A47" t="s">
        <v>102</v>
      </c>
    </row>
    <row r="48" spans="1:2">
      <c r="A48" t="s">
        <v>103</v>
      </c>
    </row>
    <row r="50" spans="1:2">
      <c r="A50" t="s">
        <v>104</v>
      </c>
      <c r="B50">
        <v>2</v>
      </c>
    </row>
    <row r="52" spans="1:2">
      <c r="A52" t="s">
        <v>105</v>
      </c>
      <c r="B52">
        <v>10</v>
      </c>
    </row>
    <row r="54" spans="1:2">
      <c r="A54" t="s">
        <v>106</v>
      </c>
      <c r="B54">
        <v>0</v>
      </c>
    </row>
    <row r="55" spans="1:2">
      <c r="A55" t="s">
        <v>107</v>
      </c>
    </row>
    <row r="57" spans="1:2">
      <c r="A57" t="s">
        <v>108</v>
      </c>
      <c r="B57">
        <v>4</v>
      </c>
    </row>
    <row r="59" spans="1:2">
      <c r="A59" t="s">
        <v>109</v>
      </c>
      <c r="B59">
        <v>1</v>
      </c>
    </row>
    <row r="60" spans="1:2">
      <c r="A60" t="s">
        <v>110</v>
      </c>
      <c r="B60">
        <v>0</v>
      </c>
    </row>
    <row r="61" spans="1:2">
      <c r="A61" t="s">
        <v>111</v>
      </c>
      <c r="B61">
        <v>1000</v>
      </c>
    </row>
    <row r="63" spans="1:2">
      <c r="A63" t="s">
        <v>112</v>
      </c>
      <c r="B63">
        <v>0</v>
      </c>
    </row>
    <row r="64" spans="1:2">
      <c r="A64" t="s">
        <v>113</v>
      </c>
      <c r="B64">
        <v>1000</v>
      </c>
    </row>
    <row r="65" spans="1:2">
      <c r="A65" t="s">
        <v>114</v>
      </c>
    </row>
    <row r="67" spans="1:2">
      <c r="A67" t="s">
        <v>115</v>
      </c>
      <c r="B67">
        <v>1</v>
      </c>
    </row>
  </sheetData>
  <phoneticPr fontId="50" type="noConversion"/>
  <pageMargins left="0.7" right="0.7" top="0.75" bottom="0.75" header="0.3" footer="0.3"/>
  <pageSetup paperSize="11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AE5003"/>
  <sheetViews>
    <sheetView workbookViewId="0">
      <selection activeCell="B4" sqref="B4:F2003"/>
    </sheetView>
  </sheetViews>
  <sheetFormatPr defaultColWidth="8.86328125" defaultRowHeight="13.5"/>
  <sheetData>
    <row r="1" spans="1:31">
      <c r="A1" t="s">
        <v>3</v>
      </c>
    </row>
    <row r="2" spans="1:31" ht="14.65">
      <c r="B2" s="2" t="s">
        <v>2</v>
      </c>
      <c r="C2" s="2"/>
      <c r="D2" s="2"/>
    </row>
    <row r="3" spans="1:31" ht="14.65">
      <c r="A3" s="3" t="s">
        <v>1</v>
      </c>
      <c r="B3" s="2">
        <v>1</v>
      </c>
      <c r="C3" s="2">
        <v>2</v>
      </c>
      <c r="D3" s="2">
        <v>3</v>
      </c>
      <c r="E3" s="2">
        <v>4</v>
      </c>
      <c r="F3" s="2">
        <v>5</v>
      </c>
      <c r="G3" s="2">
        <v>6</v>
      </c>
      <c r="H3" s="2">
        <v>7</v>
      </c>
      <c r="I3" s="2">
        <v>8</v>
      </c>
      <c r="J3" s="2">
        <v>9</v>
      </c>
      <c r="K3" s="2">
        <v>10</v>
      </c>
      <c r="L3" s="2">
        <v>11</v>
      </c>
      <c r="M3" s="2">
        <v>12</v>
      </c>
      <c r="N3" s="2">
        <v>13</v>
      </c>
      <c r="O3" s="2">
        <v>14</v>
      </c>
      <c r="P3" s="2">
        <v>15</v>
      </c>
      <c r="Q3" s="2">
        <v>16</v>
      </c>
      <c r="R3" s="2">
        <v>17</v>
      </c>
      <c r="S3" s="2">
        <v>18</v>
      </c>
      <c r="T3" s="2">
        <v>19</v>
      </c>
      <c r="U3" s="2">
        <v>20</v>
      </c>
      <c r="V3" s="2">
        <v>21</v>
      </c>
      <c r="W3" s="2">
        <v>22</v>
      </c>
      <c r="X3" s="2">
        <v>23</v>
      </c>
      <c r="Y3" s="2">
        <v>24</v>
      </c>
      <c r="Z3" s="2">
        <v>25</v>
      </c>
      <c r="AA3" s="2">
        <v>26</v>
      </c>
      <c r="AB3" s="2">
        <v>27</v>
      </c>
      <c r="AC3" s="2">
        <v>28</v>
      </c>
      <c r="AD3" s="2">
        <v>29</v>
      </c>
      <c r="AE3" s="2">
        <v>30</v>
      </c>
    </row>
    <row r="4" spans="1:31">
      <c r="A4" s="11">
        <v>1</v>
      </c>
      <c r="B4">
        <v>3.2407560000000002</v>
      </c>
      <c r="C4">
        <v>0.72270299999999998</v>
      </c>
      <c r="D4">
        <v>0.709758</v>
      </c>
      <c r="E4">
        <v>1.993349</v>
      </c>
      <c r="F4">
        <v>12.308498999999999</v>
      </c>
    </row>
    <row r="5" spans="1:31">
      <c r="A5" s="11">
        <v>2</v>
      </c>
      <c r="B5">
        <v>7.9676999999999998E-2</v>
      </c>
      <c r="C5">
        <v>0.63799600000000001</v>
      </c>
      <c r="D5">
        <v>2.019936</v>
      </c>
      <c r="E5">
        <v>0.96169300000000002</v>
      </c>
      <c r="F5">
        <v>0.172819</v>
      </c>
    </row>
    <row r="6" spans="1:31">
      <c r="A6" s="11">
        <v>3</v>
      </c>
      <c r="B6">
        <v>1.0923989999999999</v>
      </c>
      <c r="C6">
        <v>0.88134199999999996</v>
      </c>
      <c r="D6">
        <v>0.89668499999999995</v>
      </c>
      <c r="E6">
        <v>5.2243180000000002</v>
      </c>
      <c r="F6">
        <v>1.979643</v>
      </c>
    </row>
    <row r="7" spans="1:31">
      <c r="A7" s="11">
        <v>4</v>
      </c>
      <c r="B7">
        <v>0.89578999999999998</v>
      </c>
      <c r="C7">
        <v>2.5624630000000002</v>
      </c>
      <c r="D7">
        <v>0.72724</v>
      </c>
      <c r="E7">
        <v>0.77515199999999995</v>
      </c>
      <c r="F7">
        <v>2.432455</v>
      </c>
    </row>
    <row r="8" spans="1:31">
      <c r="A8" s="11">
        <v>5</v>
      </c>
      <c r="B8">
        <v>2.6418330000000001</v>
      </c>
      <c r="C8">
        <v>0.86580000000000001</v>
      </c>
      <c r="D8">
        <v>0.53115699999999999</v>
      </c>
      <c r="E8">
        <v>2.0161989999999999</v>
      </c>
      <c r="F8">
        <v>0.71806000000000003</v>
      </c>
    </row>
    <row r="9" spans="1:31">
      <c r="A9" s="11">
        <v>6</v>
      </c>
      <c r="B9">
        <v>1.4876510000000001</v>
      </c>
      <c r="C9">
        <v>1.381311</v>
      </c>
      <c r="D9">
        <v>13.573331</v>
      </c>
      <c r="E9">
        <v>3.2607949999999999</v>
      </c>
      <c r="F9">
        <v>0.86609199999999997</v>
      </c>
    </row>
    <row r="10" spans="1:31">
      <c r="A10" s="11">
        <v>7</v>
      </c>
      <c r="B10">
        <v>2.4138259999999998</v>
      </c>
      <c r="C10">
        <v>0.275308</v>
      </c>
      <c r="D10">
        <v>0.42850300000000002</v>
      </c>
      <c r="E10">
        <v>0.30993100000000001</v>
      </c>
      <c r="F10">
        <v>3.201203</v>
      </c>
    </row>
    <row r="11" spans="1:31">
      <c r="A11" s="11">
        <v>8</v>
      </c>
      <c r="B11">
        <v>1.453552</v>
      </c>
      <c r="C11">
        <v>0.615676</v>
      </c>
      <c r="D11">
        <v>6.1864189999999999</v>
      </c>
      <c r="E11">
        <v>0.244898</v>
      </c>
      <c r="F11">
        <v>0.55164299999999999</v>
      </c>
    </row>
    <row r="12" spans="1:31">
      <c r="A12" s="11">
        <v>9</v>
      </c>
      <c r="B12">
        <v>0.96974199999999999</v>
      </c>
      <c r="C12">
        <v>8.2548999999999997E-2</v>
      </c>
      <c r="D12">
        <v>4.2526599999999997</v>
      </c>
      <c r="E12">
        <v>0.55027700000000002</v>
      </c>
      <c r="F12">
        <v>0.31462299999999999</v>
      </c>
    </row>
    <row r="13" spans="1:31">
      <c r="A13" s="11">
        <v>10</v>
      </c>
      <c r="B13">
        <v>2.2410299999999999</v>
      </c>
      <c r="C13">
        <v>5.1786779999999997</v>
      </c>
      <c r="D13">
        <v>0.200768</v>
      </c>
      <c r="E13">
        <v>1.8858999999999999</v>
      </c>
      <c r="F13">
        <v>0.187335</v>
      </c>
    </row>
    <row r="14" spans="1:31">
      <c r="A14" s="11">
        <v>11</v>
      </c>
      <c r="B14">
        <v>1.624112</v>
      </c>
      <c r="C14">
        <v>0.47560999999999998</v>
      </c>
      <c r="D14">
        <v>0.43793900000000002</v>
      </c>
      <c r="E14">
        <v>1.340876</v>
      </c>
      <c r="F14">
        <v>1.363588</v>
      </c>
    </row>
    <row r="15" spans="1:31">
      <c r="A15" s="11">
        <v>12</v>
      </c>
      <c r="B15">
        <v>2.0701580000000002</v>
      </c>
      <c r="C15">
        <v>0.97457099999999997</v>
      </c>
      <c r="D15">
        <v>1.4569209999999999</v>
      </c>
      <c r="E15">
        <v>0.73163900000000004</v>
      </c>
      <c r="F15">
        <v>2.4538479999999998</v>
      </c>
    </row>
    <row r="16" spans="1:31">
      <c r="A16" s="11">
        <v>13</v>
      </c>
      <c r="B16">
        <v>0.37417699999999998</v>
      </c>
      <c r="C16">
        <v>7.2126070000000002</v>
      </c>
      <c r="D16">
        <v>0.16553499999999999</v>
      </c>
      <c r="E16">
        <v>0.19059999999999999</v>
      </c>
      <c r="F16">
        <v>1.240289</v>
      </c>
    </row>
    <row r="17" spans="1:6">
      <c r="A17" s="11">
        <v>14</v>
      </c>
      <c r="B17">
        <v>0.73034100000000002</v>
      </c>
      <c r="C17">
        <v>0.78567600000000004</v>
      </c>
      <c r="D17">
        <v>0.62049900000000002</v>
      </c>
      <c r="E17">
        <v>16.325499000000001</v>
      </c>
      <c r="F17">
        <v>0.84804500000000005</v>
      </c>
    </row>
    <row r="18" spans="1:6">
      <c r="A18" s="11">
        <v>15</v>
      </c>
      <c r="B18">
        <v>0.14915600000000001</v>
      </c>
      <c r="C18">
        <v>0.24385799999999999</v>
      </c>
      <c r="D18">
        <v>0.30810700000000002</v>
      </c>
      <c r="E18">
        <v>3.780027</v>
      </c>
      <c r="F18">
        <v>0.40499400000000002</v>
      </c>
    </row>
    <row r="19" spans="1:6">
      <c r="A19" s="11">
        <v>16</v>
      </c>
      <c r="B19">
        <v>1.4641839999999999</v>
      </c>
      <c r="C19">
        <v>0.55899799999999999</v>
      </c>
      <c r="D19">
        <v>1.1959979999999999</v>
      </c>
      <c r="E19">
        <v>2.5488930000000001</v>
      </c>
      <c r="F19">
        <v>0.34711700000000001</v>
      </c>
    </row>
    <row r="20" spans="1:6">
      <c r="A20" s="11">
        <v>17</v>
      </c>
      <c r="B20">
        <v>0.88094600000000001</v>
      </c>
      <c r="C20">
        <v>2.680374</v>
      </c>
      <c r="D20">
        <v>0.78767100000000001</v>
      </c>
      <c r="E20">
        <v>1.3844939999999999</v>
      </c>
      <c r="F20">
        <v>1.1876009999999999</v>
      </c>
    </row>
    <row r="21" spans="1:6">
      <c r="A21" s="11">
        <v>18</v>
      </c>
      <c r="B21">
        <v>0.28582800000000003</v>
      </c>
      <c r="C21">
        <v>0.63673000000000002</v>
      </c>
      <c r="D21">
        <v>0.56026100000000001</v>
      </c>
      <c r="E21">
        <v>1.1264860000000001</v>
      </c>
      <c r="F21">
        <v>1.9791970000000001</v>
      </c>
    </row>
    <row r="22" spans="1:6">
      <c r="A22" s="11">
        <v>19</v>
      </c>
      <c r="B22">
        <v>1.467152</v>
      </c>
      <c r="C22">
        <v>3.7031489999999998</v>
      </c>
      <c r="D22">
        <v>0.18617300000000001</v>
      </c>
      <c r="E22">
        <v>1.2428650000000001</v>
      </c>
      <c r="F22">
        <v>0.453712</v>
      </c>
    </row>
    <row r="23" spans="1:6">
      <c r="A23" s="11">
        <v>20</v>
      </c>
      <c r="B23">
        <v>0.58763200000000004</v>
      </c>
      <c r="C23">
        <v>2.8092549999999998</v>
      </c>
      <c r="D23">
        <v>0.36593199999999998</v>
      </c>
      <c r="E23">
        <v>1.778268</v>
      </c>
      <c r="F23">
        <v>3.0184250000000001</v>
      </c>
    </row>
    <row r="24" spans="1:6">
      <c r="A24" s="11">
        <v>21</v>
      </c>
      <c r="B24">
        <v>0.33191700000000002</v>
      </c>
      <c r="C24">
        <v>4.2993000000000003E-2</v>
      </c>
      <c r="D24">
        <v>2.5204260000000001</v>
      </c>
      <c r="E24">
        <v>0.32205800000000001</v>
      </c>
      <c r="F24">
        <v>2.4286349999999999</v>
      </c>
    </row>
    <row r="25" spans="1:6">
      <c r="A25" s="11">
        <v>22</v>
      </c>
      <c r="B25">
        <v>0.272117</v>
      </c>
      <c r="C25">
        <v>1.64297</v>
      </c>
      <c r="D25">
        <v>3.1544029999999998</v>
      </c>
      <c r="E25">
        <v>0.139961</v>
      </c>
      <c r="F25">
        <v>5.2470569999999999</v>
      </c>
    </row>
    <row r="26" spans="1:6">
      <c r="A26" s="11">
        <v>23</v>
      </c>
      <c r="B26">
        <v>0.83362999999999998</v>
      </c>
      <c r="C26">
        <v>1.0799289999999999</v>
      </c>
      <c r="D26">
        <v>0.75255399999999995</v>
      </c>
      <c r="E26">
        <v>1.6635789999999999</v>
      </c>
      <c r="F26">
        <v>2.244936</v>
      </c>
    </row>
    <row r="27" spans="1:6">
      <c r="A27" s="11">
        <v>24</v>
      </c>
      <c r="B27">
        <v>3.1858420000000001</v>
      </c>
      <c r="C27">
        <v>0.61339999999999995</v>
      </c>
      <c r="D27">
        <v>0.29833500000000002</v>
      </c>
      <c r="E27">
        <v>1.8584350000000001</v>
      </c>
      <c r="F27">
        <v>0.133579</v>
      </c>
    </row>
    <row r="28" spans="1:6">
      <c r="A28" s="11">
        <v>25</v>
      </c>
      <c r="B28">
        <v>0.48529699999999998</v>
      </c>
      <c r="C28">
        <v>0.62806499999999998</v>
      </c>
      <c r="D28">
        <v>2.520918</v>
      </c>
      <c r="E28">
        <v>3.4308109999999998</v>
      </c>
      <c r="F28">
        <v>6.1244899999999998</v>
      </c>
    </row>
    <row r="29" spans="1:6">
      <c r="A29" s="11">
        <v>26</v>
      </c>
      <c r="B29">
        <v>1.608649</v>
      </c>
      <c r="C29">
        <v>4.0276889999999996</v>
      </c>
      <c r="D29">
        <v>1.093542</v>
      </c>
      <c r="E29">
        <v>0.60783399999999999</v>
      </c>
      <c r="F29">
        <v>2.8873769999999999</v>
      </c>
    </row>
    <row r="30" spans="1:6">
      <c r="A30" s="11">
        <v>27</v>
      </c>
      <c r="B30">
        <v>0.61479200000000001</v>
      </c>
      <c r="C30">
        <v>0.40074900000000002</v>
      </c>
      <c r="D30">
        <v>1.168277</v>
      </c>
      <c r="E30">
        <v>1.551194</v>
      </c>
      <c r="F30">
        <v>0.28009600000000001</v>
      </c>
    </row>
    <row r="31" spans="1:6">
      <c r="A31" s="11">
        <v>28</v>
      </c>
      <c r="B31">
        <v>0.43558400000000003</v>
      </c>
      <c r="C31">
        <v>2.7513999999999998</v>
      </c>
      <c r="D31">
        <v>2.20858</v>
      </c>
      <c r="E31">
        <v>2.0766749999999998</v>
      </c>
      <c r="F31">
        <v>6.734445</v>
      </c>
    </row>
    <row r="32" spans="1:6">
      <c r="A32" s="11">
        <v>29</v>
      </c>
      <c r="B32">
        <v>10.964304</v>
      </c>
      <c r="C32">
        <v>5.2529659999999998</v>
      </c>
      <c r="D32">
        <v>0.286742</v>
      </c>
      <c r="E32">
        <v>1.819396</v>
      </c>
      <c r="F32">
        <v>7.3034689999999998</v>
      </c>
    </row>
    <row r="33" spans="1:6">
      <c r="A33" s="11">
        <v>30</v>
      </c>
      <c r="B33">
        <v>2.2072959999999999</v>
      </c>
      <c r="C33">
        <v>0.42538300000000001</v>
      </c>
      <c r="D33">
        <v>1.364087</v>
      </c>
      <c r="E33">
        <v>0.51648499999999997</v>
      </c>
      <c r="F33">
        <v>1.3052440000000001</v>
      </c>
    </row>
    <row r="34" spans="1:6">
      <c r="A34" s="11">
        <v>31</v>
      </c>
      <c r="B34">
        <v>0.41453499999999999</v>
      </c>
      <c r="C34">
        <v>2.2464339999999998</v>
      </c>
      <c r="D34">
        <v>0.96393499999999999</v>
      </c>
      <c r="E34">
        <v>1.763782</v>
      </c>
      <c r="F34">
        <v>0.65</v>
      </c>
    </row>
    <row r="35" spans="1:6">
      <c r="A35" s="11">
        <v>32</v>
      </c>
      <c r="B35">
        <v>2.3343919999999998</v>
      </c>
      <c r="C35">
        <v>1.297393</v>
      </c>
      <c r="D35">
        <v>1.33395</v>
      </c>
      <c r="E35">
        <v>4.2809650000000001</v>
      </c>
      <c r="F35">
        <v>0.59890100000000002</v>
      </c>
    </row>
    <row r="36" spans="1:6">
      <c r="A36" s="11">
        <v>33</v>
      </c>
      <c r="B36">
        <v>2.5954679999999999</v>
      </c>
      <c r="C36">
        <v>4.8366400000000001</v>
      </c>
      <c r="D36">
        <v>1.2847139999999999</v>
      </c>
      <c r="E36">
        <v>8.9286910000000006</v>
      </c>
      <c r="F36">
        <v>3.3593299999999999</v>
      </c>
    </row>
    <row r="37" spans="1:6">
      <c r="A37" s="11">
        <v>34</v>
      </c>
      <c r="B37">
        <v>1.472688</v>
      </c>
      <c r="C37">
        <v>1.0301070000000001</v>
      </c>
      <c r="D37">
        <v>0.37404199999999999</v>
      </c>
      <c r="E37">
        <v>0.58805300000000005</v>
      </c>
      <c r="F37">
        <v>0.419854</v>
      </c>
    </row>
    <row r="38" spans="1:6">
      <c r="A38" s="11">
        <v>35</v>
      </c>
      <c r="B38">
        <v>0.75581900000000002</v>
      </c>
      <c r="C38">
        <v>1.8166260000000001</v>
      </c>
      <c r="D38">
        <v>0.75348899999999996</v>
      </c>
      <c r="E38">
        <v>0.51646800000000004</v>
      </c>
      <c r="F38">
        <v>0.41768899999999998</v>
      </c>
    </row>
    <row r="39" spans="1:6">
      <c r="A39" s="11">
        <v>36</v>
      </c>
      <c r="B39">
        <v>4.055409</v>
      </c>
      <c r="C39">
        <v>2.8355169999999998</v>
      </c>
      <c r="D39">
        <v>3.3341460000000001</v>
      </c>
      <c r="E39">
        <v>0.93938699999999997</v>
      </c>
      <c r="F39">
        <v>5.884468</v>
      </c>
    </row>
    <row r="40" spans="1:6">
      <c r="A40" s="11">
        <v>37</v>
      </c>
      <c r="B40">
        <v>0.39591799999999999</v>
      </c>
      <c r="C40">
        <v>3.4599190000000002</v>
      </c>
      <c r="D40">
        <v>2.382981</v>
      </c>
      <c r="E40">
        <v>2.625702</v>
      </c>
      <c r="F40">
        <v>1.7599039999999999</v>
      </c>
    </row>
    <row r="41" spans="1:6">
      <c r="A41" s="11">
        <v>38</v>
      </c>
      <c r="B41">
        <v>0.50419899999999995</v>
      </c>
      <c r="C41">
        <v>1.6272709999999999</v>
      </c>
      <c r="D41">
        <v>0.54741899999999999</v>
      </c>
      <c r="E41">
        <v>2.687935</v>
      </c>
      <c r="F41">
        <v>0.22642100000000001</v>
      </c>
    </row>
    <row r="42" spans="1:6">
      <c r="A42" s="11">
        <v>39</v>
      </c>
      <c r="B42">
        <v>0.70926900000000004</v>
      </c>
      <c r="C42">
        <v>1.540343</v>
      </c>
      <c r="D42">
        <v>0.54152999999999996</v>
      </c>
      <c r="E42">
        <v>0.82194800000000001</v>
      </c>
      <c r="F42">
        <v>0.26836100000000002</v>
      </c>
    </row>
    <row r="43" spans="1:6">
      <c r="A43" s="11">
        <v>40</v>
      </c>
      <c r="B43">
        <v>18.247534999999999</v>
      </c>
      <c r="C43">
        <v>1.526205</v>
      </c>
      <c r="D43">
        <v>0.81864700000000001</v>
      </c>
      <c r="E43">
        <v>1.5818030000000001</v>
      </c>
      <c r="F43">
        <v>1.2746249999999999</v>
      </c>
    </row>
    <row r="44" spans="1:6">
      <c r="A44" s="11">
        <v>41</v>
      </c>
      <c r="B44">
        <v>0.58340000000000003</v>
      </c>
      <c r="C44">
        <v>0.12577199999999999</v>
      </c>
      <c r="D44">
        <v>2.8187329999999999</v>
      </c>
      <c r="E44">
        <v>1.0324340000000001</v>
      </c>
      <c r="F44">
        <v>4.6638029999999997</v>
      </c>
    </row>
    <row r="45" spans="1:6">
      <c r="A45" s="11">
        <v>42</v>
      </c>
      <c r="B45">
        <v>1.249611</v>
      </c>
      <c r="C45">
        <v>1.9027069999999999</v>
      </c>
      <c r="D45">
        <v>0.54316500000000001</v>
      </c>
      <c r="E45">
        <v>2.6074470000000001</v>
      </c>
      <c r="F45">
        <v>13.281286</v>
      </c>
    </row>
    <row r="46" spans="1:6">
      <c r="A46" s="11">
        <v>43</v>
      </c>
      <c r="B46">
        <v>0.59272400000000003</v>
      </c>
      <c r="C46">
        <v>0.18043799999999999</v>
      </c>
      <c r="D46">
        <v>2.417341</v>
      </c>
      <c r="E46">
        <v>1.7169019999999999</v>
      </c>
      <c r="F46">
        <v>5.5611800000000002</v>
      </c>
    </row>
    <row r="47" spans="1:6">
      <c r="A47" s="11">
        <v>44</v>
      </c>
      <c r="B47">
        <v>1.7607269999999999</v>
      </c>
      <c r="C47">
        <v>0.28812399999999999</v>
      </c>
      <c r="D47">
        <v>0.78355399999999997</v>
      </c>
      <c r="E47">
        <v>0.448959</v>
      </c>
      <c r="F47">
        <v>1.971071</v>
      </c>
    </row>
    <row r="48" spans="1:6">
      <c r="A48" s="11">
        <v>45</v>
      </c>
      <c r="B48">
        <v>0.65052200000000004</v>
      </c>
      <c r="C48">
        <v>0.50468000000000002</v>
      </c>
      <c r="D48">
        <v>2.6789939999999999</v>
      </c>
      <c r="E48">
        <v>1.6006750000000001</v>
      </c>
      <c r="F48">
        <v>0.47004899999999999</v>
      </c>
    </row>
    <row r="49" spans="1:6">
      <c r="A49" s="11">
        <v>46</v>
      </c>
      <c r="B49">
        <v>3.3996019999999998</v>
      </c>
      <c r="C49">
        <v>1.4854099999999999</v>
      </c>
      <c r="D49">
        <v>2.82795</v>
      </c>
      <c r="E49">
        <v>2.5814319999999999</v>
      </c>
      <c r="F49">
        <v>1.431162</v>
      </c>
    </row>
    <row r="50" spans="1:6">
      <c r="A50" s="11">
        <v>47</v>
      </c>
      <c r="B50">
        <v>1.4384060000000001</v>
      </c>
      <c r="C50">
        <v>1.909395</v>
      </c>
      <c r="D50">
        <v>0.86779399999999995</v>
      </c>
      <c r="E50">
        <v>1.113299</v>
      </c>
      <c r="F50">
        <v>0.56847700000000001</v>
      </c>
    </row>
    <row r="51" spans="1:6">
      <c r="A51" s="11">
        <v>48</v>
      </c>
      <c r="B51">
        <v>3.0832519999999999</v>
      </c>
      <c r="C51">
        <v>4.5360209999999999</v>
      </c>
      <c r="D51">
        <v>0.48825099999999999</v>
      </c>
      <c r="E51">
        <v>2.8753700000000002</v>
      </c>
      <c r="F51">
        <v>1.529131</v>
      </c>
    </row>
    <row r="52" spans="1:6">
      <c r="A52" s="11">
        <v>49</v>
      </c>
      <c r="B52">
        <v>0.83287800000000001</v>
      </c>
      <c r="C52">
        <v>2.1840730000000002</v>
      </c>
      <c r="D52">
        <v>0.17469000000000001</v>
      </c>
      <c r="E52">
        <v>3.1408909999999999</v>
      </c>
      <c r="F52">
        <v>0.64381299999999997</v>
      </c>
    </row>
    <row r="53" spans="1:6">
      <c r="A53" s="11">
        <v>50</v>
      </c>
      <c r="B53">
        <v>1.2442359999999999</v>
      </c>
      <c r="C53">
        <v>0.25851099999999999</v>
      </c>
      <c r="D53">
        <v>1.31436</v>
      </c>
      <c r="E53">
        <v>0.45260699999999998</v>
      </c>
      <c r="F53">
        <v>1.290694</v>
      </c>
    </row>
    <row r="54" spans="1:6">
      <c r="A54" s="11">
        <v>51</v>
      </c>
      <c r="B54">
        <v>3.2666520000000001</v>
      </c>
      <c r="C54">
        <v>0.55343299999999995</v>
      </c>
      <c r="D54">
        <v>0.32342300000000002</v>
      </c>
      <c r="E54">
        <v>0.120939</v>
      </c>
      <c r="F54">
        <v>0.56891499999999995</v>
      </c>
    </row>
    <row r="55" spans="1:6">
      <c r="A55" s="11">
        <v>52</v>
      </c>
      <c r="B55">
        <v>0.67179900000000004</v>
      </c>
      <c r="C55">
        <v>0.93788099999999996</v>
      </c>
      <c r="D55">
        <v>1.378558</v>
      </c>
      <c r="E55">
        <v>0.21260999999999999</v>
      </c>
      <c r="F55">
        <v>1.1491690000000001</v>
      </c>
    </row>
    <row r="56" spans="1:6">
      <c r="A56" s="11">
        <v>53</v>
      </c>
      <c r="B56">
        <v>0.38209799999999999</v>
      </c>
      <c r="C56">
        <v>0.18721699999999999</v>
      </c>
      <c r="D56">
        <v>6.2420439999999999</v>
      </c>
      <c r="E56">
        <v>2.420912</v>
      </c>
      <c r="F56">
        <v>0.173014</v>
      </c>
    </row>
    <row r="57" spans="1:6">
      <c r="A57" s="11">
        <v>54</v>
      </c>
      <c r="B57">
        <v>4.0737920000000001</v>
      </c>
      <c r="C57">
        <v>0.19080900000000001</v>
      </c>
      <c r="D57">
        <v>0.179727</v>
      </c>
      <c r="E57">
        <v>3.0090219999999999</v>
      </c>
      <c r="F57">
        <v>1.2178279999999999</v>
      </c>
    </row>
    <row r="58" spans="1:6">
      <c r="A58" s="11">
        <v>55</v>
      </c>
      <c r="B58">
        <v>0.44544499999999998</v>
      </c>
      <c r="C58">
        <v>0.418514</v>
      </c>
      <c r="D58">
        <v>1.929252</v>
      </c>
      <c r="E58">
        <v>3.5540289999999999</v>
      </c>
      <c r="F58">
        <v>1.024394</v>
      </c>
    </row>
    <row r="59" spans="1:6">
      <c r="A59" s="11">
        <v>56</v>
      </c>
      <c r="B59">
        <v>1.2045399999999999</v>
      </c>
      <c r="C59">
        <v>20.884805</v>
      </c>
      <c r="D59">
        <v>5.1337770000000003</v>
      </c>
      <c r="E59">
        <v>1.093108</v>
      </c>
      <c r="F59">
        <v>2.378997</v>
      </c>
    </row>
    <row r="60" spans="1:6">
      <c r="A60" s="11">
        <v>57</v>
      </c>
      <c r="B60">
        <v>0.69473099999999999</v>
      </c>
      <c r="C60">
        <v>1.2796510000000001</v>
      </c>
      <c r="D60">
        <v>0.11645899999999999</v>
      </c>
      <c r="E60">
        <v>1.5773170000000001</v>
      </c>
      <c r="F60">
        <v>0.25744699999999998</v>
      </c>
    </row>
    <row r="61" spans="1:6">
      <c r="A61" s="11">
        <v>58</v>
      </c>
      <c r="B61">
        <v>0.43041600000000002</v>
      </c>
      <c r="C61">
        <v>5.3508519999999997</v>
      </c>
      <c r="D61">
        <v>6.2936120000000004</v>
      </c>
      <c r="E61">
        <v>2.1619739999999998</v>
      </c>
      <c r="F61">
        <v>1.3193820000000001</v>
      </c>
    </row>
    <row r="62" spans="1:6">
      <c r="A62" s="11">
        <v>59</v>
      </c>
      <c r="B62">
        <v>0.59797</v>
      </c>
      <c r="C62">
        <v>0.79305300000000001</v>
      </c>
      <c r="D62">
        <v>3.6078830000000002</v>
      </c>
      <c r="E62">
        <v>0.83805099999999999</v>
      </c>
      <c r="F62">
        <v>0.21525</v>
      </c>
    </row>
    <row r="63" spans="1:6">
      <c r="A63" s="11">
        <v>60</v>
      </c>
      <c r="B63">
        <v>0.56620599999999999</v>
      </c>
      <c r="C63">
        <v>0.33638600000000002</v>
      </c>
      <c r="D63">
        <v>0.21840200000000001</v>
      </c>
      <c r="E63">
        <v>17.617660999999998</v>
      </c>
      <c r="F63">
        <v>0.88388800000000001</v>
      </c>
    </row>
    <row r="64" spans="1:6">
      <c r="A64" s="11">
        <v>61</v>
      </c>
      <c r="B64">
        <v>5.5135319999999997</v>
      </c>
      <c r="C64">
        <v>0.31500600000000001</v>
      </c>
      <c r="D64">
        <v>1.6737709999999999</v>
      </c>
      <c r="E64">
        <v>5.453252</v>
      </c>
      <c r="F64">
        <v>1.0599559999999999</v>
      </c>
    </row>
    <row r="65" spans="1:6">
      <c r="A65" s="11">
        <v>62</v>
      </c>
      <c r="B65">
        <v>2.2247159999999999</v>
      </c>
      <c r="C65">
        <v>6.2274999999999997E-2</v>
      </c>
      <c r="D65">
        <v>0.33845500000000001</v>
      </c>
      <c r="E65">
        <v>2.3910529999999999</v>
      </c>
      <c r="F65">
        <v>5.9695410000000004</v>
      </c>
    </row>
    <row r="66" spans="1:6">
      <c r="A66" s="11">
        <v>63</v>
      </c>
      <c r="B66">
        <v>2.619548</v>
      </c>
      <c r="C66">
        <v>3.8965969999999999</v>
      </c>
      <c r="D66">
        <v>0.46032299999999998</v>
      </c>
      <c r="E66">
        <v>1.4938769999999999</v>
      </c>
      <c r="F66">
        <v>1.383097</v>
      </c>
    </row>
    <row r="67" spans="1:6">
      <c r="A67" s="11">
        <v>64</v>
      </c>
      <c r="B67">
        <v>1.930034</v>
      </c>
      <c r="C67">
        <v>1.587683</v>
      </c>
      <c r="D67">
        <v>13.910003</v>
      </c>
      <c r="E67">
        <v>0.332401</v>
      </c>
      <c r="F67">
        <v>0.16212099999999999</v>
      </c>
    </row>
    <row r="68" spans="1:6">
      <c r="A68" s="11">
        <v>65</v>
      </c>
      <c r="B68">
        <v>1.0351079999999999</v>
      </c>
      <c r="C68">
        <v>8.9290999999999995E-2</v>
      </c>
      <c r="D68">
        <v>0.35955700000000002</v>
      </c>
      <c r="E68">
        <v>8.2662309999999994</v>
      </c>
      <c r="F68">
        <v>0.74435300000000004</v>
      </c>
    </row>
    <row r="69" spans="1:6">
      <c r="A69" s="11">
        <v>66</v>
      </c>
      <c r="B69">
        <v>1.256046</v>
      </c>
      <c r="C69">
        <v>2.5515089999999998</v>
      </c>
      <c r="D69">
        <v>4.9636909999999999</v>
      </c>
      <c r="E69">
        <v>0.15526400000000001</v>
      </c>
      <c r="F69">
        <v>5.1279300000000001</v>
      </c>
    </row>
    <row r="70" spans="1:6">
      <c r="A70" s="11">
        <v>67</v>
      </c>
      <c r="B70">
        <v>2.4054000000000002</v>
      </c>
      <c r="C70">
        <v>2.246067</v>
      </c>
      <c r="D70">
        <v>1.228577</v>
      </c>
      <c r="E70">
        <v>1.399213</v>
      </c>
      <c r="F70">
        <v>0.25013299999999999</v>
      </c>
    </row>
    <row r="71" spans="1:6">
      <c r="A71" s="11">
        <v>68</v>
      </c>
      <c r="B71">
        <v>1.561817</v>
      </c>
      <c r="C71">
        <v>0.78126899999999999</v>
      </c>
      <c r="D71">
        <v>4.5340379999999998</v>
      </c>
      <c r="E71">
        <v>0.72955599999999998</v>
      </c>
      <c r="F71">
        <v>10.962974000000001</v>
      </c>
    </row>
    <row r="72" spans="1:6">
      <c r="A72" s="11">
        <v>69</v>
      </c>
      <c r="B72">
        <v>1.3204670000000001</v>
      </c>
      <c r="C72">
        <v>1.1431990000000001</v>
      </c>
      <c r="D72">
        <v>3.4241709999999999</v>
      </c>
      <c r="E72">
        <v>0.35907800000000001</v>
      </c>
      <c r="F72">
        <v>0.31052200000000002</v>
      </c>
    </row>
    <row r="73" spans="1:6">
      <c r="A73" s="11">
        <v>70</v>
      </c>
      <c r="B73">
        <v>7.1827399999999999</v>
      </c>
      <c r="C73">
        <v>0.67474699999999999</v>
      </c>
      <c r="D73">
        <v>1.2871459999999999</v>
      </c>
      <c r="E73">
        <v>5.2688969999999999</v>
      </c>
      <c r="F73">
        <v>0.77583800000000003</v>
      </c>
    </row>
    <row r="74" spans="1:6">
      <c r="A74" s="11">
        <v>71</v>
      </c>
      <c r="B74">
        <v>0.65022000000000002</v>
      </c>
      <c r="C74">
        <v>0.76610400000000001</v>
      </c>
      <c r="D74">
        <v>2.2053250000000002</v>
      </c>
      <c r="E74">
        <v>1.5149349999999999</v>
      </c>
      <c r="F74">
        <v>0.88611099999999998</v>
      </c>
    </row>
    <row r="75" spans="1:6">
      <c r="A75" s="11">
        <v>72</v>
      </c>
      <c r="B75">
        <v>0.49397099999999999</v>
      </c>
      <c r="C75">
        <v>0.14203099999999999</v>
      </c>
      <c r="D75">
        <v>1.5679160000000001</v>
      </c>
      <c r="E75">
        <v>2.1627779999999999</v>
      </c>
      <c r="F75">
        <v>19.227405000000001</v>
      </c>
    </row>
    <row r="76" spans="1:6">
      <c r="A76" s="11">
        <v>73</v>
      </c>
      <c r="B76">
        <v>1.0553859999999999</v>
      </c>
      <c r="C76">
        <v>0.39046900000000001</v>
      </c>
      <c r="D76">
        <v>0.163104</v>
      </c>
      <c r="E76">
        <v>0.39411800000000002</v>
      </c>
      <c r="F76">
        <v>3.9770449999999999</v>
      </c>
    </row>
    <row r="77" spans="1:6">
      <c r="A77" s="11">
        <v>74</v>
      </c>
      <c r="B77">
        <v>0.69276400000000005</v>
      </c>
      <c r="C77">
        <v>0.63061900000000004</v>
      </c>
      <c r="D77">
        <v>0.86457399999999995</v>
      </c>
      <c r="E77">
        <v>5.1632360000000004</v>
      </c>
      <c r="F77">
        <v>1.1314409999999999</v>
      </c>
    </row>
    <row r="78" spans="1:6">
      <c r="A78" s="11">
        <v>75</v>
      </c>
      <c r="B78">
        <v>1.7610980000000001</v>
      </c>
      <c r="C78">
        <v>1.886919</v>
      </c>
      <c r="D78">
        <v>0.31735099999999999</v>
      </c>
      <c r="E78">
        <v>5.0648739999999997</v>
      </c>
      <c r="F78">
        <v>0.74149200000000004</v>
      </c>
    </row>
    <row r="79" spans="1:6">
      <c r="A79" s="11">
        <v>76</v>
      </c>
      <c r="B79">
        <v>0.18803800000000001</v>
      </c>
      <c r="C79">
        <v>1.624557</v>
      </c>
      <c r="D79">
        <v>0.231771</v>
      </c>
      <c r="E79">
        <v>0.29973</v>
      </c>
      <c r="F79">
        <v>1.2845359999999999</v>
      </c>
    </row>
    <row r="80" spans="1:6">
      <c r="A80" s="11">
        <v>77</v>
      </c>
      <c r="B80">
        <v>1.2910680000000001</v>
      </c>
      <c r="C80">
        <v>0.99442399999999997</v>
      </c>
      <c r="D80">
        <v>0.33840799999999999</v>
      </c>
      <c r="E80">
        <v>0.53224499999999997</v>
      </c>
      <c r="F80">
        <v>0.52222000000000002</v>
      </c>
    </row>
    <row r="81" spans="1:6">
      <c r="A81" s="11">
        <v>78</v>
      </c>
      <c r="B81">
        <v>4.2996699999999999</v>
      </c>
      <c r="C81">
        <v>1.8311230000000001</v>
      </c>
      <c r="D81">
        <v>3.925897</v>
      </c>
      <c r="E81">
        <v>0.22011600000000001</v>
      </c>
      <c r="F81">
        <v>2.2552289999999999</v>
      </c>
    </row>
    <row r="82" spans="1:6">
      <c r="A82" s="11">
        <v>79</v>
      </c>
      <c r="B82">
        <v>0.52886500000000003</v>
      </c>
      <c r="C82">
        <v>1.325993</v>
      </c>
      <c r="D82">
        <v>3.4301219999999999</v>
      </c>
      <c r="E82">
        <v>2.2380360000000001</v>
      </c>
      <c r="F82">
        <v>2.3677480000000002</v>
      </c>
    </row>
    <row r="83" spans="1:6">
      <c r="A83" s="11">
        <v>80</v>
      </c>
      <c r="B83">
        <v>1.585626</v>
      </c>
      <c r="C83">
        <v>2.6335609999999998</v>
      </c>
      <c r="D83">
        <v>0.35751899999999998</v>
      </c>
      <c r="E83">
        <v>0.87234100000000003</v>
      </c>
      <c r="F83">
        <v>1.6648689999999999</v>
      </c>
    </row>
    <row r="84" spans="1:6">
      <c r="A84" s="11">
        <v>81</v>
      </c>
      <c r="B84">
        <v>0.55004699999999995</v>
      </c>
      <c r="C84">
        <v>1.257325</v>
      </c>
      <c r="D84">
        <v>4.0062329999999999</v>
      </c>
      <c r="E84">
        <v>2.3504679999999998</v>
      </c>
      <c r="F84">
        <v>0.73045599999999999</v>
      </c>
    </row>
    <row r="85" spans="1:6">
      <c r="A85" s="11">
        <v>82</v>
      </c>
      <c r="B85">
        <v>1.177508</v>
      </c>
      <c r="C85">
        <v>0.86596200000000001</v>
      </c>
      <c r="D85">
        <v>5.013058</v>
      </c>
      <c r="E85">
        <v>4.9173140000000002</v>
      </c>
      <c r="F85">
        <v>0.524482</v>
      </c>
    </row>
    <row r="86" spans="1:6">
      <c r="A86" s="11">
        <v>83</v>
      </c>
      <c r="B86">
        <v>3.5757669999999999</v>
      </c>
      <c r="C86">
        <v>4.5390600000000001</v>
      </c>
      <c r="D86">
        <v>0.409584</v>
      </c>
      <c r="E86">
        <v>1.4391449999999999</v>
      </c>
      <c r="F86">
        <v>8.0449649999999995</v>
      </c>
    </row>
    <row r="87" spans="1:6">
      <c r="A87" s="11">
        <v>84</v>
      </c>
      <c r="B87">
        <v>0.15629799999999999</v>
      </c>
      <c r="C87">
        <v>0.700708</v>
      </c>
      <c r="D87">
        <v>2.0709140000000001</v>
      </c>
      <c r="E87">
        <v>2.6841200000000001</v>
      </c>
      <c r="F87">
        <v>0.91710199999999997</v>
      </c>
    </row>
    <row r="88" spans="1:6">
      <c r="A88" s="11">
        <v>85</v>
      </c>
      <c r="B88">
        <v>3.2702170000000002</v>
      </c>
      <c r="C88">
        <v>1.632198</v>
      </c>
      <c r="D88">
        <v>0.17368</v>
      </c>
      <c r="E88">
        <v>0.44486500000000001</v>
      </c>
      <c r="F88">
        <v>2.5513849999999998</v>
      </c>
    </row>
    <row r="89" spans="1:6">
      <c r="A89" s="11">
        <v>86</v>
      </c>
      <c r="B89">
        <v>6.6937519999999999</v>
      </c>
      <c r="C89">
        <v>6.079472</v>
      </c>
      <c r="D89">
        <v>3.6428020000000001</v>
      </c>
      <c r="E89">
        <v>0.69450100000000003</v>
      </c>
      <c r="F89">
        <v>0.46666999999999997</v>
      </c>
    </row>
    <row r="90" spans="1:6">
      <c r="A90" s="11">
        <v>87</v>
      </c>
      <c r="B90">
        <v>1.654987</v>
      </c>
      <c r="C90">
        <v>1.314014</v>
      </c>
      <c r="D90">
        <v>1.579313</v>
      </c>
      <c r="E90">
        <v>0.52003299999999997</v>
      </c>
      <c r="F90">
        <v>2.4021129999999999</v>
      </c>
    </row>
    <row r="91" spans="1:6">
      <c r="A91" s="11">
        <v>88</v>
      </c>
      <c r="B91">
        <v>0.67878700000000003</v>
      </c>
      <c r="C91">
        <v>0.49689299999999997</v>
      </c>
      <c r="D91">
        <v>3.8359730000000001</v>
      </c>
      <c r="E91">
        <v>1.68553</v>
      </c>
      <c r="F91">
        <v>1.0536989999999999</v>
      </c>
    </row>
    <row r="92" spans="1:6">
      <c r="A92" s="11">
        <v>89</v>
      </c>
      <c r="B92">
        <v>1.8790690000000001</v>
      </c>
      <c r="C92">
        <v>0.36488999999999999</v>
      </c>
      <c r="D92">
        <v>2.0372629999999998</v>
      </c>
      <c r="E92">
        <v>0.54609700000000005</v>
      </c>
      <c r="F92">
        <v>2.1041910000000001</v>
      </c>
    </row>
    <row r="93" spans="1:6">
      <c r="A93" s="11">
        <v>90</v>
      </c>
      <c r="B93">
        <v>25.597757999999999</v>
      </c>
      <c r="C93">
        <v>3.1486200000000002</v>
      </c>
      <c r="D93">
        <v>1.7473209999999999</v>
      </c>
      <c r="E93">
        <v>1.069833</v>
      </c>
      <c r="F93">
        <v>14.451988999999999</v>
      </c>
    </row>
    <row r="94" spans="1:6">
      <c r="A94" s="11">
        <v>91</v>
      </c>
      <c r="B94">
        <v>0.60717399999999999</v>
      </c>
      <c r="C94">
        <v>2.7352889999999999</v>
      </c>
      <c r="D94">
        <v>0.87354600000000004</v>
      </c>
      <c r="E94">
        <v>2.2576689999999999</v>
      </c>
      <c r="F94">
        <v>0.34732299999999999</v>
      </c>
    </row>
    <row r="95" spans="1:6">
      <c r="A95" s="11">
        <v>92</v>
      </c>
      <c r="B95">
        <v>1.9182859999999999</v>
      </c>
      <c r="C95">
        <v>0.40817500000000001</v>
      </c>
      <c r="D95">
        <v>8.7066000000000004E-2</v>
      </c>
      <c r="E95">
        <v>1.029007</v>
      </c>
      <c r="F95">
        <v>0.22678200000000001</v>
      </c>
    </row>
    <row r="96" spans="1:6">
      <c r="A96" s="11">
        <v>93</v>
      </c>
      <c r="B96">
        <v>5.5012540000000003</v>
      </c>
      <c r="C96">
        <v>0.359649</v>
      </c>
      <c r="D96">
        <v>1.684385</v>
      </c>
      <c r="E96">
        <v>2.8152819999999998</v>
      </c>
      <c r="F96">
        <v>1.070119</v>
      </c>
    </row>
    <row r="97" spans="1:6">
      <c r="A97" s="11">
        <v>94</v>
      </c>
      <c r="B97">
        <v>2.0059170000000002</v>
      </c>
      <c r="C97">
        <v>0.69552400000000003</v>
      </c>
      <c r="D97">
        <v>0.33513900000000002</v>
      </c>
      <c r="E97">
        <v>1.446734</v>
      </c>
      <c r="F97">
        <v>0.602576</v>
      </c>
    </row>
    <row r="98" spans="1:6">
      <c r="A98" s="11">
        <v>95</v>
      </c>
      <c r="B98">
        <v>2.3178179999999999</v>
      </c>
      <c r="C98">
        <v>0.32266699999999998</v>
      </c>
      <c r="D98">
        <v>0.18129899999999999</v>
      </c>
      <c r="E98">
        <v>0.69473600000000002</v>
      </c>
      <c r="F98">
        <v>2.4003160000000001</v>
      </c>
    </row>
    <row r="99" spans="1:6">
      <c r="A99" s="11">
        <v>96</v>
      </c>
      <c r="B99">
        <v>8.6551369999999999</v>
      </c>
      <c r="C99">
        <v>7.7763780000000002</v>
      </c>
      <c r="D99">
        <v>7.3248999999999995E-2</v>
      </c>
      <c r="E99">
        <v>1.141726</v>
      </c>
      <c r="F99">
        <v>3.0579580000000002</v>
      </c>
    </row>
    <row r="100" spans="1:6">
      <c r="A100" s="11">
        <v>97</v>
      </c>
      <c r="B100">
        <v>0.66733399999999998</v>
      </c>
      <c r="C100">
        <v>2.0774759999999999</v>
      </c>
      <c r="D100">
        <v>0.58857800000000005</v>
      </c>
      <c r="E100">
        <v>1.9084429999999999</v>
      </c>
      <c r="F100">
        <v>3.5124420000000001</v>
      </c>
    </row>
    <row r="101" spans="1:6">
      <c r="A101" s="11">
        <v>98</v>
      </c>
      <c r="B101">
        <v>1.5555319999999999</v>
      </c>
      <c r="C101">
        <v>8.5054000000000005E-2</v>
      </c>
      <c r="D101">
        <v>0.49421300000000001</v>
      </c>
      <c r="E101">
        <v>1.844403</v>
      </c>
      <c r="F101">
        <v>1.0989949999999999</v>
      </c>
    </row>
    <row r="102" spans="1:6">
      <c r="A102" s="11">
        <v>99</v>
      </c>
      <c r="B102">
        <v>1.627386</v>
      </c>
      <c r="C102">
        <v>0.17344300000000001</v>
      </c>
      <c r="D102">
        <v>0.42739899999999997</v>
      </c>
      <c r="E102">
        <v>0.62603299999999995</v>
      </c>
      <c r="F102">
        <v>0.18657399999999999</v>
      </c>
    </row>
    <row r="103" spans="1:6">
      <c r="A103" s="11">
        <v>100</v>
      </c>
      <c r="B103">
        <v>1.6543129999999999</v>
      </c>
      <c r="C103">
        <v>0.38582</v>
      </c>
      <c r="D103">
        <v>1.024899</v>
      </c>
      <c r="E103">
        <v>1.7515890000000001</v>
      </c>
      <c r="F103">
        <v>0.82819299999999996</v>
      </c>
    </row>
    <row r="104" spans="1:6">
      <c r="A104" s="11">
        <v>101</v>
      </c>
      <c r="B104">
        <v>0.268341</v>
      </c>
      <c r="C104">
        <v>2.5835880000000002</v>
      </c>
      <c r="D104">
        <v>0.77531300000000003</v>
      </c>
      <c r="E104">
        <v>1.302789</v>
      </c>
      <c r="F104">
        <v>0.67930800000000002</v>
      </c>
    </row>
    <row r="105" spans="1:6">
      <c r="A105" s="11">
        <v>102</v>
      </c>
      <c r="B105">
        <v>1.9339930000000001</v>
      </c>
      <c r="C105">
        <v>0.24238699999999999</v>
      </c>
      <c r="D105">
        <v>2.899921</v>
      </c>
      <c r="E105">
        <v>2.2187109999999999</v>
      </c>
      <c r="F105">
        <v>4.2705669999999998</v>
      </c>
    </row>
    <row r="106" spans="1:6">
      <c r="A106" s="11">
        <v>103</v>
      </c>
      <c r="B106">
        <v>4.9842430000000002</v>
      </c>
      <c r="C106">
        <v>2.1748889999999999</v>
      </c>
      <c r="D106">
        <v>0.25859100000000002</v>
      </c>
      <c r="E106">
        <v>0.42280699999999999</v>
      </c>
      <c r="F106">
        <v>0.98926899999999995</v>
      </c>
    </row>
    <row r="107" spans="1:6">
      <c r="A107" s="11">
        <v>104</v>
      </c>
      <c r="B107">
        <v>0.37067899999999998</v>
      </c>
      <c r="C107">
        <v>0.18104200000000001</v>
      </c>
      <c r="D107">
        <v>0.104819</v>
      </c>
      <c r="E107">
        <v>1.9339280000000001</v>
      </c>
      <c r="F107">
        <v>0.21834600000000001</v>
      </c>
    </row>
    <row r="108" spans="1:6">
      <c r="A108" s="11">
        <v>105</v>
      </c>
      <c r="B108">
        <v>1.057237</v>
      </c>
      <c r="C108">
        <v>7.1965110000000001</v>
      </c>
      <c r="D108">
        <v>1.042586</v>
      </c>
      <c r="E108">
        <v>0.59580299999999997</v>
      </c>
      <c r="F108">
        <v>1.1571880000000001</v>
      </c>
    </row>
    <row r="109" spans="1:6">
      <c r="A109" s="11">
        <v>106</v>
      </c>
      <c r="B109">
        <v>1.356897</v>
      </c>
      <c r="C109">
        <v>0.40344400000000002</v>
      </c>
      <c r="D109">
        <v>0.39405400000000002</v>
      </c>
      <c r="E109">
        <v>0.53186599999999995</v>
      </c>
      <c r="F109">
        <v>1.1546000000000001</v>
      </c>
    </row>
    <row r="110" spans="1:6">
      <c r="A110" s="11">
        <v>107</v>
      </c>
      <c r="B110">
        <v>7.36646</v>
      </c>
      <c r="C110">
        <v>0.90902099999999997</v>
      </c>
      <c r="D110">
        <v>7.647551</v>
      </c>
      <c r="E110">
        <v>0.68431200000000003</v>
      </c>
      <c r="F110">
        <v>6.1177349999999997</v>
      </c>
    </row>
    <row r="111" spans="1:6">
      <c r="A111" s="11">
        <v>108</v>
      </c>
      <c r="B111">
        <v>0.59563900000000003</v>
      </c>
      <c r="C111">
        <v>1.5483549999999999</v>
      </c>
      <c r="D111">
        <v>2.2403339999999998</v>
      </c>
      <c r="E111">
        <v>1.399975</v>
      </c>
      <c r="F111">
        <v>0.399841</v>
      </c>
    </row>
    <row r="112" spans="1:6">
      <c r="A112" s="11">
        <v>109</v>
      </c>
      <c r="B112">
        <v>1.8021670000000001</v>
      </c>
      <c r="C112">
        <v>4.2443390000000001</v>
      </c>
      <c r="D112">
        <v>0.133358</v>
      </c>
      <c r="E112">
        <v>1.21774</v>
      </c>
      <c r="F112">
        <v>13.098520000000001</v>
      </c>
    </row>
    <row r="113" spans="1:6">
      <c r="A113" s="11">
        <v>110</v>
      </c>
      <c r="B113">
        <v>3.897243</v>
      </c>
      <c r="C113">
        <v>3.6503260000000002</v>
      </c>
      <c r="D113">
        <v>1.4378120000000001</v>
      </c>
      <c r="E113">
        <v>1.7905070000000001</v>
      </c>
      <c r="F113">
        <v>0.202043</v>
      </c>
    </row>
    <row r="114" spans="1:6">
      <c r="A114" s="11">
        <v>111</v>
      </c>
      <c r="B114">
        <v>1.9395420000000001</v>
      </c>
      <c r="C114">
        <v>0.191775</v>
      </c>
      <c r="D114">
        <v>0.92139099999999996</v>
      </c>
      <c r="E114">
        <v>1.6091260000000001</v>
      </c>
      <c r="F114">
        <v>2.3153709999999998</v>
      </c>
    </row>
    <row r="115" spans="1:6">
      <c r="A115" s="11">
        <v>112</v>
      </c>
      <c r="B115">
        <v>4.2643339999999998</v>
      </c>
      <c r="C115">
        <v>0.80145500000000003</v>
      </c>
      <c r="D115">
        <v>0.91191100000000003</v>
      </c>
      <c r="E115">
        <v>0.56898899999999997</v>
      </c>
      <c r="F115">
        <v>4.5035150000000002</v>
      </c>
    </row>
    <row r="116" spans="1:6">
      <c r="A116" s="11">
        <v>113</v>
      </c>
      <c r="B116">
        <v>3.146925</v>
      </c>
      <c r="C116">
        <v>1.8203720000000001</v>
      </c>
      <c r="D116">
        <v>1.646361</v>
      </c>
      <c r="E116">
        <v>0.56275699999999995</v>
      </c>
      <c r="F116">
        <v>0.46777099999999999</v>
      </c>
    </row>
    <row r="117" spans="1:6">
      <c r="A117" s="11">
        <v>114</v>
      </c>
      <c r="B117">
        <v>2.9470040000000002</v>
      </c>
      <c r="C117">
        <v>0.37476700000000002</v>
      </c>
      <c r="D117">
        <v>0.75119400000000003</v>
      </c>
      <c r="E117">
        <v>0.629583</v>
      </c>
      <c r="F117">
        <v>0.178205</v>
      </c>
    </row>
    <row r="118" spans="1:6">
      <c r="A118" s="11">
        <v>115</v>
      </c>
      <c r="B118">
        <v>0.31732900000000003</v>
      </c>
      <c r="C118">
        <v>0.61786799999999997</v>
      </c>
      <c r="D118">
        <v>0.51417299999999999</v>
      </c>
      <c r="E118">
        <v>0.83523599999999998</v>
      </c>
      <c r="F118">
        <v>1.0748450000000001</v>
      </c>
    </row>
    <row r="119" spans="1:6">
      <c r="A119" s="11">
        <v>116</v>
      </c>
      <c r="B119">
        <v>0.58566700000000005</v>
      </c>
      <c r="C119">
        <v>3.523253</v>
      </c>
      <c r="D119">
        <v>2.5955599999999999</v>
      </c>
      <c r="E119">
        <v>0.88768100000000005</v>
      </c>
      <c r="F119">
        <v>1.104592</v>
      </c>
    </row>
    <row r="120" spans="1:6">
      <c r="A120" s="11">
        <v>117</v>
      </c>
      <c r="B120">
        <v>1.5008079999999999</v>
      </c>
      <c r="C120">
        <v>1.0502149999999999</v>
      </c>
      <c r="D120">
        <v>8.2756999999999997E-2</v>
      </c>
      <c r="E120">
        <v>3.6124830000000001</v>
      </c>
      <c r="F120">
        <v>2.3098510000000001</v>
      </c>
    </row>
    <row r="121" spans="1:6">
      <c r="A121" s="11">
        <v>118</v>
      </c>
      <c r="B121">
        <v>1.0765530000000001</v>
      </c>
      <c r="C121">
        <v>3.4150230000000001</v>
      </c>
      <c r="D121">
        <v>1.709732</v>
      </c>
      <c r="E121">
        <v>1.8002819999999999</v>
      </c>
      <c r="F121">
        <v>3.292087</v>
      </c>
    </row>
    <row r="122" spans="1:6">
      <c r="A122" s="11">
        <v>119</v>
      </c>
      <c r="B122">
        <v>3.027355</v>
      </c>
      <c r="C122">
        <v>0.25750600000000001</v>
      </c>
      <c r="D122">
        <v>0.95533500000000005</v>
      </c>
      <c r="E122">
        <v>1.405699</v>
      </c>
      <c r="F122">
        <v>0.193853</v>
      </c>
    </row>
    <row r="123" spans="1:6">
      <c r="A123" s="11">
        <v>120</v>
      </c>
      <c r="B123">
        <v>0.35084199999999999</v>
      </c>
      <c r="C123">
        <v>0.11848499999999999</v>
      </c>
      <c r="D123">
        <v>0.52893100000000004</v>
      </c>
      <c r="E123">
        <v>0.50857600000000003</v>
      </c>
      <c r="F123">
        <v>1.4026810000000001</v>
      </c>
    </row>
    <row r="124" spans="1:6">
      <c r="A124" s="11">
        <v>121</v>
      </c>
      <c r="B124">
        <v>2.2444169999999999</v>
      </c>
      <c r="C124">
        <v>0.41106900000000002</v>
      </c>
      <c r="D124">
        <v>1.5487470000000001</v>
      </c>
      <c r="E124">
        <v>1.2720959999999999</v>
      </c>
      <c r="F124">
        <v>0.23924599999999999</v>
      </c>
    </row>
    <row r="125" spans="1:6">
      <c r="A125" s="11">
        <v>122</v>
      </c>
      <c r="B125">
        <v>1.284708</v>
      </c>
      <c r="C125">
        <v>0.69979800000000003</v>
      </c>
      <c r="D125">
        <v>3.381732</v>
      </c>
      <c r="E125">
        <v>2.5100150000000001</v>
      </c>
      <c r="F125">
        <v>0.46759899999999999</v>
      </c>
    </row>
    <row r="126" spans="1:6">
      <c r="A126" s="11">
        <v>123</v>
      </c>
      <c r="B126">
        <v>0.374251</v>
      </c>
      <c r="C126">
        <v>0.63693999999999995</v>
      </c>
      <c r="D126">
        <v>1.892058</v>
      </c>
      <c r="E126">
        <v>0.30124899999999999</v>
      </c>
      <c r="F126">
        <v>0.99823300000000004</v>
      </c>
    </row>
    <row r="127" spans="1:6">
      <c r="A127" s="11">
        <v>124</v>
      </c>
      <c r="B127">
        <v>0.29203499999999999</v>
      </c>
      <c r="C127">
        <v>0.23708599999999999</v>
      </c>
      <c r="D127">
        <v>4.1574270000000002</v>
      </c>
      <c r="E127">
        <v>1.249719</v>
      </c>
      <c r="F127">
        <v>0.52646800000000005</v>
      </c>
    </row>
    <row r="128" spans="1:6">
      <c r="A128" s="11">
        <v>125</v>
      </c>
      <c r="B128">
        <v>0.31585999999999997</v>
      </c>
      <c r="C128">
        <v>2.037731</v>
      </c>
      <c r="D128">
        <v>0.20050699999999999</v>
      </c>
      <c r="E128">
        <v>0.84276300000000004</v>
      </c>
      <c r="F128">
        <v>0.27948400000000001</v>
      </c>
    </row>
    <row r="129" spans="1:6">
      <c r="A129" s="11">
        <v>126</v>
      </c>
      <c r="B129">
        <v>0.21351200000000001</v>
      </c>
      <c r="C129">
        <v>1.21526</v>
      </c>
      <c r="D129">
        <v>1.6781379999999999</v>
      </c>
      <c r="E129">
        <v>6.3183400000000001</v>
      </c>
      <c r="F129">
        <v>0.28786699999999998</v>
      </c>
    </row>
    <row r="130" spans="1:6">
      <c r="A130" s="11">
        <v>127</v>
      </c>
      <c r="B130">
        <v>0.29768899999999998</v>
      </c>
      <c r="C130">
        <v>8.9789999999999995E-2</v>
      </c>
      <c r="D130">
        <v>1.77288</v>
      </c>
      <c r="E130">
        <v>1.64689</v>
      </c>
      <c r="F130">
        <v>0.96758100000000002</v>
      </c>
    </row>
    <row r="131" spans="1:6">
      <c r="A131" s="11">
        <v>128</v>
      </c>
      <c r="B131">
        <v>0.23211200000000001</v>
      </c>
      <c r="C131">
        <v>2.2135090000000002</v>
      </c>
      <c r="D131">
        <v>0.561504</v>
      </c>
      <c r="E131">
        <v>0.49764199999999997</v>
      </c>
      <c r="F131">
        <v>3.5708950000000002</v>
      </c>
    </row>
    <row r="132" spans="1:6">
      <c r="A132" s="11">
        <v>129</v>
      </c>
      <c r="B132">
        <v>1.5107280000000001</v>
      </c>
      <c r="C132">
        <v>0.54215899999999995</v>
      </c>
      <c r="D132">
        <v>1.769987</v>
      </c>
      <c r="E132">
        <v>7.465808</v>
      </c>
      <c r="F132">
        <v>0.40820800000000002</v>
      </c>
    </row>
    <row r="133" spans="1:6">
      <c r="A133" s="11">
        <v>130</v>
      </c>
      <c r="B133">
        <v>0.73164600000000002</v>
      </c>
      <c r="C133">
        <v>1.4167719999999999</v>
      </c>
      <c r="D133">
        <v>1.6322019999999999</v>
      </c>
      <c r="E133">
        <v>7.9433000000000004E-2</v>
      </c>
      <c r="F133">
        <v>0.41780800000000001</v>
      </c>
    </row>
    <row r="134" spans="1:6">
      <c r="A134" s="11">
        <v>131</v>
      </c>
      <c r="B134">
        <v>1.150128</v>
      </c>
      <c r="C134">
        <v>2.3388469999999999</v>
      </c>
      <c r="D134">
        <v>2.2729279999999998</v>
      </c>
      <c r="E134">
        <v>1.6869179999999999</v>
      </c>
      <c r="F134">
        <v>1.1230910000000001</v>
      </c>
    </row>
    <row r="135" spans="1:6">
      <c r="A135" s="11">
        <v>132</v>
      </c>
      <c r="B135">
        <v>2.3857330000000001</v>
      </c>
      <c r="C135">
        <v>2.5406</v>
      </c>
      <c r="D135">
        <v>0.31025799999999998</v>
      </c>
      <c r="E135">
        <v>1.1389739999999999</v>
      </c>
      <c r="F135">
        <v>4.3248620000000004</v>
      </c>
    </row>
    <row r="136" spans="1:6">
      <c r="A136" s="11">
        <v>133</v>
      </c>
      <c r="B136">
        <v>1.6498820000000001</v>
      </c>
      <c r="C136">
        <v>3.7277110000000002</v>
      </c>
      <c r="D136">
        <v>0.93434200000000001</v>
      </c>
      <c r="E136">
        <v>4.3417979999999998</v>
      </c>
      <c r="F136">
        <v>0.63167799999999996</v>
      </c>
    </row>
    <row r="137" spans="1:6">
      <c r="A137" s="11">
        <v>134</v>
      </c>
      <c r="B137">
        <v>1.055839</v>
      </c>
      <c r="C137">
        <v>0.80064900000000006</v>
      </c>
      <c r="D137">
        <v>5.3177820000000002</v>
      </c>
      <c r="E137">
        <v>0.77022999999999997</v>
      </c>
      <c r="F137">
        <v>2.6772860000000001</v>
      </c>
    </row>
    <row r="138" spans="1:6">
      <c r="A138" s="11">
        <v>135</v>
      </c>
      <c r="B138">
        <v>0.660663</v>
      </c>
      <c r="C138">
        <v>1.552489</v>
      </c>
      <c r="D138">
        <v>0.64224800000000004</v>
      </c>
      <c r="E138">
        <v>1.676191</v>
      </c>
      <c r="F138">
        <v>0.37638899999999997</v>
      </c>
    </row>
    <row r="139" spans="1:6">
      <c r="A139" s="11">
        <v>136</v>
      </c>
      <c r="B139">
        <v>2.788707</v>
      </c>
      <c r="C139">
        <v>0.96934799999999999</v>
      </c>
      <c r="D139">
        <v>0.54342900000000005</v>
      </c>
      <c r="E139">
        <v>0.38884999999999997</v>
      </c>
      <c r="F139">
        <v>2.7837649999999998</v>
      </c>
    </row>
    <row r="140" spans="1:6">
      <c r="A140" s="11">
        <v>137</v>
      </c>
      <c r="B140">
        <v>4.7525570000000004</v>
      </c>
      <c r="C140">
        <v>1.0819529999999999</v>
      </c>
      <c r="D140">
        <v>0.83499500000000004</v>
      </c>
      <c r="E140">
        <v>1.0315540000000001</v>
      </c>
      <c r="F140">
        <v>4.2661350000000002</v>
      </c>
    </row>
    <row r="141" spans="1:6">
      <c r="A141" s="11">
        <v>138</v>
      </c>
      <c r="B141">
        <v>2.2713320000000001</v>
      </c>
      <c r="C141">
        <v>0.54322999999999999</v>
      </c>
      <c r="D141">
        <v>8.6360270000000003</v>
      </c>
      <c r="E141">
        <v>0.82260200000000006</v>
      </c>
      <c r="F141">
        <v>0.88292999999999999</v>
      </c>
    </row>
    <row r="142" spans="1:6">
      <c r="A142" s="11">
        <v>139</v>
      </c>
      <c r="B142">
        <v>1.0925469999999999</v>
      </c>
      <c r="C142">
        <v>3.8636529999999998</v>
      </c>
      <c r="D142">
        <v>0.54024899999999998</v>
      </c>
      <c r="E142">
        <v>2.3115640000000002</v>
      </c>
      <c r="F142">
        <v>1.118549</v>
      </c>
    </row>
    <row r="143" spans="1:6">
      <c r="A143" s="11">
        <v>140</v>
      </c>
      <c r="B143">
        <v>0.70916599999999996</v>
      </c>
      <c r="C143">
        <v>6.5703889999999996</v>
      </c>
      <c r="D143">
        <v>5.5530200000000001</v>
      </c>
      <c r="E143">
        <v>0.72922600000000004</v>
      </c>
      <c r="F143">
        <v>4.5433060000000003</v>
      </c>
    </row>
    <row r="144" spans="1:6">
      <c r="A144" s="11">
        <v>141</v>
      </c>
      <c r="B144">
        <v>0.47312300000000002</v>
      </c>
      <c r="C144">
        <v>1.133348</v>
      </c>
      <c r="D144">
        <v>0.13606699999999999</v>
      </c>
      <c r="E144">
        <v>0.32294400000000001</v>
      </c>
      <c r="F144">
        <v>5.0833599999999999</v>
      </c>
    </row>
    <row r="145" spans="1:6">
      <c r="A145" s="11">
        <v>142</v>
      </c>
      <c r="B145">
        <v>4.3884980000000002</v>
      </c>
      <c r="C145">
        <v>1.5921209999999999</v>
      </c>
      <c r="D145">
        <v>1.2432799999999999</v>
      </c>
      <c r="E145">
        <v>0.36043399999999998</v>
      </c>
      <c r="F145">
        <v>2.1020470000000002</v>
      </c>
    </row>
    <row r="146" spans="1:6">
      <c r="A146" s="11">
        <v>143</v>
      </c>
      <c r="B146">
        <v>0.84885600000000005</v>
      </c>
      <c r="C146">
        <v>0.78873599999999999</v>
      </c>
      <c r="D146">
        <v>0.13177700000000001</v>
      </c>
      <c r="E146">
        <v>6.5590999999999997E-2</v>
      </c>
      <c r="F146">
        <v>2.3516349999999999</v>
      </c>
    </row>
    <row r="147" spans="1:6">
      <c r="A147" s="11">
        <v>144</v>
      </c>
      <c r="B147">
        <v>0.45361000000000001</v>
      </c>
      <c r="C147">
        <v>0.42175200000000002</v>
      </c>
      <c r="D147">
        <v>1.249905</v>
      </c>
      <c r="E147">
        <v>0.54144800000000004</v>
      </c>
      <c r="F147">
        <v>2.8435839999999999</v>
      </c>
    </row>
    <row r="148" spans="1:6">
      <c r="A148" s="11">
        <v>145</v>
      </c>
      <c r="B148">
        <v>1.235892</v>
      </c>
      <c r="C148">
        <v>5.288907</v>
      </c>
      <c r="D148">
        <v>6.0767769999999999</v>
      </c>
      <c r="E148">
        <v>1.217686</v>
      </c>
      <c r="F148">
        <v>2.8247</v>
      </c>
    </row>
    <row r="149" spans="1:6">
      <c r="A149" s="11">
        <v>146</v>
      </c>
      <c r="B149">
        <v>15.996439000000001</v>
      </c>
      <c r="C149">
        <v>0.747838</v>
      </c>
      <c r="D149">
        <v>0.827295</v>
      </c>
      <c r="E149">
        <v>0.32245200000000002</v>
      </c>
      <c r="F149">
        <v>1.980647</v>
      </c>
    </row>
    <row r="150" spans="1:6">
      <c r="A150" s="11">
        <v>147</v>
      </c>
      <c r="B150">
        <v>3.8830399999999998</v>
      </c>
      <c r="C150">
        <v>0.87843400000000005</v>
      </c>
      <c r="D150">
        <v>0.88490500000000005</v>
      </c>
      <c r="E150">
        <v>0.78630999999999995</v>
      </c>
      <c r="F150">
        <v>0.82680600000000004</v>
      </c>
    </row>
    <row r="151" spans="1:6">
      <c r="A151" s="11">
        <v>148</v>
      </c>
      <c r="B151">
        <v>0.56362699999999999</v>
      </c>
      <c r="C151">
        <v>1.10456</v>
      </c>
      <c r="D151">
        <v>0.84104699999999999</v>
      </c>
      <c r="E151">
        <v>7.1302890000000003</v>
      </c>
      <c r="F151">
        <v>1.963827</v>
      </c>
    </row>
    <row r="152" spans="1:6">
      <c r="A152" s="11">
        <v>149</v>
      </c>
      <c r="B152">
        <v>0.34050399999999997</v>
      </c>
      <c r="C152">
        <v>0.31182900000000002</v>
      </c>
      <c r="D152">
        <v>7.9447929999999998</v>
      </c>
      <c r="E152">
        <v>1.334292</v>
      </c>
      <c r="F152">
        <v>2.3322790000000002</v>
      </c>
    </row>
    <row r="153" spans="1:6">
      <c r="A153" s="11">
        <v>150</v>
      </c>
      <c r="B153">
        <v>0.514428</v>
      </c>
      <c r="C153">
        <v>0.46204800000000001</v>
      </c>
      <c r="D153">
        <v>1.2121040000000001</v>
      </c>
      <c r="E153">
        <v>0.23594300000000001</v>
      </c>
      <c r="F153">
        <v>0.73239600000000005</v>
      </c>
    </row>
    <row r="154" spans="1:6">
      <c r="A154" s="11">
        <v>151</v>
      </c>
      <c r="B154">
        <v>0.32589000000000001</v>
      </c>
      <c r="C154">
        <v>0.80136499999999999</v>
      </c>
      <c r="D154">
        <v>1.4891449999999999</v>
      </c>
      <c r="E154">
        <v>0.12626999999999999</v>
      </c>
      <c r="F154">
        <v>0.65320900000000004</v>
      </c>
    </row>
    <row r="155" spans="1:6">
      <c r="A155" s="11">
        <v>152</v>
      </c>
      <c r="B155">
        <v>1.3689880000000001</v>
      </c>
      <c r="C155">
        <v>5.5187E-2</v>
      </c>
      <c r="D155">
        <v>0.24535999999999999</v>
      </c>
      <c r="E155">
        <v>0.532169</v>
      </c>
      <c r="F155">
        <v>3.3512059999999999</v>
      </c>
    </row>
    <row r="156" spans="1:6">
      <c r="A156" s="11">
        <v>153</v>
      </c>
      <c r="B156">
        <v>0.78913299999999997</v>
      </c>
      <c r="C156">
        <v>0.22084699999999999</v>
      </c>
      <c r="D156">
        <v>3.292869</v>
      </c>
      <c r="E156">
        <v>0.50260099999999996</v>
      </c>
      <c r="F156">
        <v>1.130007</v>
      </c>
    </row>
    <row r="157" spans="1:6">
      <c r="A157" s="11">
        <v>154</v>
      </c>
      <c r="B157">
        <v>4.8902910000000004</v>
      </c>
      <c r="C157">
        <v>0.28602300000000003</v>
      </c>
      <c r="D157">
        <v>0.379998</v>
      </c>
      <c r="E157">
        <v>2.8227440000000001</v>
      </c>
      <c r="F157">
        <v>0.53791299999999997</v>
      </c>
    </row>
    <row r="158" spans="1:6">
      <c r="A158" s="11">
        <v>155</v>
      </c>
      <c r="B158">
        <v>0.68056399999999995</v>
      </c>
      <c r="C158">
        <v>0.70314200000000004</v>
      </c>
      <c r="D158">
        <v>1.1428670000000001</v>
      </c>
      <c r="E158">
        <v>6.3854509999999998</v>
      </c>
      <c r="F158">
        <v>0.211338</v>
      </c>
    </row>
    <row r="159" spans="1:6">
      <c r="A159" s="11">
        <v>156</v>
      </c>
      <c r="B159">
        <v>2.0941040000000002</v>
      </c>
      <c r="C159">
        <v>2.7572220000000001</v>
      </c>
      <c r="D159">
        <v>1.6604179999999999</v>
      </c>
      <c r="E159">
        <v>0.88798200000000005</v>
      </c>
      <c r="F159">
        <v>2.951365</v>
      </c>
    </row>
    <row r="160" spans="1:6">
      <c r="A160" s="11">
        <v>157</v>
      </c>
      <c r="B160">
        <v>4.734362</v>
      </c>
      <c r="C160">
        <v>1.7449239999999999</v>
      </c>
      <c r="D160">
        <v>0.96465800000000002</v>
      </c>
      <c r="E160">
        <v>1.427265</v>
      </c>
      <c r="F160">
        <v>0.22628300000000001</v>
      </c>
    </row>
    <row r="161" spans="1:6">
      <c r="A161" s="11">
        <v>158</v>
      </c>
      <c r="B161">
        <v>2.498713</v>
      </c>
      <c r="C161">
        <v>2.352061</v>
      </c>
      <c r="D161">
        <v>0.33607100000000001</v>
      </c>
      <c r="E161">
        <v>0.96517200000000003</v>
      </c>
      <c r="F161">
        <v>0.71035700000000002</v>
      </c>
    </row>
    <row r="162" spans="1:6">
      <c r="A162" s="11">
        <v>159</v>
      </c>
      <c r="B162">
        <v>2.3653909999999998</v>
      </c>
      <c r="C162">
        <v>1.4441999999999999</v>
      </c>
      <c r="D162">
        <v>0.55811900000000003</v>
      </c>
      <c r="E162">
        <v>0.620695</v>
      </c>
      <c r="F162">
        <v>2.5731109999999999</v>
      </c>
    </row>
    <row r="163" spans="1:6">
      <c r="A163" s="11">
        <v>160</v>
      </c>
      <c r="B163">
        <v>0.81504799999999999</v>
      </c>
      <c r="C163">
        <v>6.0092670000000004</v>
      </c>
      <c r="D163">
        <v>0.63282799999999995</v>
      </c>
      <c r="E163">
        <v>3.0962860000000001</v>
      </c>
      <c r="F163">
        <v>0.63532100000000002</v>
      </c>
    </row>
    <row r="164" spans="1:6">
      <c r="A164" s="11">
        <v>161</v>
      </c>
      <c r="B164">
        <v>1.0559959999999999</v>
      </c>
      <c r="C164">
        <v>3.4350200000000002</v>
      </c>
      <c r="D164">
        <v>2.1755490000000002</v>
      </c>
      <c r="E164">
        <v>1.5251060000000001</v>
      </c>
      <c r="F164">
        <v>5.920255</v>
      </c>
    </row>
    <row r="165" spans="1:6">
      <c r="A165" s="11">
        <v>162</v>
      </c>
      <c r="B165">
        <v>1.771374</v>
      </c>
      <c r="C165">
        <v>5.4848229999999996</v>
      </c>
      <c r="D165">
        <v>4.3585450000000003</v>
      </c>
      <c r="E165">
        <v>0.81566700000000003</v>
      </c>
      <c r="F165">
        <v>0.595078</v>
      </c>
    </row>
    <row r="166" spans="1:6">
      <c r="A166" s="11">
        <v>163</v>
      </c>
      <c r="B166">
        <v>0.51690000000000003</v>
      </c>
      <c r="C166">
        <v>0.85896899999999998</v>
      </c>
      <c r="D166">
        <v>0.46170099999999997</v>
      </c>
      <c r="E166">
        <v>0.60258699999999998</v>
      </c>
      <c r="F166">
        <v>0.91120400000000001</v>
      </c>
    </row>
    <row r="167" spans="1:6">
      <c r="A167" s="11">
        <v>164</v>
      </c>
      <c r="B167">
        <v>3.1587580000000002</v>
      </c>
      <c r="C167">
        <v>2.270661</v>
      </c>
      <c r="D167">
        <v>3.3912469999999999</v>
      </c>
      <c r="E167">
        <v>0.172767</v>
      </c>
      <c r="F167">
        <v>1.2834920000000001</v>
      </c>
    </row>
    <row r="168" spans="1:6">
      <c r="A168" s="11">
        <v>165</v>
      </c>
      <c r="B168">
        <v>0.24279700000000001</v>
      </c>
      <c r="C168">
        <v>2.6389619999999998</v>
      </c>
      <c r="D168">
        <v>5.2392390000000004</v>
      </c>
      <c r="E168">
        <v>0.92143900000000001</v>
      </c>
      <c r="F168">
        <v>0.14873</v>
      </c>
    </row>
    <row r="169" spans="1:6">
      <c r="A169" s="11">
        <v>166</v>
      </c>
      <c r="B169">
        <v>1.666172</v>
      </c>
      <c r="C169">
        <v>0.10624</v>
      </c>
      <c r="D169">
        <v>1.806495</v>
      </c>
      <c r="E169">
        <v>1.2941800000000001</v>
      </c>
      <c r="F169">
        <v>2.3581539999999999</v>
      </c>
    </row>
    <row r="170" spans="1:6">
      <c r="A170" s="11">
        <v>167</v>
      </c>
      <c r="B170">
        <v>2.2626360000000001</v>
      </c>
      <c r="C170">
        <v>0.26356200000000002</v>
      </c>
      <c r="D170">
        <v>2.443743</v>
      </c>
      <c r="E170">
        <v>4.3759519999999998</v>
      </c>
      <c r="F170">
        <v>0.40326000000000001</v>
      </c>
    </row>
    <row r="171" spans="1:6">
      <c r="A171" s="11">
        <v>168</v>
      </c>
      <c r="B171">
        <v>0.30216199999999999</v>
      </c>
      <c r="C171">
        <v>0.53160300000000005</v>
      </c>
      <c r="D171">
        <v>1.2426010000000001</v>
      </c>
      <c r="E171">
        <v>0.46645500000000001</v>
      </c>
      <c r="F171">
        <v>0.17505999999999999</v>
      </c>
    </row>
    <row r="172" spans="1:6">
      <c r="A172" s="11">
        <v>169</v>
      </c>
      <c r="B172">
        <v>1.257668</v>
      </c>
      <c r="C172">
        <v>0.41211799999999998</v>
      </c>
      <c r="D172">
        <v>13.46438</v>
      </c>
      <c r="E172">
        <v>2.0000100000000001</v>
      </c>
      <c r="F172">
        <v>0.65103599999999995</v>
      </c>
    </row>
    <row r="173" spans="1:6">
      <c r="A173" s="11">
        <v>170</v>
      </c>
      <c r="B173">
        <v>38.404179999999997</v>
      </c>
      <c r="C173">
        <v>1.371785</v>
      </c>
      <c r="D173">
        <v>0.59113499999999997</v>
      </c>
      <c r="E173">
        <v>0.40950599999999998</v>
      </c>
      <c r="F173">
        <v>0.62561299999999997</v>
      </c>
    </row>
    <row r="174" spans="1:6">
      <c r="A174" s="11">
        <v>171</v>
      </c>
      <c r="B174">
        <v>0.75903299999999996</v>
      </c>
      <c r="C174">
        <v>0.28035599999999999</v>
      </c>
      <c r="D174">
        <v>0.19766</v>
      </c>
      <c r="E174">
        <v>1.731916</v>
      </c>
      <c r="F174">
        <v>0.65727800000000003</v>
      </c>
    </row>
    <row r="175" spans="1:6">
      <c r="A175" s="11">
        <v>172</v>
      </c>
      <c r="B175">
        <v>1.3235170000000001</v>
      </c>
      <c r="C175">
        <v>0.62118399999999996</v>
      </c>
      <c r="D175">
        <v>0.56932700000000003</v>
      </c>
      <c r="E175">
        <v>3.7916460000000001</v>
      </c>
      <c r="F175">
        <v>6.5335179999999999</v>
      </c>
    </row>
    <row r="176" spans="1:6">
      <c r="A176" s="11">
        <v>173</v>
      </c>
      <c r="B176">
        <v>9.1927459999999996</v>
      </c>
      <c r="C176">
        <v>1.404166</v>
      </c>
      <c r="D176">
        <v>0.36306100000000002</v>
      </c>
      <c r="E176">
        <v>0.692519</v>
      </c>
      <c r="F176">
        <v>0.12306</v>
      </c>
    </row>
    <row r="177" spans="1:6">
      <c r="A177" s="11">
        <v>174</v>
      </c>
      <c r="B177">
        <v>0.25387700000000002</v>
      </c>
      <c r="C177">
        <v>0.58184599999999997</v>
      </c>
      <c r="D177">
        <v>6.9909109999999997</v>
      </c>
      <c r="E177">
        <v>3.399222</v>
      </c>
      <c r="F177">
        <v>0.37874799999999997</v>
      </c>
    </row>
    <row r="178" spans="1:6">
      <c r="A178" s="11">
        <v>175</v>
      </c>
      <c r="B178">
        <v>4.3034239999999997</v>
      </c>
      <c r="C178">
        <v>0.246916</v>
      </c>
      <c r="D178">
        <v>1.527568</v>
      </c>
      <c r="E178">
        <v>3.3514710000000001</v>
      </c>
      <c r="F178">
        <v>1.6628670000000001</v>
      </c>
    </row>
    <row r="179" spans="1:6">
      <c r="A179" s="11">
        <v>176</v>
      </c>
      <c r="B179">
        <v>1.578433</v>
      </c>
      <c r="C179">
        <v>1.1384259999999999</v>
      </c>
      <c r="D179">
        <v>0.33121200000000001</v>
      </c>
      <c r="E179">
        <v>1.017997</v>
      </c>
      <c r="F179">
        <v>0.52874900000000002</v>
      </c>
    </row>
    <row r="180" spans="1:6">
      <c r="A180" s="11">
        <v>177</v>
      </c>
      <c r="B180">
        <v>0.35849500000000001</v>
      </c>
      <c r="C180">
        <v>0.65593000000000001</v>
      </c>
      <c r="D180">
        <v>0.17518700000000001</v>
      </c>
      <c r="E180">
        <v>0.30491200000000002</v>
      </c>
      <c r="F180">
        <v>2.0222380000000002</v>
      </c>
    </row>
    <row r="181" spans="1:6">
      <c r="A181" s="11">
        <v>178</v>
      </c>
      <c r="B181">
        <v>0.540184</v>
      </c>
      <c r="C181">
        <v>0.91927099999999995</v>
      </c>
      <c r="D181">
        <v>0.501525</v>
      </c>
      <c r="E181">
        <v>14.395891000000001</v>
      </c>
      <c r="F181">
        <v>0.72525099999999998</v>
      </c>
    </row>
    <row r="182" spans="1:6">
      <c r="A182" s="11">
        <v>179</v>
      </c>
      <c r="B182">
        <v>0.51943899999999998</v>
      </c>
      <c r="C182">
        <v>0.73180999999999996</v>
      </c>
      <c r="D182">
        <v>9.3622750000000003</v>
      </c>
      <c r="E182">
        <v>0.94781700000000002</v>
      </c>
      <c r="F182">
        <v>1.4078280000000001</v>
      </c>
    </row>
    <row r="183" spans="1:6">
      <c r="A183" s="11">
        <v>180</v>
      </c>
      <c r="B183">
        <v>0.33415600000000001</v>
      </c>
      <c r="C183">
        <v>0.22040699999999999</v>
      </c>
      <c r="D183">
        <v>2.173886</v>
      </c>
      <c r="E183">
        <v>0.535277</v>
      </c>
      <c r="F183">
        <v>2.2538369999999999</v>
      </c>
    </row>
    <row r="184" spans="1:6">
      <c r="A184" s="11">
        <v>181</v>
      </c>
      <c r="B184">
        <v>9.8752449999999996</v>
      </c>
      <c r="C184">
        <v>0.41786499999999999</v>
      </c>
      <c r="D184">
        <v>1.7683599999999999</v>
      </c>
      <c r="E184">
        <v>0.792655</v>
      </c>
      <c r="F184">
        <v>1.157794</v>
      </c>
    </row>
    <row r="185" spans="1:6">
      <c r="A185" s="11">
        <v>182</v>
      </c>
      <c r="B185">
        <v>0.19991400000000001</v>
      </c>
      <c r="C185">
        <v>0.90383599999999997</v>
      </c>
      <c r="D185">
        <v>0.60810200000000003</v>
      </c>
      <c r="E185">
        <v>3.9437660000000001</v>
      </c>
      <c r="F185">
        <v>1.3523670000000001</v>
      </c>
    </row>
    <row r="186" spans="1:6">
      <c r="A186" s="11">
        <v>183</v>
      </c>
      <c r="B186">
        <v>7.2271340000000004</v>
      </c>
      <c r="C186">
        <v>0.260322</v>
      </c>
      <c r="D186">
        <v>0.96917600000000004</v>
      </c>
      <c r="E186">
        <v>0.36424099999999998</v>
      </c>
      <c r="F186">
        <v>0.45086799999999999</v>
      </c>
    </row>
    <row r="187" spans="1:6">
      <c r="A187" s="11">
        <v>184</v>
      </c>
      <c r="B187">
        <v>6.363283</v>
      </c>
      <c r="C187">
        <v>1.868204</v>
      </c>
      <c r="D187">
        <v>3.554853</v>
      </c>
      <c r="E187">
        <v>0.498834</v>
      </c>
      <c r="F187">
        <v>3.117737</v>
      </c>
    </row>
    <row r="188" spans="1:6">
      <c r="A188" s="11">
        <v>185</v>
      </c>
      <c r="B188">
        <v>2.3017439999999998</v>
      </c>
      <c r="C188">
        <v>1.7314480000000001</v>
      </c>
      <c r="D188">
        <v>1.1768369999999999</v>
      </c>
      <c r="E188">
        <v>0.890926</v>
      </c>
      <c r="F188">
        <v>3.2812269999999999</v>
      </c>
    </row>
    <row r="189" spans="1:6">
      <c r="A189" s="11">
        <v>186</v>
      </c>
      <c r="B189">
        <v>4.8444929999999999</v>
      </c>
      <c r="C189">
        <v>0.19384000000000001</v>
      </c>
      <c r="D189">
        <v>3.7492290000000001</v>
      </c>
      <c r="E189">
        <v>0.34906100000000001</v>
      </c>
      <c r="F189">
        <v>0.24942</v>
      </c>
    </row>
    <row r="190" spans="1:6">
      <c r="A190" s="11">
        <v>187</v>
      </c>
      <c r="B190">
        <v>0.690079</v>
      </c>
      <c r="C190">
        <v>5.1390700000000002</v>
      </c>
      <c r="D190">
        <v>1.0317890000000001</v>
      </c>
      <c r="E190">
        <v>0.30943500000000002</v>
      </c>
      <c r="F190">
        <v>0.36855399999999999</v>
      </c>
    </row>
    <row r="191" spans="1:6">
      <c r="A191" s="11">
        <v>188</v>
      </c>
      <c r="B191">
        <v>1.710278</v>
      </c>
      <c r="C191">
        <v>0.57888899999999999</v>
      </c>
      <c r="D191">
        <v>1.474326</v>
      </c>
      <c r="E191">
        <v>2.0309119999999998</v>
      </c>
      <c r="F191">
        <v>9.8785109999999996</v>
      </c>
    </row>
    <row r="192" spans="1:6">
      <c r="A192" s="11">
        <v>189</v>
      </c>
      <c r="B192">
        <v>3.4915829999999999</v>
      </c>
      <c r="C192">
        <v>2.7726980000000001</v>
      </c>
      <c r="D192">
        <v>1.6201270000000001</v>
      </c>
      <c r="E192">
        <v>1.6881759999999999</v>
      </c>
      <c r="F192">
        <v>0.19817899999999999</v>
      </c>
    </row>
    <row r="193" spans="1:6">
      <c r="A193" s="11">
        <v>190</v>
      </c>
      <c r="B193">
        <v>1.0398430000000001</v>
      </c>
      <c r="C193">
        <v>1.237225</v>
      </c>
      <c r="D193">
        <v>5.074338</v>
      </c>
      <c r="E193">
        <v>0.88697400000000004</v>
      </c>
      <c r="F193">
        <v>0.90037100000000003</v>
      </c>
    </row>
    <row r="194" spans="1:6">
      <c r="A194" s="11">
        <v>191</v>
      </c>
      <c r="B194">
        <v>0.19284100000000001</v>
      </c>
      <c r="C194">
        <v>0.94274100000000005</v>
      </c>
      <c r="D194">
        <v>2.5170240000000002</v>
      </c>
      <c r="E194">
        <v>3.4476749999999998</v>
      </c>
      <c r="F194">
        <v>0.61204899999999995</v>
      </c>
    </row>
    <row r="195" spans="1:6">
      <c r="A195" s="11">
        <v>192</v>
      </c>
      <c r="B195">
        <v>0.63895100000000005</v>
      </c>
      <c r="C195">
        <v>6.2849069999999996</v>
      </c>
      <c r="D195">
        <v>3.2414930000000002</v>
      </c>
      <c r="E195">
        <v>2.502764</v>
      </c>
      <c r="F195">
        <v>3.5559E-2</v>
      </c>
    </row>
    <row r="196" spans="1:6">
      <c r="A196" s="11">
        <v>193</v>
      </c>
      <c r="B196">
        <v>0.55009200000000003</v>
      </c>
      <c r="C196">
        <v>0.95920399999999995</v>
      </c>
      <c r="D196">
        <v>0.65544800000000003</v>
      </c>
      <c r="E196">
        <v>1.181454</v>
      </c>
      <c r="F196">
        <v>1.20177</v>
      </c>
    </row>
    <row r="197" spans="1:6">
      <c r="A197" s="11">
        <v>194</v>
      </c>
      <c r="B197">
        <v>2.2082519999999999</v>
      </c>
      <c r="C197">
        <v>0.67530800000000002</v>
      </c>
      <c r="D197">
        <v>0.66566599999999998</v>
      </c>
      <c r="E197">
        <v>0.29907499999999998</v>
      </c>
      <c r="F197">
        <v>5.4746180000000004</v>
      </c>
    </row>
    <row r="198" spans="1:6">
      <c r="A198" s="11">
        <v>195</v>
      </c>
      <c r="B198">
        <v>6.5954110000000004</v>
      </c>
      <c r="C198">
        <v>0.30839699999999998</v>
      </c>
      <c r="D198">
        <v>1.476478</v>
      </c>
      <c r="E198">
        <v>2.0024829999999998</v>
      </c>
      <c r="F198">
        <v>5.7341999999999997E-2</v>
      </c>
    </row>
    <row r="199" spans="1:6">
      <c r="A199" s="11">
        <v>196</v>
      </c>
      <c r="B199">
        <v>0.42337399999999997</v>
      </c>
      <c r="C199">
        <v>2.1289820000000002</v>
      </c>
      <c r="D199">
        <v>1.402973</v>
      </c>
      <c r="E199">
        <v>1.6835199999999999</v>
      </c>
      <c r="F199">
        <v>0.15457399999999999</v>
      </c>
    </row>
    <row r="200" spans="1:6">
      <c r="A200" s="11">
        <v>197</v>
      </c>
      <c r="B200">
        <v>0.63283599999999995</v>
      </c>
      <c r="C200">
        <v>4.514481</v>
      </c>
      <c r="D200">
        <v>0.18227199999999999</v>
      </c>
      <c r="E200">
        <v>0.292435</v>
      </c>
      <c r="F200">
        <v>0.75667799999999996</v>
      </c>
    </row>
    <row r="201" spans="1:6">
      <c r="A201" s="11">
        <v>198</v>
      </c>
      <c r="B201">
        <v>0.387069</v>
      </c>
      <c r="C201">
        <v>0.42369600000000002</v>
      </c>
      <c r="D201">
        <v>5.5455999999999998E-2</v>
      </c>
      <c r="E201">
        <v>0.54098400000000002</v>
      </c>
      <c r="F201">
        <v>0.69968399999999997</v>
      </c>
    </row>
    <row r="202" spans="1:6">
      <c r="A202" s="11">
        <v>199</v>
      </c>
      <c r="B202">
        <v>7.448283</v>
      </c>
      <c r="C202">
        <v>0.58513199999999999</v>
      </c>
      <c r="D202">
        <v>2.256446</v>
      </c>
      <c r="E202">
        <v>0.58594999999999997</v>
      </c>
      <c r="F202">
        <v>0.55086599999999997</v>
      </c>
    </row>
    <row r="203" spans="1:6">
      <c r="A203" s="11">
        <v>200</v>
      </c>
      <c r="B203">
        <v>1.270167</v>
      </c>
      <c r="C203">
        <v>0.90810999999999997</v>
      </c>
      <c r="D203">
        <v>1.3936470000000001</v>
      </c>
      <c r="E203">
        <v>3.2948300000000001</v>
      </c>
      <c r="F203">
        <v>6.4773999999999998E-2</v>
      </c>
    </row>
    <row r="204" spans="1:6">
      <c r="A204" s="11">
        <v>201</v>
      </c>
      <c r="B204">
        <v>1.5164010000000001</v>
      </c>
      <c r="C204">
        <v>0.57348900000000003</v>
      </c>
      <c r="D204">
        <v>3.3009110000000002</v>
      </c>
      <c r="E204">
        <v>0.15507399999999999</v>
      </c>
      <c r="F204">
        <v>0.459866</v>
      </c>
    </row>
    <row r="205" spans="1:6">
      <c r="A205" s="11">
        <v>202</v>
      </c>
      <c r="B205">
        <v>0.70441600000000004</v>
      </c>
      <c r="C205">
        <v>2.5025629999999999</v>
      </c>
      <c r="D205">
        <v>0.62786600000000004</v>
      </c>
      <c r="E205">
        <v>7.8094669999999997</v>
      </c>
      <c r="F205">
        <v>1.0865370000000001</v>
      </c>
    </row>
    <row r="206" spans="1:6">
      <c r="A206" s="11">
        <v>203</v>
      </c>
      <c r="B206">
        <v>1.873151</v>
      </c>
      <c r="C206">
        <v>0.29627900000000001</v>
      </c>
      <c r="D206">
        <v>0.897567</v>
      </c>
      <c r="E206">
        <v>1.6295519999999999</v>
      </c>
      <c r="F206">
        <v>0.60678500000000002</v>
      </c>
    </row>
    <row r="207" spans="1:6">
      <c r="A207" s="11">
        <v>204</v>
      </c>
      <c r="B207">
        <v>0.94252899999999995</v>
      </c>
      <c r="C207">
        <v>2.0964779999999998</v>
      </c>
      <c r="D207">
        <v>4.5408200000000001</v>
      </c>
      <c r="E207">
        <v>0.90998199999999996</v>
      </c>
      <c r="F207">
        <v>0.76097999999999999</v>
      </c>
    </row>
    <row r="208" spans="1:6">
      <c r="A208" s="11">
        <v>205</v>
      </c>
      <c r="B208">
        <v>16.546420999999999</v>
      </c>
      <c r="C208">
        <v>0.76134299999999999</v>
      </c>
      <c r="D208">
        <v>3.0318740000000002</v>
      </c>
      <c r="E208">
        <v>1.692545</v>
      </c>
      <c r="F208">
        <v>0.60070500000000004</v>
      </c>
    </row>
    <row r="209" spans="1:6">
      <c r="A209" s="11">
        <v>206</v>
      </c>
      <c r="B209">
        <v>0.48845499999999997</v>
      </c>
      <c r="C209">
        <v>4.6159910000000002</v>
      </c>
      <c r="D209">
        <v>1.069116</v>
      </c>
      <c r="E209">
        <v>3.317847</v>
      </c>
      <c r="F209">
        <v>5.4122149999999998</v>
      </c>
    </row>
    <row r="210" spans="1:6">
      <c r="A210" s="11">
        <v>207</v>
      </c>
      <c r="B210">
        <v>0.98089899999999997</v>
      </c>
      <c r="C210">
        <v>0.83538100000000004</v>
      </c>
      <c r="D210">
        <v>0.72930799999999996</v>
      </c>
      <c r="E210">
        <v>2.1989339999999999</v>
      </c>
      <c r="F210">
        <v>0.33479900000000001</v>
      </c>
    </row>
    <row r="211" spans="1:6">
      <c r="A211" s="11">
        <v>208</v>
      </c>
      <c r="B211">
        <v>5.3689489999999997</v>
      </c>
      <c r="C211">
        <v>0.96221400000000001</v>
      </c>
      <c r="D211">
        <v>1.7324470000000001</v>
      </c>
      <c r="E211">
        <v>0.72859799999999997</v>
      </c>
      <c r="F211">
        <v>0.22631100000000001</v>
      </c>
    </row>
    <row r="212" spans="1:6">
      <c r="A212" s="11">
        <v>209</v>
      </c>
      <c r="B212">
        <v>0.46990399999999999</v>
      </c>
      <c r="C212">
        <v>0.42231200000000002</v>
      </c>
      <c r="D212">
        <v>2.65177</v>
      </c>
      <c r="E212">
        <v>1.1210389999999999</v>
      </c>
      <c r="F212">
        <v>1.4058870000000001</v>
      </c>
    </row>
    <row r="213" spans="1:6">
      <c r="A213" s="11">
        <v>210</v>
      </c>
      <c r="B213">
        <v>2.082274</v>
      </c>
      <c r="C213">
        <v>14.709243000000001</v>
      </c>
      <c r="D213">
        <v>0.51071599999999995</v>
      </c>
      <c r="E213">
        <v>0.63454900000000003</v>
      </c>
      <c r="F213">
        <v>0.80685899999999999</v>
      </c>
    </row>
    <row r="214" spans="1:6">
      <c r="A214" s="11">
        <v>211</v>
      </c>
      <c r="B214">
        <v>0.40167199999999997</v>
      </c>
      <c r="C214">
        <v>0.67458499999999999</v>
      </c>
      <c r="D214">
        <v>1.3790450000000001</v>
      </c>
      <c r="E214">
        <v>0.38067899999999999</v>
      </c>
      <c r="F214">
        <v>4.6626200000000004</v>
      </c>
    </row>
    <row r="215" spans="1:6">
      <c r="A215" s="11">
        <v>212</v>
      </c>
      <c r="B215">
        <v>2.7982689999999999</v>
      </c>
      <c r="C215">
        <v>0.40296599999999999</v>
      </c>
      <c r="D215">
        <v>3.4767489999999999</v>
      </c>
      <c r="E215">
        <v>0.72788699999999995</v>
      </c>
      <c r="F215">
        <v>1.9167110000000001</v>
      </c>
    </row>
    <row r="216" spans="1:6">
      <c r="A216" s="11">
        <v>213</v>
      </c>
      <c r="B216">
        <v>1.1846829999999999</v>
      </c>
      <c r="C216">
        <v>2.1703869999999998</v>
      </c>
      <c r="D216">
        <v>6.3005560000000003</v>
      </c>
      <c r="E216">
        <v>2.0088469999999998</v>
      </c>
      <c r="F216">
        <v>9.2131830000000008</v>
      </c>
    </row>
    <row r="217" spans="1:6">
      <c r="A217" s="11">
        <v>214</v>
      </c>
      <c r="B217">
        <v>1.0956459999999999</v>
      </c>
      <c r="C217">
        <v>3.2128009999999998</v>
      </c>
      <c r="D217">
        <v>0.20285</v>
      </c>
      <c r="E217">
        <v>0.31037999999999999</v>
      </c>
      <c r="F217">
        <v>0.62059500000000001</v>
      </c>
    </row>
    <row r="218" spans="1:6">
      <c r="A218" s="11">
        <v>215</v>
      </c>
      <c r="B218">
        <v>2.6080809999999999</v>
      </c>
      <c r="C218">
        <v>0.95806999999999998</v>
      </c>
      <c r="D218">
        <v>2.0264869999999999</v>
      </c>
      <c r="E218">
        <v>1.721786</v>
      </c>
      <c r="F218">
        <v>0.50858300000000001</v>
      </c>
    </row>
    <row r="219" spans="1:6">
      <c r="A219" s="11">
        <v>216</v>
      </c>
      <c r="B219">
        <v>0.50537900000000002</v>
      </c>
      <c r="C219">
        <v>0.12289</v>
      </c>
      <c r="D219">
        <v>3.5317799999999999</v>
      </c>
      <c r="E219">
        <v>6.2548620000000001</v>
      </c>
      <c r="F219">
        <v>2.8510740000000001</v>
      </c>
    </row>
    <row r="220" spans="1:6">
      <c r="A220" s="11">
        <v>217</v>
      </c>
      <c r="B220">
        <v>0.194744</v>
      </c>
      <c r="C220">
        <v>2.6207989999999999</v>
      </c>
      <c r="D220">
        <v>2.6618750000000002</v>
      </c>
      <c r="E220">
        <v>2.3411460000000002</v>
      </c>
      <c r="F220">
        <v>0.68209799999999998</v>
      </c>
    </row>
    <row r="221" spans="1:6">
      <c r="A221" s="11">
        <v>218</v>
      </c>
      <c r="B221">
        <v>3.0375519999999998</v>
      </c>
      <c r="C221">
        <v>5.6911209999999999</v>
      </c>
      <c r="D221">
        <v>2.4428559999999999</v>
      </c>
      <c r="E221">
        <v>0.19978399999999999</v>
      </c>
      <c r="F221">
        <v>0.49925900000000001</v>
      </c>
    </row>
    <row r="222" spans="1:6">
      <c r="A222" s="11">
        <v>219</v>
      </c>
      <c r="B222">
        <v>1.5152060000000001</v>
      </c>
      <c r="C222">
        <v>1.0749150000000001</v>
      </c>
      <c r="D222">
        <v>1.3565389999999999</v>
      </c>
      <c r="E222">
        <v>2.7853400000000001</v>
      </c>
      <c r="F222">
        <v>0.48746600000000001</v>
      </c>
    </row>
    <row r="223" spans="1:6">
      <c r="A223" s="11">
        <v>220</v>
      </c>
      <c r="B223">
        <v>4.6511979999999999</v>
      </c>
      <c r="C223">
        <v>0.69947899999999996</v>
      </c>
      <c r="D223">
        <v>0.253635</v>
      </c>
      <c r="E223">
        <v>4.1075549999999996</v>
      </c>
      <c r="F223">
        <v>5.6010489999999997</v>
      </c>
    </row>
    <row r="224" spans="1:6">
      <c r="A224" s="11">
        <v>221</v>
      </c>
      <c r="B224">
        <v>1.1186990000000001</v>
      </c>
      <c r="C224">
        <v>1.6292979999999999</v>
      </c>
      <c r="D224">
        <v>0.47982000000000002</v>
      </c>
      <c r="E224">
        <v>0.13964399999999999</v>
      </c>
      <c r="F224">
        <v>4.2337499999999997</v>
      </c>
    </row>
    <row r="225" spans="1:6">
      <c r="A225" s="11">
        <v>222</v>
      </c>
      <c r="B225">
        <v>1.3940440000000001</v>
      </c>
      <c r="C225">
        <v>1.057688</v>
      </c>
      <c r="D225">
        <v>1.69408</v>
      </c>
      <c r="E225">
        <v>1.4051359999999999</v>
      </c>
      <c r="F225">
        <v>0.61749900000000002</v>
      </c>
    </row>
    <row r="226" spans="1:6">
      <c r="A226" s="11">
        <v>223</v>
      </c>
      <c r="B226">
        <v>1.752964</v>
      </c>
      <c r="C226">
        <v>3.2922899999999999</v>
      </c>
      <c r="D226">
        <v>4.3728879999999997</v>
      </c>
      <c r="E226">
        <v>2.3958919999999999</v>
      </c>
      <c r="F226">
        <v>0.58704000000000001</v>
      </c>
    </row>
    <row r="227" spans="1:6">
      <c r="A227" s="11">
        <v>224</v>
      </c>
      <c r="B227">
        <v>3.931346</v>
      </c>
      <c r="C227">
        <v>0.28815600000000002</v>
      </c>
      <c r="D227">
        <v>1.3742460000000001</v>
      </c>
      <c r="E227">
        <v>1.170156</v>
      </c>
      <c r="F227">
        <v>0.73094499999999996</v>
      </c>
    </row>
    <row r="228" spans="1:6">
      <c r="A228" s="11">
        <v>225</v>
      </c>
      <c r="B228">
        <v>0.67712399999999995</v>
      </c>
      <c r="C228">
        <v>0.23248199999999999</v>
      </c>
      <c r="D228">
        <v>24.741112000000001</v>
      </c>
      <c r="E228">
        <v>1.8299080000000001</v>
      </c>
      <c r="F228">
        <v>1.770054</v>
      </c>
    </row>
    <row r="229" spans="1:6">
      <c r="A229" s="11">
        <v>226</v>
      </c>
      <c r="B229">
        <v>0.31733699999999998</v>
      </c>
      <c r="C229">
        <v>0.74541199999999996</v>
      </c>
      <c r="D229">
        <v>0.24906</v>
      </c>
      <c r="E229">
        <v>2.1454309999999999</v>
      </c>
      <c r="F229">
        <v>1.60042</v>
      </c>
    </row>
    <row r="230" spans="1:6">
      <c r="A230" s="11">
        <v>227</v>
      </c>
      <c r="B230">
        <v>1.0541609999999999</v>
      </c>
      <c r="C230">
        <v>1.614595</v>
      </c>
      <c r="D230">
        <v>0.88043199999999999</v>
      </c>
      <c r="E230">
        <v>1.6119079999999999</v>
      </c>
      <c r="F230">
        <v>6.1896E-2</v>
      </c>
    </row>
    <row r="231" spans="1:6">
      <c r="A231" s="11">
        <v>228</v>
      </c>
      <c r="B231">
        <v>1.1356200000000001</v>
      </c>
      <c r="C231">
        <v>2.0667939999999998</v>
      </c>
      <c r="D231">
        <v>3.1988089999999998</v>
      </c>
      <c r="E231">
        <v>2.469392</v>
      </c>
      <c r="F231">
        <v>0.64745399999999997</v>
      </c>
    </row>
    <row r="232" spans="1:6">
      <c r="A232" s="11">
        <v>229</v>
      </c>
      <c r="B232">
        <v>0.41646699999999998</v>
      </c>
      <c r="C232">
        <v>0.40850799999999998</v>
      </c>
      <c r="D232">
        <v>2.283058</v>
      </c>
      <c r="E232">
        <v>0.36048799999999998</v>
      </c>
      <c r="F232">
        <v>5.5935689999999996</v>
      </c>
    </row>
    <row r="233" spans="1:6">
      <c r="A233" s="11">
        <v>230</v>
      </c>
      <c r="B233">
        <v>0.40348899999999999</v>
      </c>
      <c r="C233">
        <v>4.744275</v>
      </c>
      <c r="D233">
        <v>1.020373</v>
      </c>
      <c r="E233">
        <v>0.574577</v>
      </c>
      <c r="F233">
        <v>0.69065799999999999</v>
      </c>
    </row>
    <row r="234" spans="1:6">
      <c r="A234" s="11">
        <v>231</v>
      </c>
      <c r="B234">
        <v>5.6160940000000004</v>
      </c>
      <c r="C234">
        <v>1.8945320000000001</v>
      </c>
      <c r="D234">
        <v>0.77271299999999998</v>
      </c>
      <c r="E234">
        <v>0.68701100000000004</v>
      </c>
      <c r="F234">
        <v>4.1959669999999996</v>
      </c>
    </row>
    <row r="235" spans="1:6">
      <c r="A235" s="11">
        <v>232</v>
      </c>
      <c r="B235">
        <v>0.52896500000000002</v>
      </c>
      <c r="C235">
        <v>0.50373400000000002</v>
      </c>
      <c r="D235">
        <v>3.1490909999999999</v>
      </c>
      <c r="E235">
        <v>0.91870799999999997</v>
      </c>
      <c r="F235">
        <v>6.3184820000000004</v>
      </c>
    </row>
    <row r="236" spans="1:6">
      <c r="A236" s="11">
        <v>233</v>
      </c>
      <c r="B236">
        <v>2.8654329999999999</v>
      </c>
      <c r="C236">
        <v>0.83836999999999995</v>
      </c>
      <c r="D236">
        <v>1.169773</v>
      </c>
      <c r="E236">
        <v>0.484877</v>
      </c>
      <c r="F236">
        <v>1.1926140000000001</v>
      </c>
    </row>
    <row r="237" spans="1:6">
      <c r="A237" s="11">
        <v>234</v>
      </c>
      <c r="B237">
        <v>0.46470699999999998</v>
      </c>
      <c r="C237">
        <v>0.41594599999999998</v>
      </c>
      <c r="D237">
        <v>2.3456440000000001</v>
      </c>
      <c r="E237">
        <v>0.448125</v>
      </c>
      <c r="F237">
        <v>1.0297320000000001</v>
      </c>
    </row>
    <row r="238" spans="1:6">
      <c r="A238" s="11">
        <v>235</v>
      </c>
      <c r="B238">
        <v>8.1941E-2</v>
      </c>
      <c r="C238">
        <v>1.776837</v>
      </c>
      <c r="D238">
        <v>0.81715199999999999</v>
      </c>
      <c r="E238">
        <v>2.7300200000000001</v>
      </c>
      <c r="F238">
        <v>1.5557669999999999</v>
      </c>
    </row>
    <row r="239" spans="1:6">
      <c r="A239" s="11">
        <v>236</v>
      </c>
      <c r="B239">
        <v>0.64080800000000004</v>
      </c>
      <c r="C239">
        <v>0.84803399999999995</v>
      </c>
      <c r="D239">
        <v>0.605711</v>
      </c>
      <c r="E239">
        <v>7.263001</v>
      </c>
      <c r="F239">
        <v>2.3204570000000002</v>
      </c>
    </row>
    <row r="240" spans="1:6">
      <c r="A240" s="11">
        <v>237</v>
      </c>
      <c r="B240">
        <v>0.21260999999999999</v>
      </c>
      <c r="C240">
        <v>5.5026070000000002</v>
      </c>
      <c r="D240">
        <v>0.969634</v>
      </c>
      <c r="E240">
        <v>1.326408</v>
      </c>
      <c r="F240">
        <v>0.38109700000000002</v>
      </c>
    </row>
    <row r="241" spans="1:6">
      <c r="A241" s="11">
        <v>238</v>
      </c>
      <c r="B241">
        <v>0.53260799999999997</v>
      </c>
      <c r="C241">
        <v>0.455924</v>
      </c>
      <c r="D241">
        <v>2.7806790000000001</v>
      </c>
      <c r="E241">
        <v>0.48989500000000002</v>
      </c>
      <c r="F241">
        <v>0.54985399999999995</v>
      </c>
    </row>
    <row r="242" spans="1:6">
      <c r="A242" s="11">
        <v>239</v>
      </c>
      <c r="B242">
        <v>0.50210699999999997</v>
      </c>
      <c r="C242">
        <v>4.8664709999999998</v>
      </c>
      <c r="D242">
        <v>0.21224199999999999</v>
      </c>
      <c r="E242">
        <v>1.2705900000000001</v>
      </c>
      <c r="F242">
        <v>1.1551419999999999</v>
      </c>
    </row>
    <row r="243" spans="1:6">
      <c r="A243" s="11">
        <v>240</v>
      </c>
      <c r="B243">
        <v>0.37182399999999999</v>
      </c>
      <c r="C243">
        <v>1.91404</v>
      </c>
      <c r="D243">
        <v>3.7603559999999998</v>
      </c>
      <c r="E243">
        <v>0.67265699999999995</v>
      </c>
      <c r="F243">
        <v>1.159508</v>
      </c>
    </row>
    <row r="244" spans="1:6">
      <c r="A244" s="11">
        <v>241</v>
      </c>
      <c r="B244">
        <v>3.3135349999999999</v>
      </c>
      <c r="C244">
        <v>0.81939300000000004</v>
      </c>
      <c r="D244">
        <v>2.3467250000000002</v>
      </c>
      <c r="E244">
        <v>18.090865999999998</v>
      </c>
      <c r="F244">
        <v>4.3914809999999997</v>
      </c>
    </row>
    <row r="245" spans="1:6">
      <c r="A245" s="11">
        <v>242</v>
      </c>
      <c r="B245">
        <v>1.9292499999999999</v>
      </c>
      <c r="C245">
        <v>7.67849</v>
      </c>
      <c r="D245">
        <v>4.8999649999999999</v>
      </c>
      <c r="E245">
        <v>2.606995</v>
      </c>
      <c r="F245">
        <v>0.21695700000000001</v>
      </c>
    </row>
    <row r="246" spans="1:6">
      <c r="A246" s="11">
        <v>243</v>
      </c>
      <c r="B246">
        <v>0.46870200000000001</v>
      </c>
      <c r="C246">
        <v>0.14147399999999999</v>
      </c>
      <c r="D246">
        <v>4.9624670000000002</v>
      </c>
      <c r="E246">
        <v>0.33343800000000001</v>
      </c>
      <c r="F246">
        <v>3.6024630000000002</v>
      </c>
    </row>
    <row r="247" spans="1:6">
      <c r="A247" s="11">
        <v>244</v>
      </c>
      <c r="B247">
        <v>6.2090649999999998</v>
      </c>
      <c r="C247">
        <v>6.1532239999999998</v>
      </c>
      <c r="D247">
        <v>0.48343199999999997</v>
      </c>
      <c r="E247">
        <v>1.5192300000000001</v>
      </c>
      <c r="F247">
        <v>9.6257999999999996E-2</v>
      </c>
    </row>
    <row r="248" spans="1:6">
      <c r="A248" s="11">
        <v>245</v>
      </c>
      <c r="B248">
        <v>1.2287889999999999</v>
      </c>
      <c r="C248">
        <v>2.255474</v>
      </c>
      <c r="D248">
        <v>12.175504</v>
      </c>
      <c r="E248">
        <v>4.079834</v>
      </c>
      <c r="F248">
        <v>3.3878910000000002</v>
      </c>
    </row>
    <row r="249" spans="1:6">
      <c r="A249" s="11">
        <v>246</v>
      </c>
      <c r="B249">
        <v>0.70498400000000006</v>
      </c>
      <c r="C249">
        <v>2.160669</v>
      </c>
      <c r="D249">
        <v>0.94061899999999998</v>
      </c>
      <c r="E249">
        <v>1.976772</v>
      </c>
      <c r="F249">
        <v>3.5812400000000002</v>
      </c>
    </row>
    <row r="250" spans="1:6">
      <c r="A250" s="11">
        <v>247</v>
      </c>
      <c r="B250">
        <v>1.6250290000000001</v>
      </c>
      <c r="C250">
        <v>0.87222599999999995</v>
      </c>
      <c r="D250">
        <v>0.759822</v>
      </c>
      <c r="E250">
        <v>1.6622490000000001</v>
      </c>
      <c r="F250">
        <v>0.48422799999999999</v>
      </c>
    </row>
    <row r="251" spans="1:6">
      <c r="A251" s="11">
        <v>248</v>
      </c>
      <c r="B251">
        <v>3.9860989999999998</v>
      </c>
      <c r="C251">
        <v>0.45167499999999999</v>
      </c>
      <c r="D251">
        <v>6.1288320000000001</v>
      </c>
      <c r="E251">
        <v>0.84618499999999996</v>
      </c>
      <c r="F251">
        <v>2.6053280000000001</v>
      </c>
    </row>
    <row r="252" spans="1:6">
      <c r="A252" s="11">
        <v>249</v>
      </c>
      <c r="B252">
        <v>1.1439010000000001</v>
      </c>
      <c r="C252">
        <v>1.288583</v>
      </c>
      <c r="D252">
        <v>0.91628500000000002</v>
      </c>
      <c r="E252">
        <v>1.648973</v>
      </c>
      <c r="F252">
        <v>1.4324669999999999</v>
      </c>
    </row>
    <row r="253" spans="1:6">
      <c r="A253" s="11">
        <v>250</v>
      </c>
      <c r="B253">
        <v>4.1275690000000003</v>
      </c>
      <c r="C253">
        <v>0.177507</v>
      </c>
      <c r="D253">
        <v>4.4799150000000001</v>
      </c>
      <c r="E253">
        <v>1.071482</v>
      </c>
      <c r="F253">
        <v>0.85459600000000002</v>
      </c>
    </row>
    <row r="254" spans="1:6">
      <c r="A254" s="11">
        <v>251</v>
      </c>
      <c r="B254">
        <v>4.6114459999999999</v>
      </c>
      <c r="C254">
        <v>2.2131379999999998</v>
      </c>
      <c r="D254">
        <v>1.468961</v>
      </c>
      <c r="E254">
        <v>3.7021600000000001</v>
      </c>
      <c r="F254">
        <v>1.598854</v>
      </c>
    </row>
    <row r="255" spans="1:6">
      <c r="A255" s="11">
        <v>252</v>
      </c>
      <c r="B255">
        <v>4.5023739999999997</v>
      </c>
      <c r="C255">
        <v>0.62820699999999996</v>
      </c>
      <c r="D255">
        <v>3.1586289999999999</v>
      </c>
      <c r="E255">
        <v>2.065115</v>
      </c>
      <c r="F255">
        <v>1.4710799999999999</v>
      </c>
    </row>
    <row r="256" spans="1:6">
      <c r="A256" s="11">
        <v>253</v>
      </c>
      <c r="B256">
        <v>0.61496499999999998</v>
      </c>
      <c r="C256">
        <v>0.139186</v>
      </c>
      <c r="D256">
        <v>1.1892510000000001</v>
      </c>
      <c r="E256">
        <v>0.32402999999999998</v>
      </c>
      <c r="F256">
        <v>0.21837300000000001</v>
      </c>
    </row>
    <row r="257" spans="1:6">
      <c r="A257" s="11">
        <v>254</v>
      </c>
      <c r="B257">
        <v>0.31265599999999999</v>
      </c>
      <c r="C257">
        <v>0.69113500000000005</v>
      </c>
      <c r="D257">
        <v>1.523401</v>
      </c>
      <c r="E257">
        <v>0.56714799999999999</v>
      </c>
      <c r="F257">
        <v>2.2895479999999999</v>
      </c>
    </row>
    <row r="258" spans="1:6">
      <c r="A258" s="11">
        <v>255</v>
      </c>
      <c r="B258">
        <v>0.69578300000000004</v>
      </c>
      <c r="C258">
        <v>0.15340100000000001</v>
      </c>
      <c r="D258">
        <v>0.59008099999999997</v>
      </c>
      <c r="E258">
        <v>0.50904700000000003</v>
      </c>
      <c r="F258">
        <v>2.6639879999999998</v>
      </c>
    </row>
    <row r="259" spans="1:6">
      <c r="A259" s="11">
        <v>256</v>
      </c>
      <c r="B259">
        <v>0.90819899999999998</v>
      </c>
      <c r="C259">
        <v>2.2684669999999998</v>
      </c>
      <c r="D259">
        <v>1.2393700000000001</v>
      </c>
      <c r="E259">
        <v>2.8594520000000001</v>
      </c>
      <c r="F259">
        <v>0.30363000000000001</v>
      </c>
    </row>
    <row r="260" spans="1:6">
      <c r="A260" s="11">
        <v>257</v>
      </c>
      <c r="B260">
        <v>0.42597600000000002</v>
      </c>
      <c r="C260">
        <v>8.2190169999999991</v>
      </c>
      <c r="D260">
        <v>2.8790689999999999</v>
      </c>
      <c r="E260">
        <v>0.78045600000000004</v>
      </c>
      <c r="F260">
        <v>3.5321440000000002</v>
      </c>
    </row>
    <row r="261" spans="1:6">
      <c r="A261" s="11">
        <v>258</v>
      </c>
      <c r="B261">
        <v>0.56980600000000003</v>
      </c>
      <c r="C261">
        <v>8.9044209999999993</v>
      </c>
      <c r="D261">
        <v>0.70685299999999995</v>
      </c>
      <c r="E261">
        <v>0.24087900000000001</v>
      </c>
      <c r="F261">
        <v>1.41412</v>
      </c>
    </row>
    <row r="262" spans="1:6">
      <c r="A262" s="11">
        <v>259</v>
      </c>
      <c r="B262">
        <v>0.36775200000000002</v>
      </c>
      <c r="C262">
        <v>1.947738</v>
      </c>
      <c r="D262">
        <v>1.1450940000000001</v>
      </c>
      <c r="E262">
        <v>4.2886300000000004</v>
      </c>
      <c r="F262">
        <v>0.464453</v>
      </c>
    </row>
    <row r="263" spans="1:6">
      <c r="A263" s="11">
        <v>260</v>
      </c>
      <c r="B263">
        <v>0.50126400000000004</v>
      </c>
      <c r="C263">
        <v>0.35408800000000001</v>
      </c>
      <c r="D263">
        <v>0.29178999999999999</v>
      </c>
      <c r="E263">
        <v>0.24718300000000001</v>
      </c>
      <c r="F263">
        <v>2.2186119999999998</v>
      </c>
    </row>
    <row r="264" spans="1:6">
      <c r="A264" s="11">
        <v>261</v>
      </c>
      <c r="B264">
        <v>0.50130699999999995</v>
      </c>
      <c r="C264">
        <v>0.79670799999999997</v>
      </c>
      <c r="D264">
        <v>0.53655799999999998</v>
      </c>
      <c r="E264">
        <v>0.26306600000000002</v>
      </c>
      <c r="F264">
        <v>0.381749</v>
      </c>
    </row>
    <row r="265" spans="1:6">
      <c r="A265" s="11">
        <v>262</v>
      </c>
      <c r="B265">
        <v>1.080565</v>
      </c>
      <c r="C265">
        <v>17.949439000000002</v>
      </c>
      <c r="D265">
        <v>0.147006</v>
      </c>
      <c r="E265">
        <v>0.18773899999999999</v>
      </c>
      <c r="F265">
        <v>0.56735000000000002</v>
      </c>
    </row>
    <row r="266" spans="1:6">
      <c r="A266" s="11">
        <v>263</v>
      </c>
      <c r="B266">
        <v>0.21632499999999999</v>
      </c>
      <c r="C266">
        <v>0.33762599999999998</v>
      </c>
      <c r="D266">
        <v>2.8033320000000002</v>
      </c>
      <c r="E266">
        <v>2.3832650000000002</v>
      </c>
      <c r="F266">
        <v>0.59299500000000005</v>
      </c>
    </row>
    <row r="267" spans="1:6">
      <c r="A267" s="11">
        <v>264</v>
      </c>
      <c r="B267">
        <v>0.22334899999999999</v>
      </c>
      <c r="C267">
        <v>1.3171580000000001</v>
      </c>
      <c r="D267">
        <v>7.7989689999999996</v>
      </c>
      <c r="E267">
        <v>5.4575820000000004</v>
      </c>
      <c r="F267">
        <v>2.0865390000000001</v>
      </c>
    </row>
    <row r="268" spans="1:6">
      <c r="A268" s="11">
        <v>265</v>
      </c>
      <c r="B268">
        <v>0.51018300000000005</v>
      </c>
      <c r="C268">
        <v>1.063472</v>
      </c>
      <c r="D268">
        <v>1.416113</v>
      </c>
      <c r="E268">
        <v>8.0467999999999998E-2</v>
      </c>
      <c r="F268">
        <v>3.9645980000000001</v>
      </c>
    </row>
    <row r="269" spans="1:6">
      <c r="A269" s="11">
        <v>266</v>
      </c>
      <c r="B269">
        <v>1.742232</v>
      </c>
      <c r="C269">
        <v>1.1308830000000001</v>
      </c>
      <c r="D269">
        <v>0.12009400000000001</v>
      </c>
      <c r="E269">
        <v>0.58801099999999995</v>
      </c>
      <c r="F269">
        <v>0.56021500000000002</v>
      </c>
    </row>
    <row r="270" spans="1:6">
      <c r="A270" s="11">
        <v>267</v>
      </c>
      <c r="B270">
        <v>1.1331910000000001</v>
      </c>
      <c r="C270">
        <v>0.28640700000000002</v>
      </c>
      <c r="D270">
        <v>8.8284880000000001</v>
      </c>
      <c r="E270">
        <v>1.205627</v>
      </c>
      <c r="F270">
        <v>3.4288280000000002</v>
      </c>
    </row>
    <row r="271" spans="1:6">
      <c r="A271" s="11">
        <v>268</v>
      </c>
      <c r="B271">
        <v>2.0367980000000001</v>
      </c>
      <c r="C271">
        <v>16.519190999999999</v>
      </c>
      <c r="D271">
        <v>0.73369300000000004</v>
      </c>
      <c r="E271">
        <v>0.55027800000000004</v>
      </c>
      <c r="F271">
        <v>1.4742139999999999</v>
      </c>
    </row>
    <row r="272" spans="1:6">
      <c r="A272" s="11">
        <v>269</v>
      </c>
      <c r="B272">
        <v>9.1199309999999993</v>
      </c>
      <c r="C272">
        <v>3.7652410000000001</v>
      </c>
      <c r="D272">
        <v>1.9796469999999999</v>
      </c>
      <c r="E272">
        <v>3.2160859999999998</v>
      </c>
      <c r="F272">
        <v>0.244059</v>
      </c>
    </row>
    <row r="273" spans="1:6">
      <c r="A273" s="11">
        <v>270</v>
      </c>
      <c r="B273">
        <v>2.4828670000000002</v>
      </c>
      <c r="C273">
        <v>1.4734560000000001</v>
      </c>
      <c r="D273">
        <v>0.50203600000000004</v>
      </c>
      <c r="E273">
        <v>0.25073899999999999</v>
      </c>
      <c r="F273">
        <v>6.9846130000000004</v>
      </c>
    </row>
    <row r="274" spans="1:6">
      <c r="A274" s="11">
        <v>271</v>
      </c>
      <c r="B274">
        <v>2.3015919999999999</v>
      </c>
      <c r="C274">
        <v>6.2730389999999998</v>
      </c>
      <c r="D274">
        <v>1.345456</v>
      </c>
      <c r="E274">
        <v>1.124009</v>
      </c>
      <c r="F274">
        <v>0.224435</v>
      </c>
    </row>
    <row r="275" spans="1:6">
      <c r="A275" s="11">
        <v>272</v>
      </c>
      <c r="B275">
        <v>2.0308820000000001</v>
      </c>
      <c r="C275">
        <v>4.8827759999999998</v>
      </c>
      <c r="D275">
        <v>1.250132</v>
      </c>
      <c r="E275">
        <v>0.760849</v>
      </c>
      <c r="F275">
        <v>0.39487699999999998</v>
      </c>
    </row>
    <row r="276" spans="1:6">
      <c r="A276" s="11">
        <v>273</v>
      </c>
      <c r="B276">
        <v>1.307358</v>
      </c>
      <c r="C276">
        <v>0.84881099999999998</v>
      </c>
      <c r="D276">
        <v>1.041185</v>
      </c>
      <c r="E276">
        <v>2.8441519999999998</v>
      </c>
      <c r="F276">
        <v>1.961354</v>
      </c>
    </row>
    <row r="277" spans="1:6">
      <c r="A277" s="11">
        <v>274</v>
      </c>
      <c r="B277">
        <v>0.149398</v>
      </c>
      <c r="C277">
        <v>0.55757999999999996</v>
      </c>
      <c r="D277">
        <v>0.226158</v>
      </c>
      <c r="E277">
        <v>2.2864399999999998</v>
      </c>
      <c r="F277">
        <v>1.3487</v>
      </c>
    </row>
    <row r="278" spans="1:6">
      <c r="A278" s="11">
        <v>275</v>
      </c>
      <c r="B278">
        <v>2.553528</v>
      </c>
      <c r="C278">
        <v>1.5408470000000001</v>
      </c>
      <c r="D278">
        <v>0.651532</v>
      </c>
      <c r="E278">
        <v>0.71995600000000004</v>
      </c>
      <c r="F278">
        <v>2.2346219999999999</v>
      </c>
    </row>
    <row r="279" spans="1:6">
      <c r="A279" s="11">
        <v>276</v>
      </c>
      <c r="B279">
        <v>2.665807</v>
      </c>
      <c r="C279">
        <v>1.1531830000000001</v>
      </c>
      <c r="D279">
        <v>0.79003999999999996</v>
      </c>
      <c r="E279">
        <v>0.53741300000000003</v>
      </c>
      <c r="F279">
        <v>1.865683</v>
      </c>
    </row>
    <row r="280" spans="1:6">
      <c r="A280" s="11">
        <v>277</v>
      </c>
      <c r="B280">
        <v>2.4301529999999998</v>
      </c>
      <c r="C280">
        <v>2.2271610000000002</v>
      </c>
      <c r="D280">
        <v>0.75842699999999996</v>
      </c>
      <c r="E280">
        <v>0.89007199999999997</v>
      </c>
      <c r="F280">
        <v>2.6707510000000001</v>
      </c>
    </row>
    <row r="281" spans="1:6">
      <c r="A281" s="11">
        <v>278</v>
      </c>
      <c r="B281">
        <v>0.87588299999999997</v>
      </c>
      <c r="C281">
        <v>0.34950199999999998</v>
      </c>
      <c r="D281">
        <v>0.336339</v>
      </c>
      <c r="E281">
        <v>1.6583110000000001</v>
      </c>
      <c r="F281">
        <v>0.66342699999999999</v>
      </c>
    </row>
    <row r="282" spans="1:6">
      <c r="A282" s="11">
        <v>279</v>
      </c>
      <c r="B282">
        <v>0.26172000000000001</v>
      </c>
      <c r="C282">
        <v>2.478926</v>
      </c>
      <c r="D282">
        <v>0.29257</v>
      </c>
      <c r="E282">
        <v>0.907586</v>
      </c>
      <c r="F282">
        <v>1.295383</v>
      </c>
    </row>
    <row r="283" spans="1:6">
      <c r="A283" s="11">
        <v>280</v>
      </c>
      <c r="B283">
        <v>11.466742</v>
      </c>
      <c r="C283">
        <v>0.96434799999999998</v>
      </c>
      <c r="D283">
        <v>1.422147</v>
      </c>
      <c r="E283">
        <v>11.233591000000001</v>
      </c>
      <c r="F283">
        <v>0.98206000000000004</v>
      </c>
    </row>
    <row r="284" spans="1:6">
      <c r="A284" s="11">
        <v>281</v>
      </c>
      <c r="B284">
        <v>1.4922169999999999</v>
      </c>
      <c r="C284">
        <v>0.43225599999999997</v>
      </c>
      <c r="D284">
        <v>1.2429950000000001</v>
      </c>
      <c r="E284">
        <v>0.136407</v>
      </c>
      <c r="F284">
        <v>0.711144</v>
      </c>
    </row>
    <row r="285" spans="1:6">
      <c r="A285" s="11">
        <v>282</v>
      </c>
      <c r="B285">
        <v>0.121131</v>
      </c>
      <c r="C285">
        <v>0.83114500000000002</v>
      </c>
      <c r="D285">
        <v>0.45857799999999999</v>
      </c>
      <c r="E285">
        <v>0.49217</v>
      </c>
      <c r="F285">
        <v>3.3145790000000002</v>
      </c>
    </row>
    <row r="286" spans="1:6">
      <c r="A286" s="11">
        <v>283</v>
      </c>
      <c r="B286">
        <v>1.6175580000000001</v>
      </c>
      <c r="C286">
        <v>0.60900799999999999</v>
      </c>
      <c r="D286">
        <v>0.51135299999999995</v>
      </c>
      <c r="E286">
        <v>61.733395000000002</v>
      </c>
      <c r="F286">
        <v>0.78689399999999998</v>
      </c>
    </row>
    <row r="287" spans="1:6">
      <c r="A287" s="11">
        <v>284</v>
      </c>
      <c r="B287">
        <v>6.9761000000000004E-2</v>
      </c>
      <c r="C287">
        <v>0.16404199999999999</v>
      </c>
      <c r="D287">
        <v>1.6278010000000001</v>
      </c>
      <c r="E287">
        <v>0.535609</v>
      </c>
      <c r="F287">
        <v>1.5940479999999999</v>
      </c>
    </row>
    <row r="288" spans="1:6">
      <c r="A288" s="11">
        <v>285</v>
      </c>
      <c r="B288">
        <v>0.24477299999999999</v>
      </c>
      <c r="C288">
        <v>1.107907</v>
      </c>
      <c r="D288">
        <v>14.239324</v>
      </c>
      <c r="E288">
        <v>0.51671999999999996</v>
      </c>
      <c r="F288">
        <v>0.63300599999999996</v>
      </c>
    </row>
    <row r="289" spans="1:6">
      <c r="A289" s="11">
        <v>286</v>
      </c>
      <c r="B289">
        <v>0.67817499999999997</v>
      </c>
      <c r="C289">
        <v>0.98555800000000005</v>
      </c>
      <c r="D289">
        <v>2.3855580000000001</v>
      </c>
      <c r="E289">
        <v>2.0371969999999999</v>
      </c>
      <c r="F289">
        <v>2.1305730000000001</v>
      </c>
    </row>
    <row r="290" spans="1:6">
      <c r="A290" s="11">
        <v>287</v>
      </c>
      <c r="B290">
        <v>8.6600610000000007</v>
      </c>
      <c r="C290">
        <v>0.59424999999999994</v>
      </c>
      <c r="D290">
        <v>1.5111060000000001</v>
      </c>
      <c r="E290">
        <v>0.28611300000000001</v>
      </c>
      <c r="F290">
        <v>0.31403500000000001</v>
      </c>
    </row>
    <row r="291" spans="1:6">
      <c r="A291" s="11">
        <v>288</v>
      </c>
      <c r="B291">
        <v>4.4761499999999996</v>
      </c>
      <c r="C291">
        <v>1.430013</v>
      </c>
      <c r="D291">
        <v>0.30379099999999998</v>
      </c>
      <c r="E291">
        <v>1.4537230000000001</v>
      </c>
      <c r="F291">
        <v>0.23705499999999999</v>
      </c>
    </row>
    <row r="292" spans="1:6">
      <c r="A292" s="11">
        <v>289</v>
      </c>
      <c r="B292">
        <v>2.838721</v>
      </c>
      <c r="C292">
        <v>0.146179</v>
      </c>
      <c r="D292">
        <v>0.49052299999999999</v>
      </c>
      <c r="E292">
        <v>0.53515900000000005</v>
      </c>
      <c r="F292">
        <v>1.1574420000000001</v>
      </c>
    </row>
    <row r="293" spans="1:6">
      <c r="A293" s="11">
        <v>290</v>
      </c>
      <c r="B293">
        <v>0.28514</v>
      </c>
      <c r="C293">
        <v>2.0468860000000002</v>
      </c>
      <c r="D293">
        <v>5.8530530000000001</v>
      </c>
      <c r="E293">
        <v>0.51273400000000002</v>
      </c>
      <c r="F293">
        <v>0.53592600000000001</v>
      </c>
    </row>
    <row r="294" spans="1:6">
      <c r="A294" s="11">
        <v>291</v>
      </c>
      <c r="B294">
        <v>0.65567399999999998</v>
      </c>
      <c r="C294">
        <v>0.25263099999999999</v>
      </c>
      <c r="D294">
        <v>1.8697569999999999</v>
      </c>
      <c r="E294">
        <v>0.98038899999999995</v>
      </c>
      <c r="F294">
        <v>1.167333</v>
      </c>
    </row>
    <row r="295" spans="1:6">
      <c r="A295" s="11">
        <v>292</v>
      </c>
      <c r="B295">
        <v>0.81807200000000002</v>
      </c>
      <c r="C295">
        <v>1.882598</v>
      </c>
      <c r="D295">
        <v>3.4167209999999999</v>
      </c>
      <c r="E295">
        <v>2.457322</v>
      </c>
      <c r="F295">
        <v>8.9789530000000006</v>
      </c>
    </row>
    <row r="296" spans="1:6">
      <c r="A296" s="11">
        <v>293</v>
      </c>
      <c r="B296">
        <v>5.1683620000000001</v>
      </c>
      <c r="C296">
        <v>0.69539799999999996</v>
      </c>
      <c r="D296">
        <v>4.6491680000000004</v>
      </c>
      <c r="E296">
        <v>1.4200969999999999</v>
      </c>
      <c r="F296">
        <v>1.246567</v>
      </c>
    </row>
    <row r="297" spans="1:6">
      <c r="A297" s="11">
        <v>294</v>
      </c>
      <c r="B297">
        <v>2.086347</v>
      </c>
      <c r="C297">
        <v>0.88030200000000003</v>
      </c>
      <c r="D297">
        <v>0.56704699999999997</v>
      </c>
      <c r="E297">
        <v>1.632307</v>
      </c>
      <c r="F297">
        <v>0.71401999999999999</v>
      </c>
    </row>
    <row r="298" spans="1:6">
      <c r="A298" s="11">
        <v>295</v>
      </c>
      <c r="B298">
        <v>27.077086000000001</v>
      </c>
      <c r="C298">
        <v>0.17817</v>
      </c>
      <c r="D298">
        <v>2.0893090000000001</v>
      </c>
      <c r="E298">
        <v>1.7260059999999999</v>
      </c>
      <c r="F298">
        <v>0.92510499999999996</v>
      </c>
    </row>
    <row r="299" spans="1:6">
      <c r="A299" s="11">
        <v>296</v>
      </c>
      <c r="B299">
        <v>8.8319700000000001</v>
      </c>
      <c r="C299">
        <v>0.15929099999999999</v>
      </c>
      <c r="D299">
        <v>1.83355</v>
      </c>
      <c r="E299">
        <v>0.98848800000000003</v>
      </c>
      <c r="F299">
        <v>18.417814</v>
      </c>
    </row>
    <row r="300" spans="1:6">
      <c r="A300" s="11">
        <v>297</v>
      </c>
      <c r="B300">
        <v>0.52982700000000005</v>
      </c>
      <c r="C300">
        <v>0.172154</v>
      </c>
      <c r="D300">
        <v>1.2043999999999999</v>
      </c>
      <c r="E300">
        <v>0.62829999999999997</v>
      </c>
      <c r="F300">
        <v>1.1487179999999999</v>
      </c>
    </row>
    <row r="301" spans="1:6">
      <c r="A301" s="11">
        <v>298</v>
      </c>
      <c r="B301">
        <v>0.61187599999999998</v>
      </c>
      <c r="C301">
        <v>0.22234599999999999</v>
      </c>
      <c r="D301">
        <v>0.193054</v>
      </c>
      <c r="E301">
        <v>0.52983000000000002</v>
      </c>
      <c r="F301">
        <v>0.60454300000000005</v>
      </c>
    </row>
    <row r="302" spans="1:6">
      <c r="A302" s="11">
        <v>299</v>
      </c>
      <c r="B302">
        <v>0.246334</v>
      </c>
      <c r="C302">
        <v>2.3098320000000001</v>
      </c>
      <c r="D302">
        <v>6.8527959999999997</v>
      </c>
      <c r="E302">
        <v>1.2818860000000001</v>
      </c>
      <c r="F302">
        <v>2.102916</v>
      </c>
    </row>
    <row r="303" spans="1:6">
      <c r="A303" s="11">
        <v>300</v>
      </c>
      <c r="B303">
        <v>0.455789</v>
      </c>
      <c r="C303">
        <v>0.40391100000000002</v>
      </c>
      <c r="D303">
        <v>0.28010499999999999</v>
      </c>
      <c r="E303">
        <v>0.57328599999999996</v>
      </c>
      <c r="F303">
        <v>1.35232</v>
      </c>
    </row>
    <row r="304" spans="1:6">
      <c r="A304" s="11">
        <v>301</v>
      </c>
      <c r="B304">
        <v>0.19899800000000001</v>
      </c>
      <c r="C304">
        <v>0.427118</v>
      </c>
      <c r="D304">
        <v>1.27948</v>
      </c>
      <c r="E304">
        <v>1.227365</v>
      </c>
      <c r="F304">
        <v>1.20987</v>
      </c>
    </row>
    <row r="305" spans="1:6">
      <c r="A305" s="11">
        <v>302</v>
      </c>
      <c r="B305">
        <v>3.8803160000000001</v>
      </c>
      <c r="C305">
        <v>0.47497400000000001</v>
      </c>
      <c r="D305">
        <v>4.3500999999999998E-2</v>
      </c>
      <c r="E305">
        <v>0.87066600000000005</v>
      </c>
      <c r="F305">
        <v>0.21070800000000001</v>
      </c>
    </row>
    <row r="306" spans="1:6">
      <c r="A306" s="11">
        <v>303</v>
      </c>
      <c r="B306">
        <v>2.7003089999999998</v>
      </c>
      <c r="C306">
        <v>1.074289</v>
      </c>
      <c r="D306">
        <v>1.2880579999999999</v>
      </c>
      <c r="E306">
        <v>3.4279950000000001</v>
      </c>
      <c r="F306">
        <v>0.64879900000000001</v>
      </c>
    </row>
    <row r="307" spans="1:6">
      <c r="A307" s="11">
        <v>304</v>
      </c>
      <c r="B307">
        <v>0.34090799999999999</v>
      </c>
      <c r="C307">
        <v>1.929173</v>
      </c>
      <c r="D307">
        <v>0.414933</v>
      </c>
      <c r="E307">
        <v>0.330204</v>
      </c>
      <c r="F307">
        <v>0.86695299999999997</v>
      </c>
    </row>
    <row r="308" spans="1:6">
      <c r="A308" s="11">
        <v>305</v>
      </c>
      <c r="B308">
        <v>0.37377300000000002</v>
      </c>
      <c r="C308">
        <v>1.858876</v>
      </c>
      <c r="D308">
        <v>2.9545460000000001</v>
      </c>
      <c r="E308">
        <v>0.29000999999999999</v>
      </c>
      <c r="F308">
        <v>2.5858539999999999</v>
      </c>
    </row>
    <row r="309" spans="1:6">
      <c r="A309" s="11">
        <v>306</v>
      </c>
      <c r="B309">
        <v>2.3428800000000001</v>
      </c>
      <c r="C309">
        <v>1.5694129999999999</v>
      </c>
      <c r="D309">
        <v>1.228756</v>
      </c>
      <c r="E309">
        <v>4.4714320000000001</v>
      </c>
      <c r="F309">
        <v>0.63759600000000005</v>
      </c>
    </row>
    <row r="310" spans="1:6">
      <c r="A310" s="11">
        <v>307</v>
      </c>
      <c r="B310">
        <v>0.48430299999999998</v>
      </c>
      <c r="C310">
        <v>0.37446600000000002</v>
      </c>
      <c r="D310">
        <v>6.6012709999999997</v>
      </c>
      <c r="E310">
        <v>0.47375099999999998</v>
      </c>
      <c r="F310">
        <v>9.1643550000000005</v>
      </c>
    </row>
    <row r="311" spans="1:6">
      <c r="A311" s="11">
        <v>308</v>
      </c>
      <c r="B311">
        <v>0.12936500000000001</v>
      </c>
      <c r="C311">
        <v>4.5631440000000003</v>
      </c>
      <c r="D311">
        <v>0.63129599999999997</v>
      </c>
      <c r="E311">
        <v>3.3179069999999999</v>
      </c>
      <c r="F311">
        <v>1.6613659999999999</v>
      </c>
    </row>
    <row r="312" spans="1:6">
      <c r="A312" s="11">
        <v>309</v>
      </c>
      <c r="B312">
        <v>4.3812030000000002</v>
      </c>
      <c r="C312">
        <v>2.2450739999999998</v>
      </c>
      <c r="D312">
        <v>0.78011900000000001</v>
      </c>
      <c r="E312">
        <v>1.3781589999999999</v>
      </c>
      <c r="F312">
        <v>0.56588700000000003</v>
      </c>
    </row>
    <row r="313" spans="1:6">
      <c r="A313" s="11">
        <v>310</v>
      </c>
      <c r="B313">
        <v>1.351313</v>
      </c>
      <c r="C313">
        <v>4.831728</v>
      </c>
      <c r="D313">
        <v>1.561966</v>
      </c>
      <c r="E313">
        <v>8.3583000000000005E-2</v>
      </c>
      <c r="F313">
        <v>0.56273799999999996</v>
      </c>
    </row>
    <row r="314" spans="1:6">
      <c r="A314" s="11">
        <v>311</v>
      </c>
      <c r="B314">
        <v>0.43968200000000002</v>
      </c>
      <c r="C314">
        <v>2.151529</v>
      </c>
      <c r="D314">
        <v>0.33108700000000002</v>
      </c>
      <c r="E314">
        <v>0.410995</v>
      </c>
      <c r="F314">
        <v>0.62039900000000003</v>
      </c>
    </row>
    <row r="315" spans="1:6">
      <c r="A315" s="11">
        <v>312</v>
      </c>
      <c r="B315">
        <v>2.3977029999999999</v>
      </c>
      <c r="C315">
        <v>5.1248000000000002E-2</v>
      </c>
      <c r="D315">
        <v>0.93739499999999998</v>
      </c>
      <c r="E315">
        <v>2.6540979999999998</v>
      </c>
      <c r="F315">
        <v>1.3713580000000001</v>
      </c>
    </row>
    <row r="316" spans="1:6">
      <c r="A316" s="11">
        <v>313</v>
      </c>
      <c r="B316">
        <v>0.572627</v>
      </c>
      <c r="C316">
        <v>5.6400880000000004</v>
      </c>
      <c r="D316">
        <v>1.7133050000000001</v>
      </c>
      <c r="E316">
        <v>1.0906260000000001</v>
      </c>
      <c r="F316">
        <v>1.4941089999999999</v>
      </c>
    </row>
    <row r="317" spans="1:6">
      <c r="A317" s="11">
        <v>314</v>
      </c>
      <c r="B317">
        <v>3.273523</v>
      </c>
      <c r="C317">
        <v>1.2164900000000001</v>
      </c>
      <c r="D317">
        <v>1.4857720000000001</v>
      </c>
      <c r="E317">
        <v>9.8438999999999999E-2</v>
      </c>
      <c r="F317">
        <v>3.9335079999999998</v>
      </c>
    </row>
    <row r="318" spans="1:6">
      <c r="A318" s="11">
        <v>315</v>
      </c>
      <c r="B318">
        <v>1.1467510000000001</v>
      </c>
      <c r="C318">
        <v>1.120098</v>
      </c>
      <c r="D318">
        <v>0.20735899999999999</v>
      </c>
      <c r="E318">
        <v>0.11977599999999999</v>
      </c>
      <c r="F318">
        <v>0.58278700000000005</v>
      </c>
    </row>
    <row r="319" spans="1:6">
      <c r="A319" s="11">
        <v>316</v>
      </c>
      <c r="B319">
        <v>0.51926600000000001</v>
      </c>
      <c r="C319">
        <v>0.80200199999999999</v>
      </c>
      <c r="D319">
        <v>0.85299199999999997</v>
      </c>
      <c r="E319">
        <v>0.72127399999999997</v>
      </c>
      <c r="F319">
        <v>0.62372399999999995</v>
      </c>
    </row>
    <row r="320" spans="1:6">
      <c r="A320" s="11">
        <v>317</v>
      </c>
      <c r="B320">
        <v>0.81203599999999998</v>
      </c>
      <c r="C320">
        <v>1.605998</v>
      </c>
      <c r="D320">
        <v>0.32022499999999998</v>
      </c>
      <c r="E320">
        <v>6.2538999999999997E-2</v>
      </c>
      <c r="F320">
        <v>0.719634</v>
      </c>
    </row>
    <row r="321" spans="1:6">
      <c r="A321" s="11">
        <v>318</v>
      </c>
      <c r="B321">
        <v>2.9008349999999998</v>
      </c>
      <c r="C321">
        <v>0.118258</v>
      </c>
      <c r="D321">
        <v>1.339547</v>
      </c>
      <c r="E321">
        <v>1.7294959999999999</v>
      </c>
      <c r="F321">
        <v>0.94598599999999999</v>
      </c>
    </row>
    <row r="322" spans="1:6">
      <c r="A322" s="11">
        <v>319</v>
      </c>
      <c r="B322">
        <v>2.0655450000000002</v>
      </c>
      <c r="C322">
        <v>3.9949669999999999</v>
      </c>
      <c r="D322">
        <v>11.908313</v>
      </c>
      <c r="E322">
        <v>0.50722199999999995</v>
      </c>
      <c r="F322">
        <v>0.13992599999999999</v>
      </c>
    </row>
    <row r="323" spans="1:6">
      <c r="A323" s="11">
        <v>320</v>
      </c>
      <c r="B323">
        <v>7.7805109999999997</v>
      </c>
      <c r="C323">
        <v>2.2708400000000002</v>
      </c>
      <c r="D323">
        <v>0.67561499999999997</v>
      </c>
      <c r="E323">
        <v>0.69550999999999996</v>
      </c>
      <c r="F323">
        <v>3.3213379999999999</v>
      </c>
    </row>
    <row r="324" spans="1:6">
      <c r="A324" s="11">
        <v>321</v>
      </c>
      <c r="B324">
        <v>2.3239860000000001</v>
      </c>
      <c r="C324">
        <v>8.9627669999999995</v>
      </c>
      <c r="D324">
        <v>1.0418959999999999</v>
      </c>
      <c r="E324">
        <v>2.131167</v>
      </c>
      <c r="F324">
        <v>5.71814</v>
      </c>
    </row>
    <row r="325" spans="1:6">
      <c r="A325" s="11">
        <v>322</v>
      </c>
      <c r="B325">
        <v>0.38861099999999998</v>
      </c>
      <c r="C325">
        <v>0.39788099999999998</v>
      </c>
      <c r="D325">
        <v>1.1445989999999999</v>
      </c>
      <c r="E325">
        <v>0.87834599999999996</v>
      </c>
      <c r="F325">
        <v>3.6872340000000001</v>
      </c>
    </row>
    <row r="326" spans="1:6">
      <c r="A326" s="11">
        <v>323</v>
      </c>
      <c r="B326">
        <v>0.39854499999999998</v>
      </c>
      <c r="C326">
        <v>0.79146499999999997</v>
      </c>
      <c r="D326">
        <v>1.4427810000000001</v>
      </c>
      <c r="E326">
        <v>1.5966849999999999</v>
      </c>
      <c r="F326">
        <v>7.3872099999999996</v>
      </c>
    </row>
    <row r="327" spans="1:6">
      <c r="A327" s="11">
        <v>324</v>
      </c>
      <c r="B327">
        <v>2.0829230000000001</v>
      </c>
      <c r="C327">
        <v>6.1893750000000001</v>
      </c>
      <c r="D327">
        <v>1.1731689999999999</v>
      </c>
      <c r="E327">
        <v>0.19908300000000001</v>
      </c>
      <c r="F327">
        <v>10.884449999999999</v>
      </c>
    </row>
    <row r="328" spans="1:6">
      <c r="A328" s="11">
        <v>325</v>
      </c>
      <c r="B328">
        <v>11.0016</v>
      </c>
      <c r="C328">
        <v>1.092149</v>
      </c>
      <c r="D328">
        <v>17.87425</v>
      </c>
      <c r="E328">
        <v>0.52714300000000003</v>
      </c>
      <c r="F328">
        <v>4.4518639999999996</v>
      </c>
    </row>
    <row r="329" spans="1:6">
      <c r="A329" s="11">
        <v>326</v>
      </c>
      <c r="B329">
        <v>4.1250080000000002</v>
      </c>
      <c r="C329">
        <v>0.51185700000000001</v>
      </c>
      <c r="D329">
        <v>3.9233989999999999</v>
      </c>
      <c r="E329">
        <v>2.6785760000000001</v>
      </c>
      <c r="F329">
        <v>2.543644</v>
      </c>
    </row>
    <row r="330" spans="1:6">
      <c r="A330" s="11">
        <v>327</v>
      </c>
      <c r="B330">
        <v>1.1002479999999999</v>
      </c>
      <c r="C330">
        <v>0.83713000000000004</v>
      </c>
      <c r="D330">
        <v>5.9616619999999996</v>
      </c>
      <c r="E330">
        <v>0.264733</v>
      </c>
      <c r="F330">
        <v>0.89150300000000005</v>
      </c>
    </row>
    <row r="331" spans="1:6">
      <c r="A331" s="11">
        <v>328</v>
      </c>
      <c r="B331">
        <v>1.1391119999999999</v>
      </c>
      <c r="C331">
        <v>2.066875</v>
      </c>
      <c r="D331">
        <v>2.7222680000000001</v>
      </c>
      <c r="E331">
        <v>2.6007630000000002</v>
      </c>
      <c r="F331">
        <v>2.9521630000000001</v>
      </c>
    </row>
    <row r="332" spans="1:6">
      <c r="A332" s="11">
        <v>329</v>
      </c>
      <c r="B332">
        <v>20.778022</v>
      </c>
      <c r="C332">
        <v>1.9447019999999999</v>
      </c>
      <c r="D332">
        <v>0.96981700000000004</v>
      </c>
      <c r="E332">
        <v>1.2465550000000001</v>
      </c>
      <c r="F332">
        <v>2.1026790000000002</v>
      </c>
    </row>
    <row r="333" spans="1:6">
      <c r="A333" s="11">
        <v>330</v>
      </c>
      <c r="B333">
        <v>0.39894099999999999</v>
      </c>
      <c r="C333">
        <v>0.82590300000000005</v>
      </c>
      <c r="D333">
        <v>5.9530919999999998</v>
      </c>
      <c r="E333">
        <v>0.11817999999999999</v>
      </c>
      <c r="F333">
        <v>0.64437299999999997</v>
      </c>
    </row>
    <row r="334" spans="1:6">
      <c r="A334" s="11">
        <v>331</v>
      </c>
      <c r="B334">
        <v>0.79950399999999999</v>
      </c>
      <c r="C334">
        <v>1.427432</v>
      </c>
      <c r="D334">
        <v>0.76365799999999995</v>
      </c>
      <c r="E334">
        <v>0.339312</v>
      </c>
      <c r="F334">
        <v>1.5883400000000001</v>
      </c>
    </row>
    <row r="335" spans="1:6">
      <c r="A335" s="11">
        <v>332</v>
      </c>
      <c r="B335">
        <v>0.30899199999999999</v>
      </c>
      <c r="C335">
        <v>0.456982</v>
      </c>
      <c r="D335">
        <v>7.8666390000000002</v>
      </c>
      <c r="E335">
        <v>2.0951369999999998</v>
      </c>
      <c r="F335">
        <v>0.91105000000000003</v>
      </c>
    </row>
    <row r="336" spans="1:6">
      <c r="A336" s="11">
        <v>333</v>
      </c>
      <c r="B336">
        <v>0.13653100000000001</v>
      </c>
      <c r="C336">
        <v>1.839985</v>
      </c>
      <c r="D336">
        <v>0.45368700000000001</v>
      </c>
      <c r="E336">
        <v>2.8989600000000002</v>
      </c>
      <c r="F336">
        <v>2.5951919999999999</v>
      </c>
    </row>
    <row r="337" spans="1:6">
      <c r="A337" s="11">
        <v>334</v>
      </c>
      <c r="B337">
        <v>2.3787820000000002</v>
      </c>
      <c r="C337">
        <v>3.45208</v>
      </c>
      <c r="D337">
        <v>9.1664379999999994</v>
      </c>
      <c r="E337">
        <v>2.8870200000000001</v>
      </c>
      <c r="F337">
        <v>1.8751850000000001</v>
      </c>
    </row>
    <row r="338" spans="1:6">
      <c r="A338" s="11">
        <v>335</v>
      </c>
      <c r="B338">
        <v>1.270432</v>
      </c>
      <c r="C338">
        <v>2.833297</v>
      </c>
      <c r="D338">
        <v>2.4728859999999999</v>
      </c>
      <c r="E338">
        <v>1.519172</v>
      </c>
      <c r="F338">
        <v>1.389221</v>
      </c>
    </row>
    <row r="339" spans="1:6">
      <c r="A339" s="11">
        <v>336</v>
      </c>
      <c r="B339">
        <v>1.8670199999999999</v>
      </c>
      <c r="C339">
        <v>0.90078100000000005</v>
      </c>
      <c r="D339">
        <v>0.89073800000000003</v>
      </c>
      <c r="E339">
        <v>1.196464</v>
      </c>
      <c r="F339">
        <v>2.7540969999999998</v>
      </c>
    </row>
    <row r="340" spans="1:6">
      <c r="A340" s="11">
        <v>337</v>
      </c>
      <c r="B340">
        <v>0.70449700000000004</v>
      </c>
      <c r="C340">
        <v>0.43178100000000003</v>
      </c>
      <c r="D340">
        <v>0.27452900000000002</v>
      </c>
      <c r="E340">
        <v>0.50447799999999998</v>
      </c>
      <c r="F340">
        <v>1.3946890000000001</v>
      </c>
    </row>
    <row r="341" spans="1:6">
      <c r="A341" s="11">
        <v>338</v>
      </c>
      <c r="B341">
        <v>0.34211900000000001</v>
      </c>
      <c r="C341">
        <v>1.0927880000000001</v>
      </c>
      <c r="D341">
        <v>0.15737899999999999</v>
      </c>
      <c r="E341">
        <v>6.9753080000000001</v>
      </c>
      <c r="F341">
        <v>1.916401</v>
      </c>
    </row>
    <row r="342" spans="1:6">
      <c r="A342" s="11">
        <v>339</v>
      </c>
      <c r="B342">
        <v>1.2711220000000001</v>
      </c>
      <c r="C342">
        <v>0.16153100000000001</v>
      </c>
      <c r="D342">
        <v>0.22117400000000001</v>
      </c>
      <c r="E342">
        <v>0.77589799999999998</v>
      </c>
      <c r="F342">
        <v>1.8827179999999999</v>
      </c>
    </row>
    <row r="343" spans="1:6">
      <c r="A343" s="11">
        <v>340</v>
      </c>
      <c r="B343">
        <v>0.61004599999999998</v>
      </c>
      <c r="C343">
        <v>0.90496799999999999</v>
      </c>
      <c r="D343">
        <v>1.69824</v>
      </c>
      <c r="E343">
        <v>0.58167100000000005</v>
      </c>
      <c r="F343">
        <v>1.001757</v>
      </c>
    </row>
    <row r="344" spans="1:6">
      <c r="A344" s="11">
        <v>341</v>
      </c>
      <c r="B344">
        <v>2.910326</v>
      </c>
      <c r="C344">
        <v>0.41685800000000001</v>
      </c>
      <c r="D344">
        <v>0.36402499999999999</v>
      </c>
      <c r="E344">
        <v>3.6470959999999999</v>
      </c>
      <c r="F344">
        <v>0.78329899999999997</v>
      </c>
    </row>
    <row r="345" spans="1:6">
      <c r="A345" s="11">
        <v>342</v>
      </c>
      <c r="B345">
        <v>7.4439799999999998</v>
      </c>
      <c r="C345">
        <v>0.311724</v>
      </c>
      <c r="D345">
        <v>0.37291000000000002</v>
      </c>
      <c r="E345">
        <v>21.284108</v>
      </c>
      <c r="F345">
        <v>0.27136700000000002</v>
      </c>
    </row>
    <row r="346" spans="1:6">
      <c r="A346" s="11">
        <v>343</v>
      </c>
      <c r="B346">
        <v>0.32549800000000001</v>
      </c>
      <c r="C346">
        <v>2.6624319999999999</v>
      </c>
      <c r="D346">
        <v>3.4615840000000002</v>
      </c>
      <c r="E346">
        <v>2.3391190000000002</v>
      </c>
      <c r="F346">
        <v>0.33037699999999998</v>
      </c>
    </row>
    <row r="347" spans="1:6">
      <c r="A347" s="11">
        <v>344</v>
      </c>
      <c r="B347">
        <v>1.0286249999999999</v>
      </c>
      <c r="C347">
        <v>0.98036800000000002</v>
      </c>
      <c r="D347">
        <v>1.5690649999999999</v>
      </c>
      <c r="E347">
        <v>12.613821</v>
      </c>
      <c r="F347">
        <v>0.48198099999999999</v>
      </c>
    </row>
    <row r="348" spans="1:6">
      <c r="A348" s="11">
        <v>345</v>
      </c>
      <c r="B348">
        <v>4.3042999999999996</v>
      </c>
      <c r="C348">
        <v>0.57655199999999995</v>
      </c>
      <c r="D348">
        <v>0.73734100000000002</v>
      </c>
      <c r="E348">
        <v>0.75880300000000001</v>
      </c>
      <c r="F348">
        <v>1.5162389999999999</v>
      </c>
    </row>
    <row r="349" spans="1:6">
      <c r="A349" s="11">
        <v>346</v>
      </c>
      <c r="B349">
        <v>1.7443930000000001</v>
      </c>
      <c r="C349">
        <v>0.31310399999999999</v>
      </c>
      <c r="D349">
        <v>0.918906</v>
      </c>
      <c r="E349">
        <v>0.89714400000000005</v>
      </c>
      <c r="F349">
        <v>2.1088520000000002</v>
      </c>
    </row>
    <row r="350" spans="1:6">
      <c r="A350" s="11">
        <v>347</v>
      </c>
      <c r="B350">
        <v>0.59558</v>
      </c>
      <c r="C350">
        <v>3.5432169999999998</v>
      </c>
      <c r="D350">
        <v>2.403206</v>
      </c>
      <c r="E350">
        <v>0.60075699999999999</v>
      </c>
      <c r="F350">
        <v>1.009115</v>
      </c>
    </row>
    <row r="351" spans="1:6">
      <c r="A351" s="11">
        <v>348</v>
      </c>
      <c r="B351">
        <v>9.7310999999999995E-2</v>
      </c>
      <c r="C351">
        <v>0.25449899999999998</v>
      </c>
      <c r="D351">
        <v>0.13148699999999999</v>
      </c>
      <c r="E351">
        <v>4.0544700000000002</v>
      </c>
      <c r="F351">
        <v>1.347566</v>
      </c>
    </row>
    <row r="352" spans="1:6">
      <c r="A352" s="11">
        <v>349</v>
      </c>
      <c r="B352">
        <v>0.15162</v>
      </c>
      <c r="C352">
        <v>0.84188700000000005</v>
      </c>
      <c r="D352">
        <v>10.679048999999999</v>
      </c>
      <c r="E352">
        <v>1.233446</v>
      </c>
      <c r="F352">
        <v>0.68167800000000001</v>
      </c>
    </row>
    <row r="353" spans="1:6">
      <c r="A353" s="11">
        <v>350</v>
      </c>
      <c r="B353">
        <v>5.2322280000000001</v>
      </c>
      <c r="C353">
        <v>1.6168210000000001</v>
      </c>
      <c r="D353">
        <v>0.45071299999999997</v>
      </c>
      <c r="E353">
        <v>0.33852300000000002</v>
      </c>
      <c r="F353">
        <v>0.79240999999999995</v>
      </c>
    </row>
    <row r="354" spans="1:6">
      <c r="A354" s="11">
        <v>351</v>
      </c>
      <c r="B354">
        <v>0.62409700000000001</v>
      </c>
      <c r="C354">
        <v>0.65054199999999995</v>
      </c>
      <c r="D354">
        <v>1.0114529999999999</v>
      </c>
      <c r="E354">
        <v>0.45511499999999999</v>
      </c>
      <c r="F354">
        <v>5.7197089999999999</v>
      </c>
    </row>
    <row r="355" spans="1:6">
      <c r="A355" s="11">
        <v>352</v>
      </c>
      <c r="B355">
        <v>0.32026500000000002</v>
      </c>
      <c r="C355">
        <v>1.2741880000000001</v>
      </c>
      <c r="D355">
        <v>3.219147</v>
      </c>
      <c r="E355">
        <v>1.5324930000000001</v>
      </c>
      <c r="F355">
        <v>2.8783560000000001</v>
      </c>
    </row>
    <row r="356" spans="1:6">
      <c r="A356" s="11">
        <v>353</v>
      </c>
      <c r="B356">
        <v>0.330488</v>
      </c>
      <c r="C356">
        <v>0.54649300000000001</v>
      </c>
      <c r="D356">
        <v>5.071688</v>
      </c>
      <c r="E356">
        <v>1.952685</v>
      </c>
      <c r="F356">
        <v>3.2967179999999998</v>
      </c>
    </row>
    <row r="357" spans="1:6">
      <c r="A357" s="11">
        <v>354</v>
      </c>
      <c r="B357">
        <v>5.8832430000000002</v>
      </c>
      <c r="C357">
        <v>1.35758</v>
      </c>
      <c r="D357">
        <v>0.78535299999999997</v>
      </c>
      <c r="E357">
        <v>0.45778200000000002</v>
      </c>
      <c r="F357">
        <v>7.1683630000000003</v>
      </c>
    </row>
    <row r="358" spans="1:6">
      <c r="A358" s="11">
        <v>355</v>
      </c>
      <c r="B358">
        <v>2.5808300000000002</v>
      </c>
      <c r="C358">
        <v>0.64938399999999996</v>
      </c>
      <c r="D358">
        <v>3.7744219999999999</v>
      </c>
      <c r="E358">
        <v>2.0166339999999998</v>
      </c>
      <c r="F358">
        <v>0.16988800000000001</v>
      </c>
    </row>
    <row r="359" spans="1:6">
      <c r="A359" s="11">
        <v>356</v>
      </c>
      <c r="B359">
        <v>1.314659</v>
      </c>
      <c r="C359">
        <v>0.91944599999999999</v>
      </c>
      <c r="D359">
        <v>5.8568680000000004</v>
      </c>
      <c r="E359">
        <v>1.545968</v>
      </c>
      <c r="F359">
        <v>1.7117549999999999</v>
      </c>
    </row>
    <row r="360" spans="1:6">
      <c r="A360" s="11">
        <v>357</v>
      </c>
      <c r="B360">
        <v>17.712063000000001</v>
      </c>
      <c r="C360">
        <v>0.62692099999999995</v>
      </c>
      <c r="D360">
        <v>1.4705539999999999</v>
      </c>
      <c r="E360">
        <v>0.91025699999999998</v>
      </c>
      <c r="F360">
        <v>15.389044</v>
      </c>
    </row>
    <row r="361" spans="1:6">
      <c r="A361" s="11">
        <v>358</v>
      </c>
      <c r="B361">
        <v>0.39945000000000003</v>
      </c>
      <c r="C361">
        <v>0.30040099999999997</v>
      </c>
      <c r="D361">
        <v>3.041598</v>
      </c>
      <c r="E361">
        <v>0.65131899999999998</v>
      </c>
      <c r="F361">
        <v>0.14472599999999999</v>
      </c>
    </row>
    <row r="362" spans="1:6">
      <c r="A362" s="11">
        <v>359</v>
      </c>
      <c r="B362">
        <v>0.24538199999999999</v>
      </c>
      <c r="C362">
        <v>0.70319299999999996</v>
      </c>
      <c r="D362">
        <v>0.67008599999999996</v>
      </c>
      <c r="E362">
        <v>1.208277</v>
      </c>
      <c r="F362">
        <v>0.79356599999999999</v>
      </c>
    </row>
    <row r="363" spans="1:6">
      <c r="A363" s="11">
        <v>360</v>
      </c>
      <c r="B363">
        <v>1.991528</v>
      </c>
      <c r="C363">
        <v>0.100582</v>
      </c>
      <c r="D363">
        <v>1.0817110000000001</v>
      </c>
      <c r="E363">
        <v>4.8563799999999997</v>
      </c>
      <c r="F363">
        <v>0.26355899999999999</v>
      </c>
    </row>
    <row r="364" spans="1:6">
      <c r="A364" s="11">
        <v>361</v>
      </c>
      <c r="B364">
        <v>0.206512</v>
      </c>
      <c r="C364">
        <v>0.71119399999999999</v>
      </c>
      <c r="D364">
        <v>4.6658179999999998</v>
      </c>
      <c r="E364">
        <v>0.48859799999999998</v>
      </c>
      <c r="F364">
        <v>0.15411</v>
      </c>
    </row>
    <row r="365" spans="1:6">
      <c r="A365" s="11">
        <v>362</v>
      </c>
      <c r="B365">
        <v>1.7692049999999999</v>
      </c>
      <c r="C365">
        <v>1.220372</v>
      </c>
      <c r="D365">
        <v>2.0355159999999999</v>
      </c>
      <c r="E365">
        <v>1.545283</v>
      </c>
      <c r="F365">
        <v>0.87031999999999998</v>
      </c>
    </row>
    <row r="366" spans="1:6">
      <c r="A366" s="11">
        <v>363</v>
      </c>
      <c r="B366">
        <v>0.96929100000000001</v>
      </c>
      <c r="C366">
        <v>0.52903900000000004</v>
      </c>
      <c r="D366">
        <v>1.116344</v>
      </c>
      <c r="E366">
        <v>0.60950400000000005</v>
      </c>
      <c r="F366">
        <v>2.7326800000000002</v>
      </c>
    </row>
    <row r="367" spans="1:6">
      <c r="A367" s="11">
        <v>364</v>
      </c>
      <c r="B367">
        <v>0.26335799999999998</v>
      </c>
      <c r="C367">
        <v>7.279871</v>
      </c>
      <c r="D367">
        <v>6.0243270000000004</v>
      </c>
      <c r="E367">
        <v>3.5577670000000001</v>
      </c>
      <c r="F367">
        <v>0.27353</v>
      </c>
    </row>
    <row r="368" spans="1:6">
      <c r="A368" s="11">
        <v>365</v>
      </c>
      <c r="B368">
        <v>3.0841340000000002</v>
      </c>
      <c r="C368">
        <v>1.232165</v>
      </c>
      <c r="D368">
        <v>0.527312</v>
      </c>
      <c r="E368">
        <v>1.322279</v>
      </c>
      <c r="F368">
        <v>0.967136</v>
      </c>
    </row>
    <row r="369" spans="1:6">
      <c r="A369" s="11">
        <v>366</v>
      </c>
      <c r="B369">
        <v>0.25542700000000002</v>
      </c>
      <c r="C369">
        <v>2.1717659999999999</v>
      </c>
      <c r="D369">
        <v>4.8296590000000004</v>
      </c>
      <c r="E369">
        <v>0.97494700000000001</v>
      </c>
      <c r="F369">
        <v>0.39591599999999999</v>
      </c>
    </row>
    <row r="370" spans="1:6">
      <c r="A370" s="11">
        <v>367</v>
      </c>
      <c r="B370">
        <v>3.3116720000000002</v>
      </c>
      <c r="C370">
        <v>0.116742</v>
      </c>
      <c r="D370">
        <v>1.837224</v>
      </c>
      <c r="E370">
        <v>6.6419889999999997</v>
      </c>
      <c r="F370">
        <v>0.12918199999999999</v>
      </c>
    </row>
    <row r="371" spans="1:6">
      <c r="A371" s="11">
        <v>368</v>
      </c>
      <c r="B371">
        <v>0.35591400000000001</v>
      </c>
      <c r="C371">
        <v>1.1804539999999999</v>
      </c>
      <c r="D371">
        <v>0.59343800000000002</v>
      </c>
      <c r="E371">
        <v>2.3876499999999998</v>
      </c>
      <c r="F371">
        <v>5.5500049999999996</v>
      </c>
    </row>
    <row r="372" spans="1:6">
      <c r="A372" s="11">
        <v>369</v>
      </c>
      <c r="B372">
        <v>13.720162</v>
      </c>
      <c r="C372">
        <v>0.72148000000000001</v>
      </c>
      <c r="D372">
        <v>1.0435410000000001</v>
      </c>
      <c r="E372">
        <v>0.196302</v>
      </c>
      <c r="F372">
        <v>0.66353600000000001</v>
      </c>
    </row>
    <row r="373" spans="1:6">
      <c r="A373" s="11">
        <v>370</v>
      </c>
      <c r="B373">
        <v>1.115745</v>
      </c>
      <c r="C373">
        <v>2.9198309999999998</v>
      </c>
      <c r="D373">
        <v>0.93365699999999996</v>
      </c>
      <c r="E373">
        <v>1.134646</v>
      </c>
      <c r="F373">
        <v>0.32977800000000002</v>
      </c>
    </row>
    <row r="374" spans="1:6">
      <c r="A374" s="11">
        <v>371</v>
      </c>
      <c r="B374">
        <v>0.424402</v>
      </c>
      <c r="C374">
        <v>10.857039</v>
      </c>
      <c r="D374">
        <v>0.317278</v>
      </c>
      <c r="E374">
        <v>2.1151789999999999</v>
      </c>
      <c r="F374">
        <v>6.3897389999999996</v>
      </c>
    </row>
    <row r="375" spans="1:6">
      <c r="A375" s="11">
        <v>372</v>
      </c>
      <c r="B375">
        <v>1.6514580000000001</v>
      </c>
      <c r="C375">
        <v>0.682473</v>
      </c>
      <c r="D375">
        <v>0.22034200000000001</v>
      </c>
      <c r="E375">
        <v>0.54499399999999998</v>
      </c>
      <c r="F375">
        <v>6.5246959999999996</v>
      </c>
    </row>
    <row r="376" spans="1:6">
      <c r="A376" s="11">
        <v>373</v>
      </c>
      <c r="B376">
        <v>0.62968400000000002</v>
      </c>
      <c r="C376">
        <v>0.96557999999999999</v>
      </c>
      <c r="D376">
        <v>9.9605130000000006</v>
      </c>
      <c r="E376">
        <v>4.1484969999999999</v>
      </c>
      <c r="F376">
        <v>0.89520200000000005</v>
      </c>
    </row>
    <row r="377" spans="1:6">
      <c r="A377" s="11">
        <v>374</v>
      </c>
      <c r="B377">
        <v>3.3023910000000001</v>
      </c>
      <c r="C377">
        <v>1.9915529999999999</v>
      </c>
      <c r="D377">
        <v>1.481484</v>
      </c>
      <c r="E377">
        <v>2.2247819999999998</v>
      </c>
      <c r="F377">
        <v>4.0536110000000001</v>
      </c>
    </row>
    <row r="378" spans="1:6">
      <c r="A378" s="11">
        <v>375</v>
      </c>
      <c r="B378">
        <v>5.3429929999999999</v>
      </c>
      <c r="C378">
        <v>1.4165490000000001</v>
      </c>
      <c r="D378">
        <v>0.831372</v>
      </c>
      <c r="E378">
        <v>1.2091000000000001</v>
      </c>
      <c r="F378">
        <v>1.9821740000000001</v>
      </c>
    </row>
    <row r="379" spans="1:6">
      <c r="A379" s="11">
        <v>376</v>
      </c>
      <c r="B379">
        <v>0.51066999999999996</v>
      </c>
      <c r="C379">
        <v>1.486459</v>
      </c>
      <c r="D379">
        <v>1.270824</v>
      </c>
      <c r="E379">
        <v>1.0255160000000001</v>
      </c>
      <c r="F379">
        <v>1.1479630000000001</v>
      </c>
    </row>
    <row r="380" spans="1:6">
      <c r="A380" s="11">
        <v>377</v>
      </c>
      <c r="B380">
        <v>1.272429</v>
      </c>
      <c r="C380">
        <v>3.667964</v>
      </c>
      <c r="D380">
        <v>0.199685</v>
      </c>
      <c r="E380">
        <v>0.45638299999999998</v>
      </c>
      <c r="F380">
        <v>0.120668</v>
      </c>
    </row>
    <row r="381" spans="1:6">
      <c r="A381" s="11">
        <v>378</v>
      </c>
      <c r="B381">
        <v>0.57281099999999996</v>
      </c>
      <c r="C381">
        <v>1.233514</v>
      </c>
      <c r="D381">
        <v>1.5601579999999999</v>
      </c>
      <c r="E381">
        <v>2.5315759999999998</v>
      </c>
      <c r="F381">
        <v>0.16284899999999999</v>
      </c>
    </row>
    <row r="382" spans="1:6">
      <c r="A382" s="11">
        <v>379</v>
      </c>
      <c r="B382">
        <v>5.3394180000000002</v>
      </c>
      <c r="C382">
        <v>0.25122899999999998</v>
      </c>
      <c r="D382">
        <v>0.33995700000000001</v>
      </c>
      <c r="E382">
        <v>5.2385650000000004</v>
      </c>
      <c r="F382">
        <v>0.26825700000000002</v>
      </c>
    </row>
    <row r="383" spans="1:6">
      <c r="A383" s="11">
        <v>380</v>
      </c>
      <c r="B383">
        <v>8.7289480000000008</v>
      </c>
      <c r="C383">
        <v>6.9130200000000004</v>
      </c>
      <c r="D383">
        <v>1.070524</v>
      </c>
      <c r="E383">
        <v>0.94324799999999998</v>
      </c>
      <c r="F383">
        <v>0.108948</v>
      </c>
    </row>
    <row r="384" spans="1:6">
      <c r="A384" s="11">
        <v>381</v>
      </c>
      <c r="B384">
        <v>0.91611600000000004</v>
      </c>
      <c r="C384">
        <v>0.31791700000000001</v>
      </c>
      <c r="D384">
        <v>1.3526210000000001</v>
      </c>
      <c r="E384">
        <v>1.2922629999999999</v>
      </c>
      <c r="F384">
        <v>1.3194319999999999</v>
      </c>
    </row>
    <row r="385" spans="1:6">
      <c r="A385" s="11">
        <v>382</v>
      </c>
      <c r="B385">
        <v>0.93695200000000001</v>
      </c>
      <c r="C385">
        <v>1.037077</v>
      </c>
      <c r="D385">
        <v>1.8183640000000001</v>
      </c>
      <c r="E385">
        <v>1.8023130000000001</v>
      </c>
      <c r="F385">
        <v>3.1228180000000001</v>
      </c>
    </row>
    <row r="386" spans="1:6">
      <c r="A386" s="11">
        <v>383</v>
      </c>
      <c r="B386">
        <v>2.2006589999999999</v>
      </c>
      <c r="C386">
        <v>4.9904270000000004</v>
      </c>
      <c r="D386">
        <v>0.88404799999999994</v>
      </c>
      <c r="E386">
        <v>1.058346</v>
      </c>
      <c r="F386">
        <v>9.2604000000000006E-2</v>
      </c>
    </row>
    <row r="387" spans="1:6">
      <c r="A387" s="11">
        <v>384</v>
      </c>
      <c r="B387">
        <v>0.19065399999999999</v>
      </c>
      <c r="C387">
        <v>3.0929449999999998</v>
      </c>
      <c r="D387">
        <v>0.89906699999999995</v>
      </c>
      <c r="E387">
        <v>1.5423579999999999</v>
      </c>
      <c r="F387">
        <v>1.4627460000000001</v>
      </c>
    </row>
    <row r="388" spans="1:6">
      <c r="A388" s="11">
        <v>385</v>
      </c>
      <c r="B388">
        <v>1.068681</v>
      </c>
      <c r="C388">
        <v>1.4309670000000001</v>
      </c>
      <c r="D388">
        <v>3.05931</v>
      </c>
      <c r="E388">
        <v>0.98922399999999999</v>
      </c>
      <c r="F388">
        <v>2.8520729999999999</v>
      </c>
    </row>
    <row r="389" spans="1:6">
      <c r="A389" s="11">
        <v>386</v>
      </c>
      <c r="B389">
        <v>13.978656000000001</v>
      </c>
      <c r="C389">
        <v>2.334692</v>
      </c>
      <c r="D389">
        <v>1.79</v>
      </c>
      <c r="E389">
        <v>10.389581</v>
      </c>
      <c r="F389">
        <v>4.3296489999999999</v>
      </c>
    </row>
    <row r="390" spans="1:6">
      <c r="A390" s="11">
        <v>387</v>
      </c>
      <c r="B390">
        <v>0.68745900000000004</v>
      </c>
      <c r="C390">
        <v>2.4660829999999998</v>
      </c>
      <c r="D390">
        <v>1.2667349999999999</v>
      </c>
      <c r="E390">
        <v>1.077801</v>
      </c>
      <c r="F390">
        <v>0.88033499999999998</v>
      </c>
    </row>
    <row r="391" spans="1:6">
      <c r="A391" s="11">
        <v>388</v>
      </c>
      <c r="B391">
        <v>0.49817</v>
      </c>
      <c r="C391">
        <v>0.44769199999999998</v>
      </c>
      <c r="D391">
        <v>3.8475009999999998</v>
      </c>
      <c r="E391">
        <v>0.40940199999999999</v>
      </c>
      <c r="F391">
        <v>9.1439280000000007</v>
      </c>
    </row>
    <row r="392" spans="1:6">
      <c r="A392" s="11">
        <v>389</v>
      </c>
      <c r="B392">
        <v>1.19451</v>
      </c>
      <c r="C392">
        <v>0.34875699999999998</v>
      </c>
      <c r="D392">
        <v>4.5920129999999997</v>
      </c>
      <c r="E392">
        <v>1.9059010000000001</v>
      </c>
      <c r="F392">
        <v>13.851514999999999</v>
      </c>
    </row>
    <row r="393" spans="1:6">
      <c r="A393" s="11">
        <v>390</v>
      </c>
      <c r="B393">
        <v>0.50542799999999999</v>
      </c>
      <c r="C393">
        <v>0.36523899999999998</v>
      </c>
      <c r="D393">
        <v>0.39986100000000002</v>
      </c>
      <c r="E393">
        <v>1.498637</v>
      </c>
      <c r="F393">
        <v>3.5561509999999998</v>
      </c>
    </row>
    <row r="394" spans="1:6">
      <c r="A394" s="11">
        <v>391</v>
      </c>
      <c r="B394">
        <v>0.87168599999999996</v>
      </c>
      <c r="C394">
        <v>8.8789180000000005</v>
      </c>
      <c r="D394">
        <v>0.848943</v>
      </c>
      <c r="E394">
        <v>1.4900139999999999</v>
      </c>
      <c r="F394">
        <v>10.557677</v>
      </c>
    </row>
    <row r="395" spans="1:6">
      <c r="A395" s="11">
        <v>392</v>
      </c>
      <c r="B395">
        <v>1.4699930000000001</v>
      </c>
      <c r="C395">
        <v>1.795863</v>
      </c>
      <c r="D395">
        <v>0.87152600000000002</v>
      </c>
      <c r="E395">
        <v>0.67622099999999996</v>
      </c>
      <c r="F395">
        <v>0.82289699999999999</v>
      </c>
    </row>
    <row r="396" spans="1:6">
      <c r="A396" s="11">
        <v>393</v>
      </c>
      <c r="B396">
        <v>0.22422500000000001</v>
      </c>
      <c r="C396">
        <v>0.35449900000000001</v>
      </c>
      <c r="D396">
        <v>1.318762</v>
      </c>
      <c r="E396">
        <v>6.6405719999999997</v>
      </c>
      <c r="F396">
        <v>0.46057700000000001</v>
      </c>
    </row>
    <row r="397" spans="1:6">
      <c r="A397" s="11">
        <v>394</v>
      </c>
      <c r="B397">
        <v>1.1724829999999999</v>
      </c>
      <c r="C397">
        <v>0.71183300000000005</v>
      </c>
      <c r="D397">
        <v>0.21106800000000001</v>
      </c>
      <c r="E397">
        <v>0.32629599999999997</v>
      </c>
      <c r="F397">
        <v>0.65612599999999999</v>
      </c>
    </row>
    <row r="398" spans="1:6">
      <c r="A398" s="11">
        <v>395</v>
      </c>
      <c r="B398">
        <v>0.63546100000000005</v>
      </c>
      <c r="C398">
        <v>0.61187000000000002</v>
      </c>
      <c r="D398">
        <v>1.845018</v>
      </c>
      <c r="E398">
        <v>1.9277040000000001</v>
      </c>
      <c r="F398">
        <v>2.0785909999999999</v>
      </c>
    </row>
    <row r="399" spans="1:6">
      <c r="A399" s="11">
        <v>396</v>
      </c>
      <c r="B399">
        <v>1.211938</v>
      </c>
      <c r="C399">
        <v>1.3782030000000001</v>
      </c>
      <c r="D399">
        <v>0.93420899999999996</v>
      </c>
      <c r="E399">
        <v>3.4458820000000001</v>
      </c>
      <c r="F399">
        <v>0.87187800000000004</v>
      </c>
    </row>
    <row r="400" spans="1:6">
      <c r="A400" s="11">
        <v>397</v>
      </c>
      <c r="B400">
        <v>0.31245200000000001</v>
      </c>
      <c r="C400">
        <v>7.1027000000000007E-2</v>
      </c>
      <c r="D400">
        <v>1.076511</v>
      </c>
      <c r="E400">
        <v>2.836055</v>
      </c>
      <c r="F400">
        <v>0.37034600000000001</v>
      </c>
    </row>
    <row r="401" spans="1:6">
      <c r="A401" s="11">
        <v>398</v>
      </c>
      <c r="B401">
        <v>6.0651169999999999</v>
      </c>
      <c r="C401">
        <v>2.61869</v>
      </c>
      <c r="D401">
        <v>0.62615600000000005</v>
      </c>
      <c r="E401">
        <v>6.3312189999999999</v>
      </c>
      <c r="F401">
        <v>2.5821130000000001</v>
      </c>
    </row>
    <row r="402" spans="1:6">
      <c r="A402" s="11">
        <v>399</v>
      </c>
      <c r="B402">
        <v>2.7880669999999999</v>
      </c>
      <c r="C402">
        <v>1.199527</v>
      </c>
      <c r="D402">
        <v>0.59180299999999997</v>
      </c>
      <c r="E402">
        <v>1.3888480000000001</v>
      </c>
      <c r="F402">
        <v>4.7363410000000004</v>
      </c>
    </row>
    <row r="403" spans="1:6">
      <c r="A403" s="11">
        <v>400</v>
      </c>
      <c r="B403">
        <v>1.418369</v>
      </c>
      <c r="C403">
        <v>0.90559800000000001</v>
      </c>
      <c r="D403">
        <v>1.832265</v>
      </c>
      <c r="E403">
        <v>2.9312800000000001</v>
      </c>
      <c r="F403">
        <v>0.630193</v>
      </c>
    </row>
    <row r="404" spans="1:6">
      <c r="A404" s="11">
        <v>401</v>
      </c>
      <c r="B404">
        <v>3.6377100000000002</v>
      </c>
      <c r="C404">
        <v>2.169902</v>
      </c>
      <c r="D404">
        <v>0.66402600000000001</v>
      </c>
      <c r="E404">
        <v>2.6764619999999999</v>
      </c>
      <c r="F404">
        <v>1.1288069999999999</v>
      </c>
    </row>
    <row r="405" spans="1:6">
      <c r="A405" s="11">
        <v>402</v>
      </c>
      <c r="B405">
        <v>1.434599</v>
      </c>
      <c r="C405">
        <v>0.40548099999999998</v>
      </c>
      <c r="D405">
        <v>1.1403190000000001</v>
      </c>
      <c r="E405">
        <v>1.0912249999999999</v>
      </c>
      <c r="F405">
        <v>0.13921700000000001</v>
      </c>
    </row>
    <row r="406" spans="1:6">
      <c r="A406" s="11">
        <v>403</v>
      </c>
      <c r="B406">
        <v>8.4083000000000005E-2</v>
      </c>
      <c r="C406">
        <v>2.5414189999999999</v>
      </c>
      <c r="D406">
        <v>1.6322920000000001</v>
      </c>
      <c r="E406">
        <v>1.4564330000000001</v>
      </c>
      <c r="F406">
        <v>3.814797</v>
      </c>
    </row>
    <row r="407" spans="1:6">
      <c r="A407" s="11">
        <v>404</v>
      </c>
      <c r="B407">
        <v>1.4597279999999999</v>
      </c>
      <c r="C407">
        <v>0.49074000000000001</v>
      </c>
      <c r="D407">
        <v>2.5655480000000002</v>
      </c>
      <c r="E407">
        <v>1.0678399999999999</v>
      </c>
      <c r="F407">
        <v>0.83745199999999997</v>
      </c>
    </row>
    <row r="408" spans="1:6">
      <c r="A408" s="11">
        <v>405</v>
      </c>
      <c r="B408">
        <v>4.0328999999999997E-2</v>
      </c>
      <c r="C408">
        <v>1.142112</v>
      </c>
      <c r="D408">
        <v>4.618627</v>
      </c>
      <c r="E408">
        <v>6.6158999999999999</v>
      </c>
      <c r="F408">
        <v>2.5388600000000001</v>
      </c>
    </row>
    <row r="409" spans="1:6">
      <c r="A409" s="11">
        <v>406</v>
      </c>
      <c r="B409">
        <v>1.532672</v>
      </c>
      <c r="C409">
        <v>2.7955079999999999</v>
      </c>
      <c r="D409">
        <v>1.6430100000000001</v>
      </c>
      <c r="E409">
        <v>2.0027940000000002</v>
      </c>
      <c r="F409">
        <v>1.7226589999999999</v>
      </c>
    </row>
    <row r="410" spans="1:6">
      <c r="A410" s="11">
        <v>407</v>
      </c>
      <c r="B410">
        <v>4.4995839999999996</v>
      </c>
      <c r="C410">
        <v>1.422933</v>
      </c>
      <c r="D410">
        <v>0.52999200000000002</v>
      </c>
      <c r="E410">
        <v>0.23368</v>
      </c>
      <c r="F410">
        <v>2.0386869999999999</v>
      </c>
    </row>
    <row r="411" spans="1:6">
      <c r="A411" s="11">
        <v>408</v>
      </c>
      <c r="B411">
        <v>4.445417</v>
      </c>
      <c r="C411">
        <v>0.48229100000000003</v>
      </c>
      <c r="D411">
        <v>0.50572399999999995</v>
      </c>
      <c r="E411">
        <v>0.78449800000000003</v>
      </c>
      <c r="F411">
        <v>4.7894680000000003</v>
      </c>
    </row>
    <row r="412" spans="1:6">
      <c r="A412" s="11">
        <v>409</v>
      </c>
      <c r="B412">
        <v>7.271191</v>
      </c>
      <c r="C412">
        <v>0.288881</v>
      </c>
      <c r="D412">
        <v>11.525067999999999</v>
      </c>
      <c r="E412">
        <v>0.64174699999999996</v>
      </c>
      <c r="F412">
        <v>0.83099100000000004</v>
      </c>
    </row>
    <row r="413" spans="1:6">
      <c r="A413" s="11">
        <v>410</v>
      </c>
      <c r="B413">
        <v>0.52889799999999998</v>
      </c>
      <c r="C413">
        <v>0.33858100000000002</v>
      </c>
      <c r="D413">
        <v>0.66138799999999998</v>
      </c>
      <c r="E413">
        <v>0.61059300000000005</v>
      </c>
      <c r="F413">
        <v>1.5183260000000001</v>
      </c>
    </row>
    <row r="414" spans="1:6">
      <c r="A414" s="11">
        <v>411</v>
      </c>
      <c r="B414">
        <v>1.859121</v>
      </c>
      <c r="C414">
        <v>1.2009080000000001</v>
      </c>
      <c r="D414">
        <v>1.8390310000000001</v>
      </c>
      <c r="E414">
        <v>1.056003</v>
      </c>
      <c r="F414">
        <v>1.0065740000000001</v>
      </c>
    </row>
    <row r="415" spans="1:6">
      <c r="A415" s="11">
        <v>412</v>
      </c>
      <c r="B415">
        <v>6.1598E-2</v>
      </c>
      <c r="C415">
        <v>4.4796379999999996</v>
      </c>
      <c r="D415">
        <v>0.29314600000000002</v>
      </c>
      <c r="E415">
        <v>1.653635</v>
      </c>
      <c r="F415">
        <v>0.73795500000000003</v>
      </c>
    </row>
    <row r="416" spans="1:6">
      <c r="A416" s="11">
        <v>413</v>
      </c>
      <c r="B416">
        <v>0.54176100000000005</v>
      </c>
      <c r="C416">
        <v>0.63254200000000005</v>
      </c>
      <c r="D416">
        <v>0.78856499999999996</v>
      </c>
      <c r="E416">
        <v>0.33868100000000001</v>
      </c>
      <c r="F416">
        <v>4.2346560000000002</v>
      </c>
    </row>
    <row r="417" spans="1:6">
      <c r="A417" s="11">
        <v>414</v>
      </c>
      <c r="B417">
        <v>1.8494280000000001</v>
      </c>
      <c r="C417">
        <v>1.500275</v>
      </c>
      <c r="D417">
        <v>1.005674</v>
      </c>
      <c r="E417">
        <v>0.85432399999999997</v>
      </c>
      <c r="F417">
        <v>0.33871800000000002</v>
      </c>
    </row>
    <row r="418" spans="1:6">
      <c r="A418" s="11">
        <v>415</v>
      </c>
      <c r="B418">
        <v>0.37584400000000001</v>
      </c>
      <c r="C418">
        <v>0.62994099999999997</v>
      </c>
      <c r="D418">
        <v>2.5578409999999998</v>
      </c>
      <c r="E418">
        <v>1.1259539999999999</v>
      </c>
      <c r="F418">
        <v>1.3427640000000001</v>
      </c>
    </row>
    <row r="419" spans="1:6">
      <c r="A419" s="11">
        <v>416</v>
      </c>
      <c r="B419">
        <v>0.57060299999999997</v>
      </c>
      <c r="C419">
        <v>1.1885410000000001</v>
      </c>
      <c r="D419">
        <v>1.2704869999999999</v>
      </c>
      <c r="E419">
        <v>1.3866229999999999</v>
      </c>
      <c r="F419">
        <v>0.29837000000000002</v>
      </c>
    </row>
    <row r="420" spans="1:6">
      <c r="A420" s="11">
        <v>417</v>
      </c>
      <c r="B420">
        <v>0.36646099999999998</v>
      </c>
      <c r="C420">
        <v>0.28511199999999998</v>
      </c>
      <c r="D420">
        <v>0.95158699999999996</v>
      </c>
      <c r="E420">
        <v>2.206483</v>
      </c>
      <c r="F420">
        <v>0.95594400000000002</v>
      </c>
    </row>
    <row r="421" spans="1:6">
      <c r="A421" s="11">
        <v>418</v>
      </c>
      <c r="B421">
        <v>0.30414000000000002</v>
      </c>
      <c r="C421">
        <v>3.078881</v>
      </c>
      <c r="D421">
        <v>0.20635300000000001</v>
      </c>
      <c r="E421">
        <v>1.9230100000000001</v>
      </c>
      <c r="F421">
        <v>1.7593540000000001</v>
      </c>
    </row>
    <row r="422" spans="1:6">
      <c r="A422" s="11">
        <v>419</v>
      </c>
      <c r="B422">
        <v>1.436253</v>
      </c>
      <c r="C422">
        <v>0.36449399999999998</v>
      </c>
      <c r="D422">
        <v>1.5352760000000001</v>
      </c>
      <c r="E422">
        <v>2.0914540000000001</v>
      </c>
      <c r="F422">
        <v>0.59316999999999998</v>
      </c>
    </row>
    <row r="423" spans="1:6">
      <c r="A423" s="11">
        <v>420</v>
      </c>
      <c r="B423">
        <v>0.59471700000000005</v>
      </c>
      <c r="C423">
        <v>2.9327320000000001</v>
      </c>
      <c r="D423">
        <v>7.4033759999999997</v>
      </c>
      <c r="E423">
        <v>0.66348099999999999</v>
      </c>
      <c r="F423">
        <v>13.120423000000001</v>
      </c>
    </row>
    <row r="424" spans="1:6">
      <c r="A424" s="11">
        <v>421</v>
      </c>
      <c r="B424">
        <v>0.93032599999999999</v>
      </c>
      <c r="C424">
        <v>3.5146799999999998</v>
      </c>
      <c r="D424">
        <v>0.43337100000000001</v>
      </c>
      <c r="E424">
        <v>0.318299</v>
      </c>
      <c r="F424">
        <v>1.444814</v>
      </c>
    </row>
    <row r="425" spans="1:6">
      <c r="A425" s="11">
        <v>422</v>
      </c>
      <c r="B425">
        <v>7.8073480000000002</v>
      </c>
      <c r="C425">
        <v>7.060397</v>
      </c>
      <c r="D425">
        <v>1.836754</v>
      </c>
      <c r="E425">
        <v>7.922587</v>
      </c>
      <c r="F425">
        <v>3.5078</v>
      </c>
    </row>
    <row r="426" spans="1:6">
      <c r="A426" s="11">
        <v>423</v>
      </c>
      <c r="B426">
        <v>3.4906830000000002</v>
      </c>
      <c r="C426">
        <v>0.86377300000000001</v>
      </c>
      <c r="D426">
        <v>1.9705170000000001</v>
      </c>
      <c r="E426">
        <v>0.80210099999999995</v>
      </c>
      <c r="F426">
        <v>1.2373479999999999</v>
      </c>
    </row>
    <row r="427" spans="1:6">
      <c r="A427" s="11">
        <v>424</v>
      </c>
      <c r="B427">
        <v>0.43467499999999998</v>
      </c>
      <c r="C427">
        <v>2.0492569999999999</v>
      </c>
      <c r="D427">
        <v>0.73000600000000004</v>
      </c>
      <c r="E427">
        <v>1.172612</v>
      </c>
      <c r="F427">
        <v>2.4857529999999999</v>
      </c>
    </row>
    <row r="428" spans="1:6">
      <c r="A428" s="11">
        <v>425</v>
      </c>
      <c r="B428">
        <v>2.1716449999999998</v>
      </c>
      <c r="C428">
        <v>1.5794950000000001</v>
      </c>
      <c r="D428">
        <v>1.672461</v>
      </c>
      <c r="E428">
        <v>1.8422799999999999</v>
      </c>
      <c r="F428">
        <v>0.41134399999999999</v>
      </c>
    </row>
    <row r="429" spans="1:6">
      <c r="A429" s="11">
        <v>426</v>
      </c>
      <c r="B429">
        <v>14.931811</v>
      </c>
      <c r="C429">
        <v>0.38142599999999999</v>
      </c>
      <c r="D429">
        <v>0.77680300000000002</v>
      </c>
      <c r="E429">
        <v>0.803149</v>
      </c>
      <c r="F429">
        <v>4.390828</v>
      </c>
    </row>
    <row r="430" spans="1:6">
      <c r="A430" s="11">
        <v>427</v>
      </c>
      <c r="B430">
        <v>2.9411879999999999</v>
      </c>
      <c r="C430">
        <v>0.63244800000000001</v>
      </c>
      <c r="D430">
        <v>0.99181699999999995</v>
      </c>
      <c r="E430">
        <v>0.28418300000000002</v>
      </c>
      <c r="F430">
        <v>1.368676</v>
      </c>
    </row>
    <row r="431" spans="1:6">
      <c r="A431" s="11">
        <v>428</v>
      </c>
      <c r="B431">
        <v>0.13152</v>
      </c>
      <c r="C431">
        <v>1.50156</v>
      </c>
      <c r="D431">
        <v>0.51009800000000005</v>
      </c>
      <c r="E431">
        <v>3.3085879999999999</v>
      </c>
      <c r="F431">
        <v>1.0778620000000001</v>
      </c>
    </row>
    <row r="432" spans="1:6">
      <c r="A432" s="11">
        <v>429</v>
      </c>
      <c r="B432">
        <v>1.963492</v>
      </c>
      <c r="C432">
        <v>0.98241199999999995</v>
      </c>
      <c r="D432">
        <v>1.4331769999999999</v>
      </c>
      <c r="E432">
        <v>0.80313500000000004</v>
      </c>
      <c r="F432">
        <v>0.110651</v>
      </c>
    </row>
    <row r="433" spans="1:6">
      <c r="A433" s="11">
        <v>430</v>
      </c>
      <c r="B433">
        <v>1.821782</v>
      </c>
      <c r="C433">
        <v>2.9470879999999999</v>
      </c>
      <c r="D433">
        <v>1.8846719999999999</v>
      </c>
      <c r="E433">
        <v>1.186515</v>
      </c>
      <c r="F433">
        <v>1.0452969999999999</v>
      </c>
    </row>
    <row r="434" spans="1:6">
      <c r="A434" s="11">
        <v>431</v>
      </c>
      <c r="B434">
        <v>3.153877</v>
      </c>
      <c r="C434">
        <v>0.86418200000000001</v>
      </c>
      <c r="D434">
        <v>4.4864249999999997</v>
      </c>
      <c r="E434">
        <v>0.20530100000000001</v>
      </c>
      <c r="F434">
        <v>0.93888400000000005</v>
      </c>
    </row>
    <row r="435" spans="1:6">
      <c r="A435" s="11">
        <v>432</v>
      </c>
      <c r="B435">
        <v>1.224164</v>
      </c>
      <c r="C435">
        <v>3.9586790000000001</v>
      </c>
      <c r="D435">
        <v>0.92033799999999999</v>
      </c>
      <c r="E435">
        <v>3.362711</v>
      </c>
      <c r="F435">
        <v>2.5607690000000001</v>
      </c>
    </row>
    <row r="436" spans="1:6">
      <c r="A436" s="11">
        <v>433</v>
      </c>
      <c r="B436">
        <v>0.68696299999999999</v>
      </c>
      <c r="C436">
        <v>0.66941200000000001</v>
      </c>
      <c r="D436">
        <v>3.1670240000000001</v>
      </c>
      <c r="E436">
        <v>0.20821400000000001</v>
      </c>
      <c r="F436">
        <v>0.68105700000000002</v>
      </c>
    </row>
    <row r="437" spans="1:6">
      <c r="A437" s="11">
        <v>434</v>
      </c>
      <c r="B437">
        <v>8.4356139999999993</v>
      </c>
      <c r="C437">
        <v>0.426485</v>
      </c>
      <c r="D437">
        <v>0.39591599999999999</v>
      </c>
      <c r="E437">
        <v>1.155556</v>
      </c>
      <c r="F437">
        <v>1.2282219999999999</v>
      </c>
    </row>
    <row r="438" spans="1:6">
      <c r="A438" s="11">
        <v>435</v>
      </c>
      <c r="B438">
        <v>5.417891</v>
      </c>
      <c r="C438">
        <v>0.46249000000000001</v>
      </c>
      <c r="D438">
        <v>0.43212400000000001</v>
      </c>
      <c r="E438">
        <v>0.17603199999999999</v>
      </c>
      <c r="F438">
        <v>0.55943600000000004</v>
      </c>
    </row>
    <row r="439" spans="1:6">
      <c r="A439" s="11">
        <v>436</v>
      </c>
      <c r="B439">
        <v>2.2154950000000002</v>
      </c>
      <c r="C439">
        <v>0.56479500000000005</v>
      </c>
      <c r="D439">
        <v>1.2051799999999999</v>
      </c>
      <c r="E439">
        <v>2.1524549999999998</v>
      </c>
      <c r="F439">
        <v>0.50521400000000005</v>
      </c>
    </row>
    <row r="440" spans="1:6">
      <c r="A440" s="11">
        <v>437</v>
      </c>
      <c r="B440">
        <v>0.54082600000000003</v>
      </c>
      <c r="C440">
        <v>0.358983</v>
      </c>
      <c r="D440">
        <v>0.752996</v>
      </c>
      <c r="E440">
        <v>4.2691229999999996</v>
      </c>
      <c r="F440">
        <v>0.78796100000000002</v>
      </c>
    </row>
    <row r="441" spans="1:6">
      <c r="A441" s="11">
        <v>438</v>
      </c>
      <c r="B441">
        <v>5.1748900000000004</v>
      </c>
      <c r="C441">
        <v>1.08813</v>
      </c>
      <c r="D441">
        <v>14.111516</v>
      </c>
      <c r="E441">
        <v>0.80561499999999997</v>
      </c>
      <c r="F441">
        <v>0.423759</v>
      </c>
    </row>
    <row r="442" spans="1:6">
      <c r="A442" s="11">
        <v>439</v>
      </c>
      <c r="B442">
        <v>0.84713799999999995</v>
      </c>
      <c r="C442">
        <v>1.728172</v>
      </c>
      <c r="D442">
        <v>0.62478500000000003</v>
      </c>
      <c r="E442">
        <v>0.38607599999999997</v>
      </c>
      <c r="F442">
        <v>0.10166799999999999</v>
      </c>
    </row>
    <row r="443" spans="1:6">
      <c r="A443" s="11">
        <v>440</v>
      </c>
      <c r="B443">
        <v>1.3000339999999999</v>
      </c>
      <c r="C443">
        <v>0.89818699999999996</v>
      </c>
      <c r="D443">
        <v>3.1537929999999998</v>
      </c>
      <c r="E443">
        <v>0.54162399999999999</v>
      </c>
      <c r="F443">
        <v>5.3358540000000003</v>
      </c>
    </row>
    <row r="444" spans="1:6">
      <c r="A444" s="11">
        <v>441</v>
      </c>
      <c r="B444">
        <v>0.64512400000000003</v>
      </c>
      <c r="C444">
        <v>1.0212159999999999</v>
      </c>
      <c r="D444">
        <v>0.21568599999999999</v>
      </c>
      <c r="E444">
        <v>1.0923430000000001</v>
      </c>
      <c r="F444">
        <v>0.48009600000000002</v>
      </c>
    </row>
    <row r="445" spans="1:6">
      <c r="A445" s="11">
        <v>442</v>
      </c>
      <c r="B445">
        <v>5.4595570000000002</v>
      </c>
      <c r="C445">
        <v>1.3050470000000001</v>
      </c>
      <c r="D445">
        <v>4.1295080000000004</v>
      </c>
      <c r="E445">
        <v>1.593059</v>
      </c>
      <c r="F445">
        <v>5.1237209999999997</v>
      </c>
    </row>
    <row r="446" spans="1:6">
      <c r="A446" s="11">
        <v>443</v>
      </c>
      <c r="B446">
        <v>3.6930719999999999</v>
      </c>
      <c r="C446">
        <v>0.644895</v>
      </c>
      <c r="D446">
        <v>0.34544599999999998</v>
      </c>
      <c r="E446">
        <v>2.3498960000000002</v>
      </c>
      <c r="F446">
        <v>0.420541</v>
      </c>
    </row>
    <row r="447" spans="1:6">
      <c r="A447" s="11">
        <v>444</v>
      </c>
      <c r="B447">
        <v>9.0437980000000007</v>
      </c>
      <c r="C447">
        <v>0.16544300000000001</v>
      </c>
      <c r="D447">
        <v>2.239214</v>
      </c>
      <c r="E447">
        <v>0.62484700000000004</v>
      </c>
      <c r="F447">
        <v>1.2129730000000001</v>
      </c>
    </row>
    <row r="448" spans="1:6">
      <c r="A448" s="11">
        <v>445</v>
      </c>
      <c r="B448">
        <v>1.5727960000000001</v>
      </c>
      <c r="C448">
        <v>0.42146699999999998</v>
      </c>
      <c r="D448">
        <v>0.47791699999999998</v>
      </c>
      <c r="E448">
        <v>2.3139500000000002</v>
      </c>
      <c r="F448">
        <v>0.55570200000000003</v>
      </c>
    </row>
    <row r="449" spans="1:6">
      <c r="A449" s="11">
        <v>446</v>
      </c>
      <c r="B449">
        <v>2.9981770000000001</v>
      </c>
      <c r="C449">
        <v>3.153438</v>
      </c>
      <c r="D449">
        <v>1.1365719999999999</v>
      </c>
      <c r="E449">
        <v>0.74677400000000005</v>
      </c>
      <c r="F449">
        <v>1.884479</v>
      </c>
    </row>
    <row r="450" spans="1:6">
      <c r="A450" s="11">
        <v>447</v>
      </c>
      <c r="B450">
        <v>2.6564990000000002</v>
      </c>
      <c r="C450">
        <v>0.83572100000000005</v>
      </c>
      <c r="D450">
        <v>1.5270680000000001</v>
      </c>
      <c r="E450">
        <v>1.7796190000000001</v>
      </c>
      <c r="F450">
        <v>0.68583899999999998</v>
      </c>
    </row>
    <row r="451" spans="1:6">
      <c r="A451" s="11">
        <v>448</v>
      </c>
      <c r="B451">
        <v>0.41512900000000003</v>
      </c>
      <c r="C451">
        <v>0.18568899999999999</v>
      </c>
      <c r="D451">
        <v>0.799732</v>
      </c>
      <c r="E451">
        <v>1.077698</v>
      </c>
      <c r="F451">
        <v>6.5408580000000001</v>
      </c>
    </row>
    <row r="452" spans="1:6">
      <c r="A452" s="11">
        <v>449</v>
      </c>
      <c r="B452">
        <v>2.0626899999999999</v>
      </c>
      <c r="C452">
        <v>1.8425819999999999</v>
      </c>
      <c r="D452">
        <v>2.2132900000000002</v>
      </c>
      <c r="E452">
        <v>0.52118600000000004</v>
      </c>
      <c r="F452">
        <v>1.594538</v>
      </c>
    </row>
    <row r="453" spans="1:6">
      <c r="A453" s="11">
        <v>450</v>
      </c>
      <c r="B453">
        <v>0.48103299999999999</v>
      </c>
      <c r="C453">
        <v>2.5611739999999998</v>
      </c>
      <c r="D453">
        <v>7.6428289999999999</v>
      </c>
      <c r="E453">
        <v>0.50555899999999998</v>
      </c>
      <c r="F453">
        <v>2.713902</v>
      </c>
    </row>
    <row r="454" spans="1:6">
      <c r="A454" s="11">
        <v>451</v>
      </c>
      <c r="B454">
        <v>0.56664599999999998</v>
      </c>
      <c r="C454">
        <v>4.1265879999999999</v>
      </c>
      <c r="D454">
        <v>3.971644</v>
      </c>
      <c r="E454">
        <v>0.15289700000000001</v>
      </c>
      <c r="F454">
        <v>0.185336</v>
      </c>
    </row>
    <row r="455" spans="1:6">
      <c r="A455" s="11">
        <v>452</v>
      </c>
      <c r="B455">
        <v>8.4418999999999994E-2</v>
      </c>
      <c r="C455">
        <v>0.46633799999999997</v>
      </c>
      <c r="D455">
        <v>9.2961100000000005</v>
      </c>
      <c r="E455">
        <v>0.61709400000000003</v>
      </c>
      <c r="F455">
        <v>6.1246150000000004</v>
      </c>
    </row>
    <row r="456" spans="1:6">
      <c r="A456" s="11">
        <v>453</v>
      </c>
      <c r="B456">
        <v>1.111302</v>
      </c>
      <c r="C456">
        <v>0.27102100000000001</v>
      </c>
      <c r="D456">
        <v>4.1100130000000004</v>
      </c>
      <c r="E456">
        <v>1.884857</v>
      </c>
      <c r="F456">
        <v>1.612894</v>
      </c>
    </row>
    <row r="457" spans="1:6">
      <c r="A457" s="11">
        <v>454</v>
      </c>
      <c r="B457">
        <v>1.36076</v>
      </c>
      <c r="C457">
        <v>2.2289460000000001</v>
      </c>
      <c r="D457">
        <v>1.060427</v>
      </c>
      <c r="E457">
        <v>0.45704499999999998</v>
      </c>
      <c r="F457">
        <v>2.2528929999999998</v>
      </c>
    </row>
    <row r="458" spans="1:6">
      <c r="A458" s="11">
        <v>455</v>
      </c>
      <c r="B458">
        <v>0.53783899999999996</v>
      </c>
      <c r="C458">
        <v>0.21937100000000001</v>
      </c>
      <c r="D458">
        <v>7.3269380000000002</v>
      </c>
      <c r="E458">
        <v>0.39045999999999997</v>
      </c>
      <c r="F458">
        <v>0.33088200000000001</v>
      </c>
    </row>
    <row r="459" spans="1:6">
      <c r="A459" s="11">
        <v>456</v>
      </c>
      <c r="B459">
        <v>0.67277699999999996</v>
      </c>
      <c r="C459">
        <v>1.5827469999999999</v>
      </c>
      <c r="D459">
        <v>0.62036100000000005</v>
      </c>
      <c r="E459">
        <v>0.48164099999999999</v>
      </c>
      <c r="F459">
        <v>10.506747000000001</v>
      </c>
    </row>
    <row r="460" spans="1:6">
      <c r="A460" s="11">
        <v>457</v>
      </c>
      <c r="B460">
        <v>2.7869060000000001</v>
      </c>
      <c r="C460">
        <v>1.1670940000000001</v>
      </c>
      <c r="D460">
        <v>17.181080000000001</v>
      </c>
      <c r="E460">
        <v>0.32703399999999999</v>
      </c>
      <c r="F460">
        <v>0.42507699999999998</v>
      </c>
    </row>
    <row r="461" spans="1:6">
      <c r="A461" s="11">
        <v>458</v>
      </c>
      <c r="B461">
        <v>0.65075400000000005</v>
      </c>
      <c r="C461">
        <v>0.35211199999999998</v>
      </c>
      <c r="D461">
        <v>0.53802000000000005</v>
      </c>
      <c r="E461">
        <v>1.925975</v>
      </c>
      <c r="F461">
        <v>0.831426</v>
      </c>
    </row>
    <row r="462" spans="1:6">
      <c r="A462" s="11">
        <v>459</v>
      </c>
      <c r="B462">
        <v>4.1653339999999996</v>
      </c>
      <c r="C462">
        <v>1.2270829999999999</v>
      </c>
      <c r="D462">
        <v>0.88102000000000003</v>
      </c>
      <c r="E462">
        <v>0.99215900000000001</v>
      </c>
      <c r="F462">
        <v>1.9286179999999999</v>
      </c>
    </row>
    <row r="463" spans="1:6">
      <c r="A463" s="11">
        <v>460</v>
      </c>
      <c r="B463">
        <v>2.7443270000000002</v>
      </c>
      <c r="C463">
        <v>0.48124800000000001</v>
      </c>
      <c r="D463">
        <v>2.51763</v>
      </c>
      <c r="E463">
        <v>0.951762</v>
      </c>
      <c r="F463">
        <v>1.632541</v>
      </c>
    </row>
    <row r="464" spans="1:6">
      <c r="A464" s="11">
        <v>461</v>
      </c>
      <c r="B464">
        <v>0.61898600000000004</v>
      </c>
      <c r="C464">
        <v>0.34678100000000001</v>
      </c>
      <c r="D464">
        <v>0.72273699999999996</v>
      </c>
      <c r="E464">
        <v>1.5189999999999999</v>
      </c>
      <c r="F464">
        <v>6.6647480000000003</v>
      </c>
    </row>
    <row r="465" spans="1:6">
      <c r="A465" s="11">
        <v>462</v>
      </c>
      <c r="B465">
        <v>2.4271189999999998</v>
      </c>
      <c r="C465">
        <v>0.99761900000000003</v>
      </c>
      <c r="D465">
        <v>1.0547010000000001</v>
      </c>
      <c r="E465">
        <v>6.8959910000000004</v>
      </c>
      <c r="F465">
        <v>4.0831390000000001</v>
      </c>
    </row>
    <row r="466" spans="1:6">
      <c r="A466" s="11">
        <v>463</v>
      </c>
      <c r="B466">
        <v>0.49524699999999999</v>
      </c>
      <c r="C466">
        <v>2.2252390000000002</v>
      </c>
      <c r="D466">
        <v>0.31548100000000001</v>
      </c>
      <c r="E466">
        <v>1.3340069999999999</v>
      </c>
      <c r="F466">
        <v>0.20083799999999999</v>
      </c>
    </row>
    <row r="467" spans="1:6">
      <c r="A467" s="11">
        <v>464</v>
      </c>
      <c r="B467">
        <v>1.316036</v>
      </c>
      <c r="C467">
        <v>0.58254099999999998</v>
      </c>
      <c r="D467">
        <v>2.3914840000000002</v>
      </c>
      <c r="E467">
        <v>0.28688799999999998</v>
      </c>
      <c r="F467">
        <v>0.28615000000000002</v>
      </c>
    </row>
    <row r="468" spans="1:6">
      <c r="A468" s="11">
        <v>465</v>
      </c>
      <c r="B468">
        <v>2.4344130000000002</v>
      </c>
      <c r="C468">
        <v>0.68125000000000002</v>
      </c>
      <c r="D468">
        <v>0.28578399999999998</v>
      </c>
      <c r="E468">
        <v>0.98195699999999997</v>
      </c>
      <c r="F468">
        <v>1.1261570000000001</v>
      </c>
    </row>
    <row r="469" spans="1:6">
      <c r="A469" s="11">
        <v>466</v>
      </c>
      <c r="B469">
        <v>2.2178490000000002</v>
      </c>
      <c r="C469">
        <v>1.951473</v>
      </c>
      <c r="D469">
        <v>0.28890900000000003</v>
      </c>
      <c r="E469">
        <v>6.5471430000000002</v>
      </c>
      <c r="F469">
        <v>3.4965410000000001</v>
      </c>
    </row>
    <row r="470" spans="1:6">
      <c r="A470" s="11">
        <v>467</v>
      </c>
      <c r="B470">
        <v>2.503673</v>
      </c>
      <c r="C470">
        <v>1.139937</v>
      </c>
      <c r="D470">
        <v>0.64982200000000001</v>
      </c>
      <c r="E470">
        <v>0.643571</v>
      </c>
      <c r="F470">
        <v>2.8471479999999998</v>
      </c>
    </row>
    <row r="471" spans="1:6">
      <c r="A471" s="11">
        <v>468</v>
      </c>
      <c r="B471">
        <v>0.17735400000000001</v>
      </c>
      <c r="C471">
        <v>4.0090899999999996</v>
      </c>
      <c r="D471">
        <v>1.4040250000000001</v>
      </c>
      <c r="E471">
        <v>2.9398879999999998</v>
      </c>
      <c r="F471">
        <v>0.70424200000000003</v>
      </c>
    </row>
    <row r="472" spans="1:6">
      <c r="A472" s="11">
        <v>469</v>
      </c>
      <c r="B472">
        <v>0.49835600000000002</v>
      </c>
      <c r="C472">
        <v>0.17665500000000001</v>
      </c>
      <c r="D472">
        <v>2.173724</v>
      </c>
      <c r="E472">
        <v>1.0962780000000001</v>
      </c>
      <c r="F472">
        <v>1.1466829999999999</v>
      </c>
    </row>
    <row r="473" spans="1:6">
      <c r="A473" s="11">
        <v>470</v>
      </c>
      <c r="B473">
        <v>1.5060370000000001</v>
      </c>
      <c r="C473">
        <v>3.3552970000000002</v>
      </c>
      <c r="D473">
        <v>0.32463900000000001</v>
      </c>
      <c r="E473">
        <v>0.116865</v>
      </c>
      <c r="F473">
        <v>0.70664700000000003</v>
      </c>
    </row>
    <row r="474" spans="1:6">
      <c r="A474" s="11">
        <v>471</v>
      </c>
      <c r="B474">
        <v>1.0456570000000001</v>
      </c>
      <c r="C474">
        <v>1.8674040000000001</v>
      </c>
      <c r="D474">
        <v>2.6192169999999999</v>
      </c>
      <c r="E474">
        <v>0.707283</v>
      </c>
      <c r="F474">
        <v>17.335992999999998</v>
      </c>
    </row>
    <row r="475" spans="1:6">
      <c r="A475" s="11">
        <v>472</v>
      </c>
      <c r="B475">
        <v>2.5814010000000001</v>
      </c>
      <c r="C475">
        <v>0.91533699999999996</v>
      </c>
      <c r="D475">
        <v>0.23607500000000001</v>
      </c>
      <c r="E475">
        <v>0.69404600000000005</v>
      </c>
      <c r="F475">
        <v>2.1310910000000001</v>
      </c>
    </row>
    <row r="476" spans="1:6">
      <c r="A476" s="11">
        <v>473</v>
      </c>
      <c r="B476">
        <v>4.9444949999999999</v>
      </c>
      <c r="C476">
        <v>0.88417000000000001</v>
      </c>
      <c r="D476">
        <v>0.38336999999999999</v>
      </c>
      <c r="E476">
        <v>1.6895849999999999</v>
      </c>
      <c r="F476">
        <v>0.53484100000000001</v>
      </c>
    </row>
    <row r="477" spans="1:6">
      <c r="A477" s="11">
        <v>474</v>
      </c>
      <c r="B477">
        <v>1.066605</v>
      </c>
      <c r="C477">
        <v>4.631532</v>
      </c>
      <c r="D477">
        <v>0.45116699999999998</v>
      </c>
      <c r="E477">
        <v>0.40946399999999999</v>
      </c>
      <c r="F477">
        <v>0.165989</v>
      </c>
    </row>
    <row r="478" spans="1:6">
      <c r="A478" s="11">
        <v>475</v>
      </c>
      <c r="B478">
        <v>3.6818919999999999</v>
      </c>
      <c r="C478">
        <v>0.50676399999999999</v>
      </c>
      <c r="D478">
        <v>0.94571899999999998</v>
      </c>
      <c r="E478">
        <v>0.47730499999999998</v>
      </c>
      <c r="F478">
        <v>2.6358100000000002</v>
      </c>
    </row>
    <row r="479" spans="1:6">
      <c r="A479" s="11">
        <v>476</v>
      </c>
      <c r="B479">
        <v>0.60707699999999998</v>
      </c>
      <c r="C479">
        <v>1.435727</v>
      </c>
      <c r="D479">
        <v>5.8233090000000001</v>
      </c>
      <c r="E479">
        <v>2.2080039999999999</v>
      </c>
      <c r="F479">
        <v>1.1654899999999999</v>
      </c>
    </row>
    <row r="480" spans="1:6">
      <c r="A480" s="11">
        <v>477</v>
      </c>
      <c r="B480">
        <v>2.6030669999999998</v>
      </c>
      <c r="C480">
        <v>1.3237859999999999</v>
      </c>
      <c r="D480">
        <v>0.57279999999999998</v>
      </c>
      <c r="E480">
        <v>0.92815700000000001</v>
      </c>
      <c r="F480">
        <v>4.2741639999999999</v>
      </c>
    </row>
    <row r="481" spans="1:6">
      <c r="A481" s="11">
        <v>478</v>
      </c>
      <c r="B481">
        <v>1.2346520000000001</v>
      </c>
      <c r="C481">
        <v>3.9383119999999998</v>
      </c>
      <c r="D481">
        <v>0.27182200000000001</v>
      </c>
      <c r="E481">
        <v>2.6407050000000001</v>
      </c>
      <c r="F481">
        <v>3.6262829999999999</v>
      </c>
    </row>
    <row r="482" spans="1:6">
      <c r="A482" s="11">
        <v>479</v>
      </c>
      <c r="B482">
        <v>3.2963010000000001</v>
      </c>
      <c r="C482">
        <v>1.2618769999999999</v>
      </c>
      <c r="D482">
        <v>0.440834</v>
      </c>
      <c r="E482">
        <v>1.721141</v>
      </c>
      <c r="F482">
        <v>0.645173</v>
      </c>
    </row>
    <row r="483" spans="1:6">
      <c r="A483" s="11">
        <v>480</v>
      </c>
      <c r="B483">
        <v>1.533989</v>
      </c>
      <c r="C483">
        <v>1.654917</v>
      </c>
      <c r="D483">
        <v>0.82704299999999997</v>
      </c>
      <c r="E483">
        <v>6.6704840000000001</v>
      </c>
      <c r="F483">
        <v>0.59540700000000002</v>
      </c>
    </row>
    <row r="484" spans="1:6">
      <c r="A484" s="11">
        <v>481</v>
      </c>
      <c r="B484">
        <v>0.243455</v>
      </c>
      <c r="C484">
        <v>2.837377</v>
      </c>
      <c r="D484">
        <v>2.3554390000000001</v>
      </c>
      <c r="E484">
        <v>1.568702</v>
      </c>
      <c r="F484">
        <v>0.82621</v>
      </c>
    </row>
    <row r="485" spans="1:6">
      <c r="A485" s="11">
        <v>482</v>
      </c>
      <c r="B485">
        <v>1.7831969999999999</v>
      </c>
      <c r="C485">
        <v>7.6093570000000001</v>
      </c>
      <c r="D485">
        <v>1.8075810000000001</v>
      </c>
      <c r="E485">
        <v>2.125594</v>
      </c>
      <c r="F485">
        <v>1.34605</v>
      </c>
    </row>
    <row r="486" spans="1:6">
      <c r="A486" s="11">
        <v>483</v>
      </c>
      <c r="B486">
        <v>3.9145979999999998</v>
      </c>
      <c r="C486">
        <v>2.435692</v>
      </c>
      <c r="D486">
        <v>0.83870800000000001</v>
      </c>
      <c r="E486">
        <v>7.7259140000000004</v>
      </c>
      <c r="F486">
        <v>1.5311980000000001</v>
      </c>
    </row>
    <row r="487" spans="1:6">
      <c r="A487" s="11">
        <v>484</v>
      </c>
      <c r="B487">
        <v>1.7136880000000001</v>
      </c>
      <c r="C487">
        <v>2.0939320000000001</v>
      </c>
      <c r="D487">
        <v>1.341377</v>
      </c>
      <c r="E487">
        <v>0.73815699999999995</v>
      </c>
      <c r="F487">
        <v>1.5991340000000001</v>
      </c>
    </row>
    <row r="488" spans="1:6">
      <c r="A488" s="11">
        <v>485</v>
      </c>
      <c r="B488">
        <v>28.445076</v>
      </c>
      <c r="C488">
        <v>0.31363999999999997</v>
      </c>
      <c r="D488">
        <v>2.1716259999999998</v>
      </c>
      <c r="E488">
        <v>2.08636</v>
      </c>
      <c r="F488">
        <v>0.36953399999999997</v>
      </c>
    </row>
    <row r="489" spans="1:6">
      <c r="A489" s="11">
        <v>486</v>
      </c>
      <c r="B489">
        <v>0.38491799999999998</v>
      </c>
      <c r="C489">
        <v>0.66254199999999996</v>
      </c>
      <c r="D489">
        <v>0.84611999999999998</v>
      </c>
      <c r="E489">
        <v>0.61424000000000001</v>
      </c>
      <c r="F489">
        <v>3.32707</v>
      </c>
    </row>
    <row r="490" spans="1:6">
      <c r="A490" s="11">
        <v>487</v>
      </c>
      <c r="B490">
        <v>0.54762500000000003</v>
      </c>
      <c r="C490">
        <v>2.4387210000000001</v>
      </c>
      <c r="D490">
        <v>6.6720189999999997</v>
      </c>
      <c r="E490">
        <v>1.9789939999999999</v>
      </c>
      <c r="F490">
        <v>1.443157</v>
      </c>
    </row>
    <row r="491" spans="1:6">
      <c r="A491" s="11">
        <v>488</v>
      </c>
      <c r="B491">
        <v>1.581731</v>
      </c>
      <c r="C491">
        <v>11.051600000000001</v>
      </c>
      <c r="D491">
        <v>0.62555899999999998</v>
      </c>
      <c r="E491">
        <v>6.0005319999999998</v>
      </c>
      <c r="F491">
        <v>0.66217599999999999</v>
      </c>
    </row>
    <row r="492" spans="1:6">
      <c r="A492" s="11">
        <v>489</v>
      </c>
      <c r="B492">
        <v>0.84848000000000001</v>
      </c>
      <c r="C492">
        <v>8.3402419999999999</v>
      </c>
      <c r="D492">
        <v>1.76664</v>
      </c>
      <c r="E492">
        <v>1.310422</v>
      </c>
      <c r="F492">
        <v>0.50998399999999999</v>
      </c>
    </row>
    <row r="493" spans="1:6">
      <c r="A493" s="11">
        <v>490</v>
      </c>
      <c r="B493">
        <v>2.234013</v>
      </c>
      <c r="C493">
        <v>18.430921999999999</v>
      </c>
      <c r="D493">
        <v>0.50890000000000002</v>
      </c>
      <c r="E493">
        <v>0.70347899999999997</v>
      </c>
      <c r="F493">
        <v>0.58944600000000003</v>
      </c>
    </row>
    <row r="494" spans="1:6">
      <c r="A494" s="11">
        <v>491</v>
      </c>
      <c r="B494">
        <v>2.1489549999999999</v>
      </c>
      <c r="C494">
        <v>3.2163460000000001</v>
      </c>
      <c r="D494">
        <v>0.95334600000000003</v>
      </c>
      <c r="E494">
        <v>1.2218599999999999</v>
      </c>
      <c r="F494">
        <v>4.6138009999999996</v>
      </c>
    </row>
    <row r="495" spans="1:6">
      <c r="A495" s="11">
        <v>492</v>
      </c>
      <c r="B495">
        <v>2.7662529999999999</v>
      </c>
      <c r="C495">
        <v>3.0982669999999999</v>
      </c>
      <c r="D495">
        <v>0.85497100000000004</v>
      </c>
      <c r="E495">
        <v>0.15284500000000001</v>
      </c>
      <c r="F495">
        <v>1.1669149999999999</v>
      </c>
    </row>
    <row r="496" spans="1:6">
      <c r="A496" s="11">
        <v>493</v>
      </c>
      <c r="B496">
        <v>0.51610100000000003</v>
      </c>
      <c r="C496">
        <v>0.445905</v>
      </c>
      <c r="D496">
        <v>1.5646979999999999</v>
      </c>
      <c r="E496">
        <v>1.7633829999999999</v>
      </c>
      <c r="F496">
        <v>0.28919400000000001</v>
      </c>
    </row>
    <row r="497" spans="1:6">
      <c r="A497" s="11">
        <v>494</v>
      </c>
      <c r="B497">
        <v>1.2564630000000001</v>
      </c>
      <c r="C497">
        <v>5.7220589999999998</v>
      </c>
      <c r="D497">
        <v>1.748003</v>
      </c>
      <c r="E497">
        <v>1.8461050000000001</v>
      </c>
      <c r="F497">
        <v>0.62634800000000002</v>
      </c>
    </row>
    <row r="498" spans="1:6">
      <c r="A498" s="11">
        <v>495</v>
      </c>
      <c r="B498">
        <v>0.27884900000000001</v>
      </c>
      <c r="C498">
        <v>0.49318400000000001</v>
      </c>
      <c r="D498">
        <v>0.56528800000000001</v>
      </c>
      <c r="E498">
        <v>0.93221900000000002</v>
      </c>
      <c r="F498">
        <v>2.285984</v>
      </c>
    </row>
    <row r="499" spans="1:6">
      <c r="A499" s="11">
        <v>496</v>
      </c>
      <c r="B499">
        <v>1.007862</v>
      </c>
      <c r="C499">
        <v>0.32242100000000001</v>
      </c>
      <c r="D499">
        <v>7.5703519999999997</v>
      </c>
      <c r="E499">
        <v>0.33460099999999998</v>
      </c>
      <c r="F499">
        <v>0.28055200000000002</v>
      </c>
    </row>
    <row r="500" spans="1:6">
      <c r="A500" s="11">
        <v>497</v>
      </c>
      <c r="B500">
        <v>0.30334299999999997</v>
      </c>
      <c r="C500">
        <v>0.27054899999999998</v>
      </c>
      <c r="D500">
        <v>2.3019069999999999</v>
      </c>
      <c r="E500">
        <v>3.5167709999999999</v>
      </c>
      <c r="F500">
        <v>0.86112999999999995</v>
      </c>
    </row>
    <row r="501" spans="1:6">
      <c r="A501" s="11">
        <v>498</v>
      </c>
      <c r="B501">
        <v>0.54347900000000005</v>
      </c>
      <c r="C501">
        <v>4.7377250000000002</v>
      </c>
      <c r="D501">
        <v>0.35740899999999998</v>
      </c>
      <c r="E501">
        <v>0.25615700000000002</v>
      </c>
      <c r="F501">
        <v>0.41244399999999998</v>
      </c>
    </row>
    <row r="502" spans="1:6">
      <c r="A502" s="11">
        <v>499</v>
      </c>
      <c r="B502">
        <v>1.076991</v>
      </c>
      <c r="C502">
        <v>2.8519589999999999</v>
      </c>
      <c r="D502">
        <v>0.31586500000000001</v>
      </c>
      <c r="E502">
        <v>0.89255399999999996</v>
      </c>
      <c r="F502">
        <v>2.6482869999999998</v>
      </c>
    </row>
    <row r="503" spans="1:6">
      <c r="A503" s="11">
        <v>500</v>
      </c>
      <c r="B503">
        <v>1.0665389999999999</v>
      </c>
      <c r="C503">
        <v>1.7124159999999999</v>
      </c>
      <c r="D503">
        <v>1.2975650000000001</v>
      </c>
      <c r="E503">
        <v>2.0481229999999999</v>
      </c>
      <c r="F503">
        <v>1.177511</v>
      </c>
    </row>
    <row r="504" spans="1:6">
      <c r="A504" s="11">
        <v>501</v>
      </c>
      <c r="B504">
        <v>1.278216</v>
      </c>
      <c r="C504">
        <v>0.97040400000000004</v>
      </c>
      <c r="D504">
        <v>0.70479899999999995</v>
      </c>
      <c r="E504">
        <v>0.34456599999999998</v>
      </c>
      <c r="F504">
        <v>0.96373900000000001</v>
      </c>
    </row>
    <row r="505" spans="1:6">
      <c r="A505" s="11">
        <v>502</v>
      </c>
      <c r="B505">
        <v>0.43256899999999998</v>
      </c>
      <c r="C505">
        <v>1.2294320000000001</v>
      </c>
      <c r="D505">
        <v>0.43170799999999998</v>
      </c>
      <c r="E505">
        <v>8.4318000000000004E-2</v>
      </c>
      <c r="F505">
        <v>0.50201099999999999</v>
      </c>
    </row>
    <row r="506" spans="1:6">
      <c r="A506" s="11">
        <v>503</v>
      </c>
      <c r="B506">
        <v>1.940477</v>
      </c>
      <c r="C506">
        <v>8.3884609999999995</v>
      </c>
      <c r="D506">
        <v>1.338706</v>
      </c>
      <c r="E506">
        <v>3.1641080000000001</v>
      </c>
      <c r="F506">
        <v>0.51836800000000005</v>
      </c>
    </row>
    <row r="507" spans="1:6">
      <c r="A507" s="11">
        <v>504</v>
      </c>
      <c r="B507">
        <v>0.22381100000000001</v>
      </c>
      <c r="C507">
        <v>28.824113000000001</v>
      </c>
      <c r="D507">
        <v>1.8517349999999999</v>
      </c>
      <c r="E507">
        <v>0.81156700000000004</v>
      </c>
      <c r="F507">
        <v>1.394055</v>
      </c>
    </row>
    <row r="508" spans="1:6">
      <c r="A508" s="11">
        <v>505</v>
      </c>
      <c r="B508">
        <v>3.0144549999999999</v>
      </c>
      <c r="C508">
        <v>1.160261</v>
      </c>
      <c r="D508">
        <v>1.5623640000000001</v>
      </c>
      <c r="E508">
        <v>1.4125540000000001</v>
      </c>
      <c r="F508">
        <v>0.97383399999999998</v>
      </c>
    </row>
    <row r="509" spans="1:6">
      <c r="A509" s="11">
        <v>506</v>
      </c>
      <c r="B509">
        <v>0.80986800000000003</v>
      </c>
      <c r="C509">
        <v>1.3659840000000001</v>
      </c>
      <c r="D509">
        <v>11.437389</v>
      </c>
      <c r="E509">
        <v>0.60433499999999996</v>
      </c>
      <c r="F509">
        <v>7.1094109999999997</v>
      </c>
    </row>
    <row r="510" spans="1:6">
      <c r="A510" s="11">
        <v>507</v>
      </c>
      <c r="B510">
        <v>0.49071399999999998</v>
      </c>
      <c r="C510">
        <v>21.358954000000001</v>
      </c>
      <c r="D510">
        <v>5.9801479999999998</v>
      </c>
      <c r="E510">
        <v>1.1542209999999999</v>
      </c>
      <c r="F510">
        <v>1.7055880000000001</v>
      </c>
    </row>
    <row r="511" spans="1:6">
      <c r="A511" s="11">
        <v>508</v>
      </c>
      <c r="B511">
        <v>1.879392</v>
      </c>
      <c r="C511">
        <v>2.434409</v>
      </c>
      <c r="D511">
        <v>0.868954</v>
      </c>
      <c r="E511">
        <v>1.2709589999999999</v>
      </c>
      <c r="F511">
        <v>0.34706999999999999</v>
      </c>
    </row>
    <row r="512" spans="1:6">
      <c r="A512" s="11">
        <v>509</v>
      </c>
      <c r="B512">
        <v>0.75867600000000002</v>
      </c>
      <c r="C512">
        <v>1.446887</v>
      </c>
      <c r="D512">
        <v>1.498351</v>
      </c>
      <c r="E512">
        <v>2.5053740000000002</v>
      </c>
      <c r="F512">
        <v>4.277183</v>
      </c>
    </row>
    <row r="513" spans="1:6">
      <c r="A513" s="11">
        <v>510</v>
      </c>
      <c r="B513">
        <v>3.1223869999999998</v>
      </c>
      <c r="C513">
        <v>0.48294100000000001</v>
      </c>
      <c r="D513">
        <v>0.97800500000000001</v>
      </c>
      <c r="E513">
        <v>1.6029720000000001</v>
      </c>
      <c r="F513">
        <v>1.016491</v>
      </c>
    </row>
    <row r="514" spans="1:6">
      <c r="A514" s="11">
        <v>511</v>
      </c>
      <c r="B514">
        <v>0.15440699999999999</v>
      </c>
      <c r="C514">
        <v>1.117378</v>
      </c>
      <c r="D514">
        <v>0.184838</v>
      </c>
      <c r="E514">
        <v>0.84493200000000002</v>
      </c>
      <c r="F514">
        <v>0.21917</v>
      </c>
    </row>
    <row r="515" spans="1:6">
      <c r="A515" s="11">
        <v>512</v>
      </c>
      <c r="B515">
        <v>0.82068600000000003</v>
      </c>
      <c r="C515">
        <v>0.25122800000000001</v>
      </c>
      <c r="D515">
        <v>1.090759</v>
      </c>
      <c r="E515">
        <v>1.959287</v>
      </c>
      <c r="F515">
        <v>0.84493300000000005</v>
      </c>
    </row>
    <row r="516" spans="1:6">
      <c r="A516" s="11">
        <v>513</v>
      </c>
      <c r="B516">
        <v>26.887898</v>
      </c>
      <c r="C516">
        <v>0.23171600000000001</v>
      </c>
      <c r="D516">
        <v>0.216636</v>
      </c>
      <c r="E516">
        <v>0.28189900000000001</v>
      </c>
      <c r="F516">
        <v>0.93176400000000004</v>
      </c>
    </row>
    <row r="517" spans="1:6">
      <c r="A517" s="11">
        <v>514</v>
      </c>
      <c r="B517">
        <v>1.866554</v>
      </c>
      <c r="C517">
        <v>0.70136399999999999</v>
      </c>
      <c r="D517">
        <v>3.08392</v>
      </c>
      <c r="E517">
        <v>1.920229</v>
      </c>
      <c r="F517">
        <v>0.77788199999999996</v>
      </c>
    </row>
    <row r="518" spans="1:6">
      <c r="A518" s="11">
        <v>515</v>
      </c>
      <c r="B518">
        <v>3.7639629999999999</v>
      </c>
      <c r="C518">
        <v>0.35022900000000001</v>
      </c>
      <c r="D518">
        <v>0.34647699999999998</v>
      </c>
      <c r="E518">
        <v>1.032721</v>
      </c>
      <c r="F518">
        <v>0.57041699999999995</v>
      </c>
    </row>
    <row r="519" spans="1:6">
      <c r="A519" s="11">
        <v>516</v>
      </c>
      <c r="B519">
        <v>3.2029019999999999</v>
      </c>
      <c r="C519">
        <v>1.079013</v>
      </c>
      <c r="D519">
        <v>0.72830700000000004</v>
      </c>
      <c r="E519">
        <v>3.9144359999999998</v>
      </c>
      <c r="F519">
        <v>0.34346500000000002</v>
      </c>
    </row>
    <row r="520" spans="1:6">
      <c r="A520" s="11">
        <v>517</v>
      </c>
      <c r="B520">
        <v>7.1478859999999997</v>
      </c>
      <c r="C520">
        <v>1.1515310000000001</v>
      </c>
      <c r="D520">
        <v>2.589334</v>
      </c>
      <c r="E520">
        <v>1.0818239999999999</v>
      </c>
      <c r="F520">
        <v>1.168088</v>
      </c>
    </row>
    <row r="521" spans="1:6">
      <c r="A521" s="11">
        <v>518</v>
      </c>
      <c r="B521">
        <v>1.5080469999999999</v>
      </c>
      <c r="C521">
        <v>0.62921700000000003</v>
      </c>
      <c r="D521">
        <v>3.1943920000000001</v>
      </c>
      <c r="E521">
        <v>3.1700840000000001</v>
      </c>
      <c r="F521">
        <v>0.51074200000000003</v>
      </c>
    </row>
    <row r="522" spans="1:6">
      <c r="A522" s="11">
        <v>519</v>
      </c>
      <c r="B522">
        <v>1.112139</v>
      </c>
      <c r="C522">
        <v>0.42235800000000001</v>
      </c>
      <c r="D522">
        <v>0.45647599999999999</v>
      </c>
      <c r="E522">
        <v>1.0855399999999999</v>
      </c>
      <c r="F522">
        <v>1.145904</v>
      </c>
    </row>
    <row r="523" spans="1:6">
      <c r="A523" s="11">
        <v>520</v>
      </c>
      <c r="B523">
        <v>0.86700500000000003</v>
      </c>
      <c r="C523">
        <v>0.94904500000000003</v>
      </c>
      <c r="D523">
        <v>5.6989210000000003</v>
      </c>
      <c r="E523">
        <v>1.0680769999999999</v>
      </c>
      <c r="F523">
        <v>0.13028100000000001</v>
      </c>
    </row>
    <row r="524" spans="1:6">
      <c r="A524" s="11">
        <v>521</v>
      </c>
      <c r="B524">
        <v>6.496461</v>
      </c>
      <c r="C524">
        <v>1.0107930000000001</v>
      </c>
      <c r="D524">
        <v>0.50600100000000003</v>
      </c>
      <c r="E524">
        <v>0.54343200000000003</v>
      </c>
      <c r="F524">
        <v>0.78318200000000004</v>
      </c>
    </row>
    <row r="525" spans="1:6">
      <c r="A525" s="11">
        <v>522</v>
      </c>
      <c r="B525">
        <v>5.8060749999999999</v>
      </c>
      <c r="C525">
        <v>0.47774</v>
      </c>
      <c r="D525">
        <v>0.42342000000000002</v>
      </c>
      <c r="E525">
        <v>0.32058700000000001</v>
      </c>
      <c r="F525">
        <v>0.59533400000000003</v>
      </c>
    </row>
    <row r="526" spans="1:6">
      <c r="A526" s="11">
        <v>523</v>
      </c>
      <c r="B526">
        <v>9.0786940000000005</v>
      </c>
      <c r="C526">
        <v>1.0942179999999999</v>
      </c>
      <c r="D526">
        <v>9.1637050000000002</v>
      </c>
      <c r="E526">
        <v>0.85815799999999998</v>
      </c>
      <c r="F526">
        <v>0.89786100000000002</v>
      </c>
    </row>
    <row r="527" spans="1:6">
      <c r="A527" s="11">
        <v>524</v>
      </c>
      <c r="B527">
        <v>0.62878800000000001</v>
      </c>
      <c r="C527">
        <v>1.833483</v>
      </c>
      <c r="D527">
        <v>1.011633</v>
      </c>
      <c r="E527">
        <v>2.881564</v>
      </c>
      <c r="F527">
        <v>1.317734</v>
      </c>
    </row>
    <row r="528" spans="1:6">
      <c r="A528" s="11">
        <v>525</v>
      </c>
      <c r="B528">
        <v>1.6444369999999999</v>
      </c>
      <c r="C528">
        <v>0.59711400000000003</v>
      </c>
      <c r="D528">
        <v>20.044756</v>
      </c>
      <c r="E528">
        <v>0.60056100000000001</v>
      </c>
      <c r="F528">
        <v>1.2300949999999999</v>
      </c>
    </row>
    <row r="529" spans="1:6">
      <c r="A529" s="11">
        <v>526</v>
      </c>
      <c r="B529">
        <v>1.466259</v>
      </c>
      <c r="C529">
        <v>2.5506929999999999</v>
      </c>
      <c r="D529">
        <v>3.1905559999999999</v>
      </c>
      <c r="E529">
        <v>12.147924</v>
      </c>
      <c r="F529">
        <v>2.336268</v>
      </c>
    </row>
    <row r="530" spans="1:6">
      <c r="A530" s="11">
        <v>527</v>
      </c>
      <c r="B530">
        <v>0.427456</v>
      </c>
      <c r="C530">
        <v>1.7844679999999999</v>
      </c>
      <c r="D530">
        <v>1.4749890000000001</v>
      </c>
      <c r="E530">
        <v>1.9440189999999999</v>
      </c>
      <c r="F530">
        <v>2.6602640000000002</v>
      </c>
    </row>
    <row r="531" spans="1:6">
      <c r="A531" s="11">
        <v>528</v>
      </c>
      <c r="B531">
        <v>0.41548000000000002</v>
      </c>
      <c r="C531">
        <v>4.3271129999999998</v>
      </c>
      <c r="D531">
        <v>1.546592</v>
      </c>
      <c r="E531">
        <v>6.9940480000000003</v>
      </c>
      <c r="F531">
        <v>1.5695760000000001</v>
      </c>
    </row>
    <row r="532" spans="1:6">
      <c r="A532" s="11">
        <v>529</v>
      </c>
      <c r="B532">
        <v>0.81415000000000004</v>
      </c>
      <c r="C532">
        <v>9.0843640000000008</v>
      </c>
      <c r="D532">
        <v>0.46701900000000002</v>
      </c>
      <c r="E532">
        <v>0.33790100000000001</v>
      </c>
      <c r="F532">
        <v>2.9787849999999998</v>
      </c>
    </row>
    <row r="533" spans="1:6">
      <c r="A533" s="11">
        <v>530</v>
      </c>
      <c r="B533">
        <v>0.35991800000000002</v>
      </c>
      <c r="C533">
        <v>1.6535850000000001</v>
      </c>
      <c r="D533">
        <v>4.1090609999999996</v>
      </c>
      <c r="E533">
        <v>0.98585699999999998</v>
      </c>
      <c r="F533">
        <v>0.43315199999999998</v>
      </c>
    </row>
    <row r="534" spans="1:6">
      <c r="A534" s="11">
        <v>531</v>
      </c>
      <c r="B534">
        <v>4.7787360000000003</v>
      </c>
      <c r="C534">
        <v>2.618366</v>
      </c>
      <c r="D534">
        <v>0.24504000000000001</v>
      </c>
      <c r="E534">
        <v>0.65127299999999999</v>
      </c>
      <c r="F534">
        <v>0.88664900000000002</v>
      </c>
    </row>
    <row r="535" spans="1:6">
      <c r="A535" s="11">
        <v>532</v>
      </c>
      <c r="B535">
        <v>4.4180630000000001</v>
      </c>
      <c r="C535">
        <v>2.1155849999999998</v>
      </c>
      <c r="D535">
        <v>0.23854800000000001</v>
      </c>
      <c r="E535">
        <v>1.0762849999999999</v>
      </c>
      <c r="F535">
        <v>1.025736</v>
      </c>
    </row>
    <row r="536" spans="1:6">
      <c r="A536" s="11">
        <v>533</v>
      </c>
      <c r="B536">
        <v>0.74887599999999999</v>
      </c>
      <c r="C536">
        <v>0.59602200000000005</v>
      </c>
      <c r="D536">
        <v>0.51965899999999998</v>
      </c>
      <c r="E536">
        <v>2.8406419999999999</v>
      </c>
      <c r="F536">
        <v>1.1771670000000001</v>
      </c>
    </row>
    <row r="537" spans="1:6">
      <c r="A537" s="11">
        <v>534</v>
      </c>
      <c r="B537">
        <v>2.6559050000000002</v>
      </c>
      <c r="C537">
        <v>0.37932300000000002</v>
      </c>
      <c r="D537">
        <v>0.55293499999999995</v>
      </c>
      <c r="E537">
        <v>1.0444850000000001</v>
      </c>
      <c r="F537">
        <v>0.36590099999999998</v>
      </c>
    </row>
    <row r="538" spans="1:6">
      <c r="A538" s="11">
        <v>535</v>
      </c>
      <c r="B538">
        <v>0.85383799999999999</v>
      </c>
      <c r="C538">
        <v>0.89996100000000001</v>
      </c>
      <c r="D538">
        <v>2.2037450000000001</v>
      </c>
      <c r="E538">
        <v>5.7706280000000003</v>
      </c>
      <c r="F538">
        <v>0.897034</v>
      </c>
    </row>
    <row r="539" spans="1:6">
      <c r="A539" s="11">
        <v>536</v>
      </c>
      <c r="B539">
        <v>0.22345200000000001</v>
      </c>
      <c r="C539">
        <v>1.401994</v>
      </c>
      <c r="D539">
        <v>0.37074600000000002</v>
      </c>
      <c r="E539">
        <v>1.1298049999999999</v>
      </c>
      <c r="F539">
        <v>0.38258700000000001</v>
      </c>
    </row>
    <row r="540" spans="1:6">
      <c r="A540" s="11">
        <v>537</v>
      </c>
      <c r="B540">
        <v>0.80024899999999999</v>
      </c>
      <c r="C540">
        <v>0.25902900000000001</v>
      </c>
      <c r="D540">
        <v>7.4378609999999998</v>
      </c>
      <c r="E540">
        <v>7.7189730000000001</v>
      </c>
      <c r="F540">
        <v>81.948200999999997</v>
      </c>
    </row>
    <row r="541" spans="1:6">
      <c r="A541" s="11">
        <v>538</v>
      </c>
      <c r="B541">
        <v>0.231709</v>
      </c>
      <c r="C541">
        <v>3.7676789999999998</v>
      </c>
      <c r="D541">
        <v>5.3121460000000003</v>
      </c>
      <c r="E541">
        <v>0.50035300000000005</v>
      </c>
      <c r="F541">
        <v>3.672085</v>
      </c>
    </row>
    <row r="542" spans="1:6">
      <c r="A542" s="11">
        <v>539</v>
      </c>
      <c r="B542">
        <v>1.493552</v>
      </c>
      <c r="C542">
        <v>0.20499999999999999</v>
      </c>
      <c r="D542">
        <v>2.6053739999999999</v>
      </c>
      <c r="E542">
        <v>5.7265999999999997E-2</v>
      </c>
      <c r="F542">
        <v>0.75157399999999996</v>
      </c>
    </row>
    <row r="543" spans="1:6">
      <c r="A543" s="11">
        <v>540</v>
      </c>
      <c r="B543">
        <v>3.9709750000000001</v>
      </c>
      <c r="C543">
        <v>2.2695850000000002</v>
      </c>
      <c r="D543">
        <v>5.5616050000000001</v>
      </c>
      <c r="E543">
        <v>1.9906649999999999</v>
      </c>
      <c r="F543">
        <v>0.81111999999999995</v>
      </c>
    </row>
    <row r="544" spans="1:6">
      <c r="A544" s="11">
        <v>541</v>
      </c>
      <c r="B544">
        <v>0.79953799999999997</v>
      </c>
      <c r="C544">
        <v>0.95665100000000003</v>
      </c>
      <c r="D544">
        <v>8.0797310000000007</v>
      </c>
      <c r="E544">
        <v>3.9069500000000001</v>
      </c>
      <c r="F544">
        <v>0.72725700000000004</v>
      </c>
    </row>
    <row r="545" spans="1:6">
      <c r="A545" s="11">
        <v>542</v>
      </c>
      <c r="B545">
        <v>0.67789600000000005</v>
      </c>
      <c r="C545">
        <v>0.28126000000000001</v>
      </c>
      <c r="D545">
        <v>1.988415</v>
      </c>
      <c r="E545">
        <v>1.1071200000000001</v>
      </c>
      <c r="F545">
        <v>0.64221700000000004</v>
      </c>
    </row>
    <row r="546" spans="1:6">
      <c r="A546" s="11">
        <v>543</v>
      </c>
      <c r="B546">
        <v>0.90791599999999995</v>
      </c>
      <c r="C546">
        <v>0.26718599999999998</v>
      </c>
      <c r="D546">
        <v>0.34769600000000001</v>
      </c>
      <c r="E546">
        <v>0.84550499999999995</v>
      </c>
      <c r="F546">
        <v>3.2182309999999998</v>
      </c>
    </row>
    <row r="547" spans="1:6">
      <c r="A547" s="11">
        <v>544</v>
      </c>
      <c r="B547">
        <v>4.1219210000000004</v>
      </c>
      <c r="C547">
        <v>2.602582</v>
      </c>
      <c r="D547">
        <v>2.0707140000000002</v>
      </c>
      <c r="E547">
        <v>1.268667</v>
      </c>
      <c r="F547">
        <v>0.81584000000000001</v>
      </c>
    </row>
    <row r="548" spans="1:6">
      <c r="A548" s="11">
        <v>545</v>
      </c>
      <c r="B548">
        <v>2.921195</v>
      </c>
      <c r="C548">
        <v>4.2780250000000004</v>
      </c>
      <c r="D548">
        <v>2.44224</v>
      </c>
      <c r="E548">
        <v>2.0903179999999999</v>
      </c>
      <c r="F548">
        <v>1.6815629999999999</v>
      </c>
    </row>
    <row r="549" spans="1:6">
      <c r="A549" s="11">
        <v>546</v>
      </c>
      <c r="B549">
        <v>3.1502919999999999</v>
      </c>
      <c r="C549">
        <v>0.74257099999999998</v>
      </c>
      <c r="D549">
        <v>0.81650400000000001</v>
      </c>
      <c r="E549">
        <v>0.77761199999999997</v>
      </c>
      <c r="F549">
        <v>1.3098380000000001</v>
      </c>
    </row>
    <row r="550" spans="1:6">
      <c r="A550" s="11">
        <v>547</v>
      </c>
      <c r="B550">
        <v>0.79507700000000003</v>
      </c>
      <c r="C550">
        <v>1.31348</v>
      </c>
      <c r="D550">
        <v>7.3318750000000001</v>
      </c>
      <c r="E550">
        <v>1.9869509999999999</v>
      </c>
      <c r="F550">
        <v>0.76683100000000004</v>
      </c>
    </row>
    <row r="551" spans="1:6">
      <c r="A551" s="11">
        <v>548</v>
      </c>
      <c r="B551">
        <v>4.5039069999999999</v>
      </c>
      <c r="C551">
        <v>1.750202</v>
      </c>
      <c r="D551">
        <v>8.4137000000000003E-2</v>
      </c>
      <c r="E551">
        <v>0.25132900000000002</v>
      </c>
      <c r="F551">
        <v>0.70826999999999996</v>
      </c>
    </row>
    <row r="552" spans="1:6">
      <c r="A552" s="11">
        <v>549</v>
      </c>
      <c r="B552">
        <v>0.71212699999999995</v>
      </c>
      <c r="C552">
        <v>0.32216</v>
      </c>
      <c r="D552">
        <v>6.255134</v>
      </c>
      <c r="E552">
        <v>2.0267659999999998</v>
      </c>
      <c r="F552">
        <v>0.37279899999999999</v>
      </c>
    </row>
    <row r="553" spans="1:6">
      <c r="A553" s="11">
        <v>550</v>
      </c>
      <c r="B553">
        <v>1.4067829999999999</v>
      </c>
      <c r="C553">
        <v>0.45669999999999999</v>
      </c>
      <c r="D553">
        <v>1.093704</v>
      </c>
      <c r="E553">
        <v>0.69160299999999997</v>
      </c>
      <c r="F553">
        <v>0.84792000000000001</v>
      </c>
    </row>
    <row r="554" spans="1:6">
      <c r="A554" s="11">
        <v>551</v>
      </c>
      <c r="B554">
        <v>1.3498520000000001</v>
      </c>
      <c r="C554">
        <v>0.32529000000000002</v>
      </c>
      <c r="D554">
        <v>0.11633300000000001</v>
      </c>
      <c r="E554">
        <v>0.59602599999999994</v>
      </c>
      <c r="F554">
        <v>1.04884</v>
      </c>
    </row>
    <row r="555" spans="1:6">
      <c r="A555" s="11">
        <v>552</v>
      </c>
      <c r="B555">
        <v>0.99783100000000002</v>
      </c>
      <c r="C555">
        <v>0.87363400000000002</v>
      </c>
      <c r="D555">
        <v>1.027784</v>
      </c>
      <c r="E555">
        <v>0.48543599999999998</v>
      </c>
      <c r="F555">
        <v>0.92923500000000003</v>
      </c>
    </row>
    <row r="556" spans="1:6">
      <c r="A556" s="11">
        <v>553</v>
      </c>
      <c r="B556">
        <v>0.40978599999999998</v>
      </c>
      <c r="C556">
        <v>1.847229</v>
      </c>
      <c r="D556">
        <v>1.470928</v>
      </c>
      <c r="E556">
        <v>7.3543229999999999</v>
      </c>
      <c r="F556">
        <v>0.99680199999999997</v>
      </c>
    </row>
    <row r="557" spans="1:6">
      <c r="A557" s="11">
        <v>554</v>
      </c>
      <c r="B557">
        <v>1.5622609999999999</v>
      </c>
      <c r="C557">
        <v>4.1290789999999999</v>
      </c>
      <c r="D557">
        <v>1.215319</v>
      </c>
      <c r="E557">
        <v>0.97970900000000005</v>
      </c>
      <c r="F557">
        <v>1.2999259999999999</v>
      </c>
    </row>
    <row r="558" spans="1:6">
      <c r="A558" s="11">
        <v>555</v>
      </c>
      <c r="B558">
        <v>0.246477</v>
      </c>
      <c r="C558">
        <v>1.0757810000000001</v>
      </c>
      <c r="D558">
        <v>3.6015899999999998</v>
      </c>
      <c r="E558">
        <v>0.120078</v>
      </c>
      <c r="F558">
        <v>1.176963</v>
      </c>
    </row>
    <row r="559" spans="1:6">
      <c r="A559" s="11">
        <v>556</v>
      </c>
      <c r="B559">
        <v>0.66611299999999996</v>
      </c>
      <c r="C559">
        <v>0.16339600000000001</v>
      </c>
      <c r="D559">
        <v>0.58396300000000001</v>
      </c>
      <c r="E559">
        <v>0.50230900000000001</v>
      </c>
      <c r="F559">
        <v>0.219137</v>
      </c>
    </row>
    <row r="560" spans="1:6">
      <c r="A560" s="11">
        <v>557</v>
      </c>
      <c r="B560">
        <v>0.59487699999999999</v>
      </c>
      <c r="C560">
        <v>0.76585099999999995</v>
      </c>
      <c r="D560">
        <v>0.92569800000000002</v>
      </c>
      <c r="E560">
        <v>1.8546290000000001</v>
      </c>
      <c r="F560">
        <v>3.9795280000000002</v>
      </c>
    </row>
    <row r="561" spans="1:6">
      <c r="A561" s="11">
        <v>558</v>
      </c>
      <c r="B561">
        <v>0.377249</v>
      </c>
      <c r="C561">
        <v>0.67379999999999995</v>
      </c>
      <c r="D561">
        <v>0.54613900000000004</v>
      </c>
      <c r="E561">
        <v>3.7357390000000001</v>
      </c>
      <c r="F561">
        <v>3.257441</v>
      </c>
    </row>
    <row r="562" spans="1:6">
      <c r="A562" s="11">
        <v>559</v>
      </c>
      <c r="B562">
        <v>0.70950800000000003</v>
      </c>
      <c r="C562">
        <v>0.38634000000000002</v>
      </c>
      <c r="D562">
        <v>0.70989100000000005</v>
      </c>
      <c r="E562">
        <v>0.573125</v>
      </c>
      <c r="F562">
        <v>3.8696000000000002</v>
      </c>
    </row>
    <row r="563" spans="1:6">
      <c r="A563" s="11">
        <v>560</v>
      </c>
      <c r="B563">
        <v>0.209261</v>
      </c>
      <c r="C563">
        <v>4.4650499999999997</v>
      </c>
      <c r="D563">
        <v>1.1712149999999999</v>
      </c>
      <c r="E563">
        <v>2.720704</v>
      </c>
      <c r="F563">
        <v>1.7945990000000001</v>
      </c>
    </row>
    <row r="564" spans="1:6">
      <c r="A564" s="11">
        <v>561</v>
      </c>
      <c r="B564">
        <v>0.98057700000000003</v>
      </c>
      <c r="C564">
        <v>3.848913</v>
      </c>
      <c r="D564">
        <v>1.629227</v>
      </c>
      <c r="E564">
        <v>1.4390510000000001</v>
      </c>
      <c r="F564">
        <v>0.95706500000000005</v>
      </c>
    </row>
    <row r="565" spans="1:6">
      <c r="A565" s="11">
        <v>562</v>
      </c>
      <c r="B565">
        <v>0.45852599999999999</v>
      </c>
      <c r="C565">
        <v>0.67507200000000001</v>
      </c>
      <c r="D565">
        <v>1.838354</v>
      </c>
      <c r="E565">
        <v>1.334395</v>
      </c>
      <c r="F565">
        <v>4.8777689999999998</v>
      </c>
    </row>
    <row r="566" spans="1:6">
      <c r="A566" s="11">
        <v>563</v>
      </c>
      <c r="B566">
        <v>1.1812579999999999</v>
      </c>
      <c r="C566">
        <v>1.4074679999999999</v>
      </c>
      <c r="D566">
        <v>23.871234000000001</v>
      </c>
      <c r="E566">
        <v>4.186992</v>
      </c>
      <c r="F566">
        <v>0.61792499999999995</v>
      </c>
    </row>
    <row r="567" spans="1:6">
      <c r="A567" s="11">
        <v>564</v>
      </c>
      <c r="B567">
        <v>3.879254</v>
      </c>
      <c r="C567">
        <v>0.19184499999999999</v>
      </c>
      <c r="D567">
        <v>2.7830379999999999</v>
      </c>
      <c r="E567">
        <v>0.63290000000000002</v>
      </c>
      <c r="F567">
        <v>0.33412700000000001</v>
      </c>
    </row>
    <row r="568" spans="1:6">
      <c r="A568" s="11">
        <v>565</v>
      </c>
      <c r="B568">
        <v>0.38767099999999999</v>
      </c>
      <c r="C568">
        <v>0.79602799999999996</v>
      </c>
      <c r="D568">
        <v>0.77637699999999998</v>
      </c>
      <c r="E568">
        <v>1.778006</v>
      </c>
      <c r="F568">
        <v>0.43394199999999999</v>
      </c>
    </row>
    <row r="569" spans="1:6">
      <c r="A569" s="11">
        <v>566</v>
      </c>
      <c r="B569">
        <v>5.74017</v>
      </c>
      <c r="C569">
        <v>2.6082700000000001</v>
      </c>
      <c r="D569">
        <v>2.4817610000000001</v>
      </c>
      <c r="E569">
        <v>2.0208189999999999</v>
      </c>
      <c r="F569">
        <v>1.0895060000000001</v>
      </c>
    </row>
    <row r="570" spans="1:6">
      <c r="A570" s="11">
        <v>567</v>
      </c>
      <c r="B570">
        <v>0.92418</v>
      </c>
      <c r="C570">
        <v>2.1310630000000002</v>
      </c>
      <c r="D570">
        <v>1.371769</v>
      </c>
      <c r="E570">
        <v>0.88993699999999998</v>
      </c>
      <c r="F570">
        <v>0.25819300000000001</v>
      </c>
    </row>
    <row r="571" spans="1:6">
      <c r="A571" s="11">
        <v>568</v>
      </c>
      <c r="B571">
        <v>7.7630710000000001</v>
      </c>
      <c r="C571">
        <v>1.6086339999999999</v>
      </c>
      <c r="D571">
        <v>3.7205010000000001</v>
      </c>
      <c r="E571">
        <v>0.83835599999999999</v>
      </c>
      <c r="F571">
        <v>0.37633</v>
      </c>
    </row>
    <row r="572" spans="1:6">
      <c r="A572" s="11">
        <v>569</v>
      </c>
      <c r="B572">
        <v>0.18298</v>
      </c>
      <c r="C572">
        <v>2.264186</v>
      </c>
      <c r="D572">
        <v>0.88811799999999996</v>
      </c>
      <c r="E572">
        <v>0.69704900000000003</v>
      </c>
      <c r="F572">
        <v>0.70050800000000002</v>
      </c>
    </row>
    <row r="573" spans="1:6">
      <c r="A573" s="11">
        <v>570</v>
      </c>
      <c r="B573">
        <v>1.8720669999999999</v>
      </c>
      <c r="C573">
        <v>0.43879299999999999</v>
      </c>
      <c r="D573">
        <v>0.47995500000000002</v>
      </c>
      <c r="E573">
        <v>1.237814</v>
      </c>
      <c r="F573">
        <v>0.842414</v>
      </c>
    </row>
    <row r="574" spans="1:6">
      <c r="A574" s="11">
        <v>571</v>
      </c>
      <c r="B574">
        <v>0.48897099999999999</v>
      </c>
      <c r="C574">
        <v>0.32406200000000002</v>
      </c>
      <c r="D574">
        <v>0.87002299999999999</v>
      </c>
      <c r="E574">
        <v>0.90757299999999996</v>
      </c>
      <c r="F574">
        <v>9.4879479999999994</v>
      </c>
    </row>
    <row r="575" spans="1:6">
      <c r="A575" s="11">
        <v>572</v>
      </c>
      <c r="B575">
        <v>0.70395300000000005</v>
      </c>
      <c r="C575">
        <v>0.30455700000000002</v>
      </c>
      <c r="D575">
        <v>18.851545000000002</v>
      </c>
      <c r="E575">
        <v>5.476572</v>
      </c>
      <c r="F575">
        <v>1.17642</v>
      </c>
    </row>
    <row r="576" spans="1:6">
      <c r="A576" s="11">
        <v>573</v>
      </c>
      <c r="B576">
        <v>4.3485189999999996</v>
      </c>
      <c r="C576">
        <v>0.51624800000000004</v>
      </c>
      <c r="D576">
        <v>1.8693979999999999</v>
      </c>
      <c r="E576">
        <v>1.814184</v>
      </c>
      <c r="F576">
        <v>0.32585999999999998</v>
      </c>
    </row>
    <row r="577" spans="1:6">
      <c r="A577" s="11">
        <v>574</v>
      </c>
      <c r="B577">
        <v>0.82277900000000004</v>
      </c>
      <c r="C577">
        <v>4.7905530000000001</v>
      </c>
      <c r="D577">
        <v>0.99873500000000004</v>
      </c>
      <c r="E577">
        <v>1.321693</v>
      </c>
      <c r="F577">
        <v>13.882037</v>
      </c>
    </row>
    <row r="578" spans="1:6">
      <c r="A578" s="11">
        <v>575</v>
      </c>
      <c r="B578">
        <v>2.9500519999999999</v>
      </c>
      <c r="C578">
        <v>0.50730600000000003</v>
      </c>
      <c r="D578">
        <v>1.093372</v>
      </c>
      <c r="E578">
        <v>1.7437</v>
      </c>
      <c r="F578">
        <v>1.6958949999999999</v>
      </c>
    </row>
    <row r="579" spans="1:6">
      <c r="A579" s="11">
        <v>576</v>
      </c>
      <c r="B579">
        <v>6.5229749999999997</v>
      </c>
      <c r="C579">
        <v>13.666952</v>
      </c>
      <c r="D579">
        <v>0.42167300000000002</v>
      </c>
      <c r="E579">
        <v>0.63261900000000004</v>
      </c>
      <c r="F579">
        <v>2.608168</v>
      </c>
    </row>
    <row r="580" spans="1:6">
      <c r="A580" s="11">
        <v>577</v>
      </c>
      <c r="B580">
        <v>0.62873699999999999</v>
      </c>
      <c r="C580">
        <v>5.4625209999999997</v>
      </c>
      <c r="D580">
        <v>4.357367</v>
      </c>
      <c r="E580">
        <v>1.398001</v>
      </c>
      <c r="F580">
        <v>1.5163549999999999</v>
      </c>
    </row>
    <row r="581" spans="1:6">
      <c r="A581" s="11">
        <v>578</v>
      </c>
      <c r="B581">
        <v>1.194569</v>
      </c>
      <c r="C581">
        <v>1.5553110000000001</v>
      </c>
      <c r="D581">
        <v>2.1090049999999998</v>
      </c>
      <c r="E581">
        <v>0.49182999999999999</v>
      </c>
      <c r="F581">
        <v>4.9227749999999997</v>
      </c>
    </row>
    <row r="582" spans="1:6">
      <c r="A582" s="11">
        <v>579</v>
      </c>
      <c r="B582">
        <v>0.68183199999999999</v>
      </c>
      <c r="C582">
        <v>1.4190160000000001</v>
      </c>
      <c r="D582">
        <v>1.7407870000000001</v>
      </c>
      <c r="E582">
        <v>1.102249</v>
      </c>
      <c r="F582">
        <v>0.93173899999999998</v>
      </c>
    </row>
    <row r="583" spans="1:6">
      <c r="A583" s="11">
        <v>580</v>
      </c>
      <c r="B583">
        <v>1.1035619999999999</v>
      </c>
      <c r="C583">
        <v>0.13165099999999999</v>
      </c>
      <c r="D583">
        <v>3.368436</v>
      </c>
      <c r="E583">
        <v>2.2611539999999999</v>
      </c>
      <c r="F583">
        <v>0.16739999999999999</v>
      </c>
    </row>
    <row r="584" spans="1:6">
      <c r="A584" s="11">
        <v>581</v>
      </c>
      <c r="B584">
        <v>1.5697650000000001</v>
      </c>
      <c r="C584">
        <v>0.425263</v>
      </c>
      <c r="D584">
        <v>0.21390799999999999</v>
      </c>
      <c r="E584">
        <v>0.35513499999999998</v>
      </c>
      <c r="F584">
        <v>0.26599800000000001</v>
      </c>
    </row>
    <row r="585" spans="1:6">
      <c r="A585" s="11">
        <v>582</v>
      </c>
      <c r="B585">
        <v>2.0919590000000001</v>
      </c>
      <c r="C585">
        <v>8.0600070000000006</v>
      </c>
      <c r="D585">
        <v>4.9346170000000003</v>
      </c>
      <c r="E585">
        <v>0.94107399999999997</v>
      </c>
      <c r="F585">
        <v>1.902193</v>
      </c>
    </row>
    <row r="586" spans="1:6">
      <c r="A586" s="11">
        <v>583</v>
      </c>
      <c r="B586">
        <v>0.35337499999999999</v>
      </c>
      <c r="C586">
        <v>1.3628830000000001</v>
      </c>
      <c r="D586">
        <v>2.395079</v>
      </c>
      <c r="E586">
        <v>0.78838900000000001</v>
      </c>
      <c r="F586">
        <v>1.5517209999999999</v>
      </c>
    </row>
    <row r="587" spans="1:6">
      <c r="A587" s="11">
        <v>584</v>
      </c>
      <c r="B587">
        <v>0.82985799999999998</v>
      </c>
      <c r="C587">
        <v>0.35994799999999999</v>
      </c>
      <c r="D587">
        <v>2.996839</v>
      </c>
      <c r="E587">
        <v>0.15091499999999999</v>
      </c>
      <c r="F587">
        <v>0.77219700000000002</v>
      </c>
    </row>
    <row r="588" spans="1:6">
      <c r="A588" s="11">
        <v>585</v>
      </c>
      <c r="B588">
        <v>7.4716329999999997</v>
      </c>
      <c r="C588">
        <v>0.98723300000000003</v>
      </c>
      <c r="D588">
        <v>1.2811650000000001</v>
      </c>
      <c r="E588">
        <v>2.5579399999999999</v>
      </c>
      <c r="F588">
        <v>0.28313700000000003</v>
      </c>
    </row>
    <row r="589" spans="1:6">
      <c r="A589" s="11">
        <v>586</v>
      </c>
      <c r="B589">
        <v>1.5248949999999999</v>
      </c>
      <c r="C589">
        <v>0.94553100000000001</v>
      </c>
      <c r="D589">
        <v>0.91301100000000002</v>
      </c>
      <c r="E589">
        <v>0.75261</v>
      </c>
      <c r="F589">
        <v>0.68933100000000003</v>
      </c>
    </row>
    <row r="590" spans="1:6">
      <c r="A590" s="11">
        <v>587</v>
      </c>
      <c r="B590">
        <v>3.7653270000000001</v>
      </c>
      <c r="C590">
        <v>1.4840549999999999</v>
      </c>
      <c r="D590">
        <v>0.39679399999999998</v>
      </c>
      <c r="E590">
        <v>6.4277220000000002</v>
      </c>
      <c r="F590">
        <v>1.0028889999999999</v>
      </c>
    </row>
    <row r="591" spans="1:6">
      <c r="A591" s="11">
        <v>588</v>
      </c>
      <c r="B591">
        <v>0.50718399999999997</v>
      </c>
      <c r="C591">
        <v>0.52320299999999997</v>
      </c>
      <c r="D591">
        <v>1.2697579999999999</v>
      </c>
      <c r="E591">
        <v>0.70835499999999996</v>
      </c>
      <c r="F591">
        <v>0.29558400000000001</v>
      </c>
    </row>
    <row r="592" spans="1:6">
      <c r="A592" s="11">
        <v>589</v>
      </c>
      <c r="B592">
        <v>4.1396040000000003</v>
      </c>
      <c r="C592">
        <v>2.0783670000000001</v>
      </c>
      <c r="D592">
        <v>1.00471</v>
      </c>
      <c r="E592">
        <v>1.0572649999999999</v>
      </c>
      <c r="F592">
        <v>2.0561289999999999</v>
      </c>
    </row>
    <row r="593" spans="1:6">
      <c r="A593" s="11">
        <v>590</v>
      </c>
      <c r="B593">
        <v>0.63644500000000004</v>
      </c>
      <c r="C593">
        <v>5.7712009999999996</v>
      </c>
      <c r="D593">
        <v>0.163358</v>
      </c>
      <c r="E593">
        <v>0.177014</v>
      </c>
      <c r="F593">
        <v>0.47669699999999998</v>
      </c>
    </row>
    <row r="594" spans="1:6">
      <c r="A594" s="11">
        <v>591</v>
      </c>
      <c r="B594">
        <v>0.42108400000000001</v>
      </c>
      <c r="C594">
        <v>0.316056</v>
      </c>
      <c r="D594">
        <v>0.66369500000000003</v>
      </c>
      <c r="E594">
        <v>2.010084</v>
      </c>
      <c r="F594">
        <v>29.853273999999999</v>
      </c>
    </row>
    <row r="595" spans="1:6">
      <c r="A595" s="11">
        <v>592</v>
      </c>
      <c r="B595">
        <v>1.3519779999999999</v>
      </c>
      <c r="C595">
        <v>0.89802400000000004</v>
      </c>
      <c r="D595">
        <v>1.7662089999999999</v>
      </c>
      <c r="E595">
        <v>5.6968930000000002</v>
      </c>
      <c r="F595">
        <v>5.177149</v>
      </c>
    </row>
    <row r="596" spans="1:6">
      <c r="A596" s="11">
        <v>593</v>
      </c>
      <c r="B596">
        <v>1.018295</v>
      </c>
      <c r="C596">
        <v>0.78709099999999999</v>
      </c>
      <c r="D596">
        <v>0.26356299999999999</v>
      </c>
      <c r="E596">
        <v>1.5671299999999999</v>
      </c>
      <c r="F596">
        <v>2.715633</v>
      </c>
    </row>
    <row r="597" spans="1:6">
      <c r="A597" s="11">
        <v>594</v>
      </c>
      <c r="B597">
        <v>0.60876399999999997</v>
      </c>
      <c r="C597">
        <v>7.1864350000000004</v>
      </c>
      <c r="D597">
        <v>1.228826</v>
      </c>
      <c r="E597">
        <v>0.80462</v>
      </c>
      <c r="F597">
        <v>0.68238699999999997</v>
      </c>
    </row>
    <row r="598" spans="1:6">
      <c r="A598" s="11">
        <v>595</v>
      </c>
      <c r="B598">
        <v>0.277472</v>
      </c>
      <c r="C598">
        <v>1.240558</v>
      </c>
      <c r="D598">
        <v>1.3062959999999999</v>
      </c>
      <c r="E598">
        <v>0.18338399999999999</v>
      </c>
      <c r="F598">
        <v>8.6511000000000005E-2</v>
      </c>
    </row>
    <row r="599" spans="1:6">
      <c r="A599" s="11">
        <v>596</v>
      </c>
      <c r="B599">
        <v>4.0921890000000003</v>
      </c>
      <c r="C599">
        <v>0.68567599999999995</v>
      </c>
      <c r="D599">
        <v>1.0018050000000001</v>
      </c>
      <c r="E599">
        <v>1.2575989999999999</v>
      </c>
      <c r="F599">
        <v>1.4739789999999999</v>
      </c>
    </row>
    <row r="600" spans="1:6">
      <c r="A600" s="11">
        <v>597</v>
      </c>
      <c r="B600">
        <v>0.85209000000000001</v>
      </c>
      <c r="C600">
        <v>2.0406499999999999</v>
      </c>
      <c r="D600">
        <v>0.76680499999999996</v>
      </c>
      <c r="E600">
        <v>0.46293400000000001</v>
      </c>
      <c r="F600">
        <v>0.85706099999999996</v>
      </c>
    </row>
    <row r="601" spans="1:6">
      <c r="A601" s="11">
        <v>598</v>
      </c>
      <c r="B601">
        <v>1.5405789999999999</v>
      </c>
      <c r="C601">
        <v>0.92816900000000002</v>
      </c>
      <c r="D601">
        <v>6.6371710000000004</v>
      </c>
      <c r="E601">
        <v>0.374083</v>
      </c>
      <c r="F601">
        <v>1.6639189999999999</v>
      </c>
    </row>
    <row r="602" spans="1:6">
      <c r="A602" s="11">
        <v>599</v>
      </c>
      <c r="B602">
        <v>0.32884799999999997</v>
      </c>
      <c r="C602">
        <v>1.4756309999999999</v>
      </c>
      <c r="D602">
        <v>0.97887199999999996</v>
      </c>
      <c r="E602">
        <v>1.0815349999999999</v>
      </c>
      <c r="F602">
        <v>0.63965499999999997</v>
      </c>
    </row>
    <row r="603" spans="1:6">
      <c r="A603" s="11">
        <v>600</v>
      </c>
      <c r="B603">
        <v>6.6201319999999999</v>
      </c>
      <c r="C603">
        <v>0.66871499999999995</v>
      </c>
      <c r="D603">
        <v>3.7522410000000002</v>
      </c>
      <c r="E603">
        <v>4.8216460000000003</v>
      </c>
      <c r="F603">
        <v>1.3985160000000001</v>
      </c>
    </row>
    <row r="604" spans="1:6">
      <c r="A604" s="11">
        <v>601</v>
      </c>
      <c r="B604">
        <v>0.54315599999999997</v>
      </c>
      <c r="C604">
        <v>0.96080399999999999</v>
      </c>
      <c r="D604">
        <v>1.07806</v>
      </c>
      <c r="E604">
        <v>12.466996</v>
      </c>
      <c r="F604">
        <v>2.6480329999999999</v>
      </c>
    </row>
    <row r="605" spans="1:6">
      <c r="A605" s="11">
        <v>602</v>
      </c>
      <c r="B605">
        <v>6.2043249999999999</v>
      </c>
      <c r="C605">
        <v>0.32880500000000001</v>
      </c>
      <c r="D605">
        <v>2.9079839999999999</v>
      </c>
      <c r="E605">
        <v>0.62390999999999996</v>
      </c>
      <c r="F605">
        <v>7.4670620000000003</v>
      </c>
    </row>
    <row r="606" spans="1:6">
      <c r="A606" s="11">
        <v>603</v>
      </c>
      <c r="B606">
        <v>7.8009510000000004</v>
      </c>
      <c r="C606">
        <v>1.394406</v>
      </c>
      <c r="D606">
        <v>0.16011</v>
      </c>
      <c r="E606">
        <v>0.419406</v>
      </c>
      <c r="F606">
        <v>0.392289</v>
      </c>
    </row>
    <row r="607" spans="1:6">
      <c r="A607" s="11">
        <v>604</v>
      </c>
      <c r="B607">
        <v>0.157611</v>
      </c>
      <c r="C607">
        <v>0.466997</v>
      </c>
      <c r="D607">
        <v>0.99222500000000002</v>
      </c>
      <c r="E607">
        <v>1.0621750000000001</v>
      </c>
      <c r="F607">
        <v>0.72922600000000004</v>
      </c>
    </row>
    <row r="608" spans="1:6">
      <c r="A608" s="11">
        <v>605</v>
      </c>
      <c r="B608">
        <v>2.457357</v>
      </c>
      <c r="C608">
        <v>2.1140789999999998</v>
      </c>
      <c r="D608">
        <v>0.45439299999999999</v>
      </c>
      <c r="E608">
        <v>2.8663419999999999</v>
      </c>
      <c r="F608">
        <v>0.22558</v>
      </c>
    </row>
    <row r="609" spans="1:6">
      <c r="A609" s="11">
        <v>606</v>
      </c>
      <c r="B609">
        <v>0.34914499999999998</v>
      </c>
      <c r="C609">
        <v>0.91858200000000001</v>
      </c>
      <c r="D609">
        <v>0.28703000000000001</v>
      </c>
      <c r="E609">
        <v>0.61821199999999998</v>
      </c>
      <c r="F609">
        <v>0.587565</v>
      </c>
    </row>
    <row r="610" spans="1:6">
      <c r="A610" s="11">
        <v>607</v>
      </c>
      <c r="B610">
        <v>1.367421</v>
      </c>
      <c r="C610">
        <v>0.38930700000000001</v>
      </c>
      <c r="D610">
        <v>0.64314300000000002</v>
      </c>
      <c r="E610">
        <v>0.84638000000000002</v>
      </c>
      <c r="F610">
        <v>0.419097</v>
      </c>
    </row>
    <row r="611" spans="1:6">
      <c r="A611" s="11">
        <v>608</v>
      </c>
      <c r="B611">
        <v>0.55185300000000004</v>
      </c>
      <c r="C611">
        <v>0.83838900000000005</v>
      </c>
      <c r="D611">
        <v>1.9697370000000001</v>
      </c>
      <c r="E611">
        <v>0.72584300000000002</v>
      </c>
      <c r="F611">
        <v>1.417573</v>
      </c>
    </row>
    <row r="612" spans="1:6">
      <c r="A612" s="11">
        <v>609</v>
      </c>
      <c r="B612">
        <v>1.117929</v>
      </c>
      <c r="C612">
        <v>2.3977759999999999</v>
      </c>
      <c r="D612">
        <v>1.6358250000000001</v>
      </c>
      <c r="E612">
        <v>0.89092400000000005</v>
      </c>
      <c r="F612">
        <v>1.6528039999999999</v>
      </c>
    </row>
    <row r="613" spans="1:6">
      <c r="A613" s="11">
        <v>610</v>
      </c>
      <c r="B613">
        <v>0.63768400000000003</v>
      </c>
      <c r="C613">
        <v>2.0507580000000001</v>
      </c>
      <c r="D613">
        <v>2.0569220000000001</v>
      </c>
      <c r="E613">
        <v>1.641365</v>
      </c>
      <c r="F613">
        <v>1.2476419999999999</v>
      </c>
    </row>
    <row r="614" spans="1:6">
      <c r="A614" s="11">
        <v>611</v>
      </c>
      <c r="B614">
        <v>2.2795719999999999</v>
      </c>
      <c r="C614">
        <v>2.198369</v>
      </c>
      <c r="D614">
        <v>1.17852</v>
      </c>
      <c r="E614">
        <v>3.034316</v>
      </c>
      <c r="F614">
        <v>0.53005400000000003</v>
      </c>
    </row>
    <row r="615" spans="1:6">
      <c r="A615" s="11">
        <v>612</v>
      </c>
      <c r="B615">
        <v>0.42424200000000001</v>
      </c>
      <c r="C615">
        <v>5.2604430000000004</v>
      </c>
      <c r="D615">
        <v>0.74076699999999995</v>
      </c>
      <c r="E615">
        <v>0.78960900000000001</v>
      </c>
      <c r="F615">
        <v>2.0761970000000001</v>
      </c>
    </row>
    <row r="616" spans="1:6">
      <c r="A616" s="11">
        <v>613</v>
      </c>
      <c r="B616">
        <v>0.19695499999999999</v>
      </c>
      <c r="C616">
        <v>0.942052</v>
      </c>
      <c r="D616">
        <v>1.783164</v>
      </c>
      <c r="E616">
        <v>2.3147039999999999</v>
      </c>
      <c r="F616">
        <v>1.5464070000000001</v>
      </c>
    </row>
    <row r="617" spans="1:6">
      <c r="A617" s="11">
        <v>614</v>
      </c>
      <c r="B617">
        <v>1.7903640000000001</v>
      </c>
      <c r="C617">
        <v>0.32600699999999999</v>
      </c>
      <c r="D617">
        <v>1.54843</v>
      </c>
      <c r="E617">
        <v>0.23952699999999999</v>
      </c>
      <c r="F617">
        <v>8.2702190000000009</v>
      </c>
    </row>
    <row r="618" spans="1:6">
      <c r="A618" s="11">
        <v>615</v>
      </c>
      <c r="B618">
        <v>0.84917900000000002</v>
      </c>
      <c r="C618">
        <v>2.5706829999999998</v>
      </c>
      <c r="D618">
        <v>1.023695</v>
      </c>
      <c r="E618">
        <v>1.4600329999999999</v>
      </c>
      <c r="F618">
        <v>8.4972809999999992</v>
      </c>
    </row>
    <row r="619" spans="1:6">
      <c r="A619" s="11">
        <v>616</v>
      </c>
      <c r="B619">
        <v>1.043496</v>
      </c>
      <c r="C619">
        <v>0.94045299999999998</v>
      </c>
      <c r="D619">
        <v>8.9254149999999992</v>
      </c>
      <c r="E619">
        <v>5.598446</v>
      </c>
      <c r="F619">
        <v>1.509644</v>
      </c>
    </row>
    <row r="620" spans="1:6">
      <c r="A620" s="11">
        <v>617</v>
      </c>
      <c r="B620">
        <v>1.5552250000000001</v>
      </c>
      <c r="C620">
        <v>0.82659199999999999</v>
      </c>
      <c r="D620">
        <v>0.97588900000000001</v>
      </c>
      <c r="E620">
        <v>0.652945</v>
      </c>
      <c r="F620">
        <v>1.767307</v>
      </c>
    </row>
    <row r="621" spans="1:6">
      <c r="A621" s="11">
        <v>618</v>
      </c>
      <c r="B621">
        <v>0.41671000000000002</v>
      </c>
      <c r="C621">
        <v>1.8732470000000001</v>
      </c>
      <c r="D621">
        <v>0.91457900000000003</v>
      </c>
      <c r="E621">
        <v>2.7192720000000001</v>
      </c>
      <c r="F621">
        <v>1.707719</v>
      </c>
    </row>
    <row r="622" spans="1:6">
      <c r="A622" s="11">
        <v>619</v>
      </c>
      <c r="B622">
        <v>0.18637500000000001</v>
      </c>
      <c r="C622">
        <v>0.109634</v>
      </c>
      <c r="D622">
        <v>2.6432060000000002</v>
      </c>
      <c r="E622">
        <v>0.86212200000000005</v>
      </c>
      <c r="F622">
        <v>3.592708</v>
      </c>
    </row>
    <row r="623" spans="1:6">
      <c r="A623" s="11">
        <v>620</v>
      </c>
      <c r="B623">
        <v>1.432768</v>
      </c>
      <c r="C623">
        <v>0.14108299999999999</v>
      </c>
      <c r="D623">
        <v>1.1094619999999999</v>
      </c>
      <c r="E623">
        <v>1.4583820000000001</v>
      </c>
      <c r="F623">
        <v>0.69303300000000001</v>
      </c>
    </row>
    <row r="624" spans="1:6">
      <c r="A624" s="11">
        <v>621</v>
      </c>
      <c r="B624">
        <v>3.8594620000000002</v>
      </c>
      <c r="C624">
        <v>3.8405969999999998</v>
      </c>
      <c r="D624">
        <v>4.9564919999999999</v>
      </c>
      <c r="E624">
        <v>4.904261</v>
      </c>
      <c r="F624">
        <v>13.065092</v>
      </c>
    </row>
    <row r="625" spans="1:6">
      <c r="A625" s="11">
        <v>622</v>
      </c>
      <c r="B625">
        <v>0.75860399999999995</v>
      </c>
      <c r="C625">
        <v>0.46676600000000001</v>
      </c>
      <c r="D625">
        <v>2.2570920000000001</v>
      </c>
      <c r="E625">
        <v>1.3854070000000001</v>
      </c>
      <c r="F625">
        <v>1.071062</v>
      </c>
    </row>
    <row r="626" spans="1:6">
      <c r="A626" s="11">
        <v>623</v>
      </c>
      <c r="B626">
        <v>2.6630729999999998</v>
      </c>
      <c r="C626">
        <v>0.67679800000000001</v>
      </c>
      <c r="D626">
        <v>1.1342460000000001</v>
      </c>
      <c r="E626">
        <v>2.1410079999999998</v>
      </c>
      <c r="F626">
        <v>0.561863</v>
      </c>
    </row>
    <row r="627" spans="1:6">
      <c r="A627" s="11">
        <v>624</v>
      </c>
      <c r="B627">
        <v>0.79782600000000004</v>
      </c>
      <c r="C627">
        <v>1.9285080000000001</v>
      </c>
      <c r="D627">
        <v>1.3451070000000001</v>
      </c>
      <c r="E627">
        <v>0.73978500000000003</v>
      </c>
      <c r="F627">
        <v>0.168379</v>
      </c>
    </row>
    <row r="628" spans="1:6">
      <c r="A628" s="11">
        <v>625</v>
      </c>
      <c r="B628">
        <v>1.5384439999999999</v>
      </c>
      <c r="C628">
        <v>3.4961039999999999</v>
      </c>
      <c r="D628">
        <v>0.70591999999999999</v>
      </c>
      <c r="E628">
        <v>1.098976</v>
      </c>
      <c r="F628">
        <v>0.58353999999999995</v>
      </c>
    </row>
    <row r="629" spans="1:6">
      <c r="A629" s="11">
        <v>626</v>
      </c>
      <c r="B629">
        <v>0.22514200000000001</v>
      </c>
      <c r="C629">
        <v>3.3309500000000001</v>
      </c>
      <c r="D629">
        <v>0.359406</v>
      </c>
      <c r="E629">
        <v>1.9217709999999999</v>
      </c>
      <c r="F629">
        <v>0.69866700000000004</v>
      </c>
    </row>
    <row r="630" spans="1:6">
      <c r="A630" s="11">
        <v>627</v>
      </c>
      <c r="B630">
        <v>0.21923000000000001</v>
      </c>
      <c r="C630">
        <v>0.452903</v>
      </c>
      <c r="D630">
        <v>2.2339229999999999</v>
      </c>
      <c r="E630">
        <v>2.3406630000000002</v>
      </c>
      <c r="F630">
        <v>0.42359999999999998</v>
      </c>
    </row>
    <row r="631" spans="1:6">
      <c r="A631" s="11">
        <v>628</v>
      </c>
      <c r="B631">
        <v>7.5314500000000004</v>
      </c>
      <c r="C631">
        <v>0.51002800000000004</v>
      </c>
      <c r="D631">
        <v>1.3375429999999999</v>
      </c>
      <c r="E631">
        <v>4.4070099999999996</v>
      </c>
      <c r="F631">
        <v>0.38274200000000003</v>
      </c>
    </row>
    <row r="632" spans="1:6">
      <c r="A632" s="11">
        <v>629</v>
      </c>
      <c r="B632">
        <v>1.1552690000000001</v>
      </c>
      <c r="C632">
        <v>0.81652100000000005</v>
      </c>
      <c r="D632">
        <v>1.3893139999999999</v>
      </c>
      <c r="E632">
        <v>1.5656699999999999</v>
      </c>
      <c r="F632">
        <v>5.5394230000000002</v>
      </c>
    </row>
    <row r="633" spans="1:6">
      <c r="A633" s="11">
        <v>630</v>
      </c>
      <c r="B633">
        <v>2.379928</v>
      </c>
      <c r="C633">
        <v>0.65857900000000003</v>
      </c>
      <c r="D633">
        <v>0.86537699999999995</v>
      </c>
      <c r="E633">
        <v>2.112168</v>
      </c>
      <c r="F633">
        <v>0.436025</v>
      </c>
    </row>
    <row r="634" spans="1:6">
      <c r="A634" s="11">
        <v>631</v>
      </c>
      <c r="B634">
        <v>3.978399</v>
      </c>
      <c r="C634">
        <v>1.1030679999999999</v>
      </c>
      <c r="D634">
        <v>0.67794200000000004</v>
      </c>
      <c r="E634">
        <v>0.50302899999999995</v>
      </c>
      <c r="F634">
        <v>0.62520699999999996</v>
      </c>
    </row>
    <row r="635" spans="1:6">
      <c r="A635" s="11">
        <v>632</v>
      </c>
      <c r="B635">
        <v>1.141246</v>
      </c>
      <c r="C635">
        <v>1.3858779999999999</v>
      </c>
      <c r="D635">
        <v>4.7932180000000004</v>
      </c>
      <c r="E635">
        <v>3.8784519999999998</v>
      </c>
      <c r="F635">
        <v>2.36673</v>
      </c>
    </row>
    <row r="636" spans="1:6">
      <c r="A636" s="11">
        <v>633</v>
      </c>
      <c r="B636">
        <v>0.505579</v>
      </c>
      <c r="C636">
        <v>0.53290000000000004</v>
      </c>
      <c r="D636">
        <v>4.8099629999999998</v>
      </c>
      <c r="E636">
        <v>0.16248499999999999</v>
      </c>
      <c r="F636">
        <v>0.26699200000000001</v>
      </c>
    </row>
    <row r="637" spans="1:6">
      <c r="A637" s="11">
        <v>634</v>
      </c>
      <c r="B637">
        <v>1.315094</v>
      </c>
      <c r="C637">
        <v>8.0502000000000004E-2</v>
      </c>
      <c r="D637">
        <v>0.16869500000000001</v>
      </c>
      <c r="E637">
        <v>0.19563</v>
      </c>
      <c r="F637">
        <v>2.1075900000000001</v>
      </c>
    </row>
    <row r="638" spans="1:6">
      <c r="A638" s="11">
        <v>635</v>
      </c>
      <c r="B638">
        <v>0.96714100000000003</v>
      </c>
      <c r="C638">
        <v>0.43713600000000002</v>
      </c>
      <c r="D638">
        <v>0.54150100000000001</v>
      </c>
      <c r="E638">
        <v>26.491720999999998</v>
      </c>
      <c r="F638">
        <v>1.723047</v>
      </c>
    </row>
    <row r="639" spans="1:6">
      <c r="A639" s="11">
        <v>636</v>
      </c>
      <c r="B639">
        <v>6.1761030000000003</v>
      </c>
      <c r="C639">
        <v>4.0285010000000003</v>
      </c>
      <c r="D639">
        <v>2.160425</v>
      </c>
      <c r="E639">
        <v>1.279757</v>
      </c>
      <c r="F639">
        <v>0.853634</v>
      </c>
    </row>
    <row r="640" spans="1:6">
      <c r="A640" s="11">
        <v>637</v>
      </c>
      <c r="B640">
        <v>0.60138199999999997</v>
      </c>
      <c r="C640">
        <v>0.58272500000000005</v>
      </c>
      <c r="D640">
        <v>0.237067</v>
      </c>
      <c r="E640">
        <v>1.176396</v>
      </c>
      <c r="F640">
        <v>15.785665</v>
      </c>
    </row>
    <row r="641" spans="1:6">
      <c r="A641" s="11">
        <v>638</v>
      </c>
      <c r="B641">
        <v>0.27936699999999998</v>
      </c>
      <c r="C641">
        <v>3.3980739999999998</v>
      </c>
      <c r="D641">
        <v>0.49583500000000003</v>
      </c>
      <c r="E641">
        <v>3.6668759999999998</v>
      </c>
      <c r="F641">
        <v>0.72903700000000005</v>
      </c>
    </row>
    <row r="642" spans="1:6">
      <c r="A642" s="11">
        <v>639</v>
      </c>
      <c r="B642">
        <v>0.211508</v>
      </c>
      <c r="C642">
        <v>0.16738900000000001</v>
      </c>
      <c r="D642">
        <v>8.7220080000000006</v>
      </c>
      <c r="E642">
        <v>1.3438669999999999</v>
      </c>
      <c r="F642">
        <v>0.22881299999999999</v>
      </c>
    </row>
    <row r="643" spans="1:6">
      <c r="A643" s="11">
        <v>640</v>
      </c>
      <c r="B643">
        <v>1.9162650000000001</v>
      </c>
      <c r="C643">
        <v>9.7157680000000006</v>
      </c>
      <c r="D643">
        <v>0.26351999999999998</v>
      </c>
      <c r="E643">
        <v>2.0093640000000001</v>
      </c>
      <c r="F643">
        <v>0.578762</v>
      </c>
    </row>
    <row r="644" spans="1:6">
      <c r="A644" s="11">
        <v>641</v>
      </c>
      <c r="B644">
        <v>4.1751250000000004</v>
      </c>
      <c r="C644">
        <v>2.3202769999999999</v>
      </c>
      <c r="D644">
        <v>2.377688</v>
      </c>
      <c r="E644">
        <v>0.59040099999999995</v>
      </c>
      <c r="F644">
        <v>1.02146</v>
      </c>
    </row>
    <row r="645" spans="1:6">
      <c r="A645" s="11">
        <v>642</v>
      </c>
      <c r="B645">
        <v>1.0821670000000001</v>
      </c>
      <c r="C645">
        <v>1.5023599999999999</v>
      </c>
      <c r="D645">
        <v>0.83048</v>
      </c>
      <c r="E645">
        <v>3.4034779999999998</v>
      </c>
      <c r="F645">
        <v>3.0617700000000001</v>
      </c>
    </row>
    <row r="646" spans="1:6">
      <c r="A646" s="11">
        <v>643</v>
      </c>
      <c r="B646">
        <v>1.576182</v>
      </c>
      <c r="C646">
        <v>15.015454999999999</v>
      </c>
      <c r="D646">
        <v>0.38401099999999999</v>
      </c>
      <c r="E646">
        <v>0.52560899999999999</v>
      </c>
      <c r="F646">
        <v>2.670264</v>
      </c>
    </row>
    <row r="647" spans="1:6">
      <c r="A647" s="11">
        <v>644</v>
      </c>
      <c r="B647">
        <v>2.6480290000000002</v>
      </c>
      <c r="C647">
        <v>1.6351979999999999</v>
      </c>
      <c r="D647">
        <v>3.1403430000000001</v>
      </c>
      <c r="E647">
        <v>1.1606989999999999</v>
      </c>
      <c r="F647">
        <v>1.468585</v>
      </c>
    </row>
    <row r="648" spans="1:6">
      <c r="A648" s="11">
        <v>645</v>
      </c>
      <c r="B648">
        <v>0.222938</v>
      </c>
      <c r="C648">
        <v>0.51668899999999995</v>
      </c>
      <c r="D648">
        <v>4.6196000000000001E-2</v>
      </c>
      <c r="E648">
        <v>0.579565</v>
      </c>
      <c r="F648">
        <v>0.634598</v>
      </c>
    </row>
    <row r="649" spans="1:6">
      <c r="A649" s="11">
        <v>646</v>
      </c>
      <c r="B649">
        <v>1.310535</v>
      </c>
      <c r="C649">
        <v>11.384805999999999</v>
      </c>
      <c r="D649">
        <v>2.1302660000000002</v>
      </c>
      <c r="E649">
        <v>3.4258259999999998</v>
      </c>
      <c r="F649">
        <v>2.6656240000000002</v>
      </c>
    </row>
    <row r="650" spans="1:6">
      <c r="A650" s="11">
        <v>647</v>
      </c>
      <c r="B650">
        <v>13.749439000000001</v>
      </c>
      <c r="C650">
        <v>0.75883100000000003</v>
      </c>
      <c r="D650">
        <v>0.47197</v>
      </c>
      <c r="E650">
        <v>0.180312</v>
      </c>
      <c r="F650">
        <v>1.589701</v>
      </c>
    </row>
    <row r="651" spans="1:6">
      <c r="A651" s="11">
        <v>648</v>
      </c>
      <c r="B651">
        <v>0.966812</v>
      </c>
      <c r="C651">
        <v>0.49305300000000002</v>
      </c>
      <c r="D651">
        <v>0.34038099999999999</v>
      </c>
      <c r="E651">
        <v>0.80720800000000004</v>
      </c>
      <c r="F651">
        <v>1.3945920000000001</v>
      </c>
    </row>
    <row r="652" spans="1:6">
      <c r="A652" s="11">
        <v>649</v>
      </c>
      <c r="B652">
        <v>0.34206500000000001</v>
      </c>
      <c r="C652">
        <v>1.1282140000000001</v>
      </c>
      <c r="D652">
        <v>3.2200799999999998</v>
      </c>
      <c r="E652">
        <v>5.2848980000000001</v>
      </c>
      <c r="F652">
        <v>0.45578000000000002</v>
      </c>
    </row>
    <row r="653" spans="1:6">
      <c r="A653" s="11">
        <v>650</v>
      </c>
      <c r="B653">
        <v>0.323656</v>
      </c>
      <c r="C653">
        <v>0.70473399999999997</v>
      </c>
      <c r="D653">
        <v>0.68984000000000001</v>
      </c>
      <c r="E653">
        <v>0.25134200000000001</v>
      </c>
      <c r="F653">
        <v>0.18642600000000001</v>
      </c>
    </row>
    <row r="654" spans="1:6">
      <c r="A654" s="11">
        <v>651</v>
      </c>
      <c r="B654">
        <v>1.2923659999999999</v>
      </c>
      <c r="C654">
        <v>0.26072899999999999</v>
      </c>
      <c r="D654">
        <v>1.2883849999999999</v>
      </c>
      <c r="E654">
        <v>2.6005790000000002</v>
      </c>
      <c r="F654">
        <v>0.88168000000000002</v>
      </c>
    </row>
    <row r="655" spans="1:6">
      <c r="A655" s="11">
        <v>652</v>
      </c>
      <c r="B655">
        <v>0.40946100000000002</v>
      </c>
      <c r="C655">
        <v>0.63495199999999996</v>
      </c>
      <c r="D655">
        <v>1.569399</v>
      </c>
      <c r="E655">
        <v>1.0863670000000001</v>
      </c>
      <c r="F655">
        <v>0.88506399999999996</v>
      </c>
    </row>
    <row r="656" spans="1:6">
      <c r="A656" s="11">
        <v>653</v>
      </c>
      <c r="B656">
        <v>0.10397099999999999</v>
      </c>
      <c r="C656">
        <v>1.796554</v>
      </c>
      <c r="D656">
        <v>1.0894820000000001</v>
      </c>
      <c r="E656">
        <v>1.5149269999999999</v>
      </c>
      <c r="F656">
        <v>0.85721000000000003</v>
      </c>
    </row>
    <row r="657" spans="1:6">
      <c r="A657" s="11">
        <v>654</v>
      </c>
      <c r="B657">
        <v>0.242201</v>
      </c>
      <c r="C657">
        <v>2.5140169999999999</v>
      </c>
      <c r="D657">
        <v>0.269955</v>
      </c>
      <c r="E657">
        <v>4.4697060000000004</v>
      </c>
      <c r="F657">
        <v>2.5334509999999999</v>
      </c>
    </row>
    <row r="658" spans="1:6">
      <c r="A658" s="11">
        <v>655</v>
      </c>
      <c r="B658">
        <v>0.37181199999999998</v>
      </c>
      <c r="C658">
        <v>1.2692460000000001</v>
      </c>
      <c r="D658">
        <v>0.243423</v>
      </c>
      <c r="E658">
        <v>1.1507289999999999</v>
      </c>
      <c r="F658">
        <v>0.60983100000000001</v>
      </c>
    </row>
    <row r="659" spans="1:6">
      <c r="A659" s="11">
        <v>656</v>
      </c>
      <c r="B659">
        <v>0.20755599999999999</v>
      </c>
      <c r="C659">
        <v>0.40500700000000001</v>
      </c>
      <c r="D659">
        <v>0.82023699999999999</v>
      </c>
      <c r="E659">
        <v>1.0619259999999999</v>
      </c>
      <c r="F659">
        <v>1.6392910000000001</v>
      </c>
    </row>
    <row r="660" spans="1:6">
      <c r="A660" s="11">
        <v>657</v>
      </c>
      <c r="B660">
        <v>2.6128710000000002</v>
      </c>
      <c r="C660">
        <v>0.45598100000000003</v>
      </c>
      <c r="D660">
        <v>0.472215</v>
      </c>
      <c r="E660">
        <v>0.50146900000000005</v>
      </c>
      <c r="F660">
        <v>0.73894800000000005</v>
      </c>
    </row>
    <row r="661" spans="1:6">
      <c r="A661" s="11">
        <v>658</v>
      </c>
      <c r="B661">
        <v>0.58660900000000005</v>
      </c>
      <c r="C661">
        <v>3.2268509999999999</v>
      </c>
      <c r="D661">
        <v>2.0715650000000001</v>
      </c>
      <c r="E661">
        <v>1.3904939999999999</v>
      </c>
      <c r="F661">
        <v>2.4649450000000002</v>
      </c>
    </row>
    <row r="662" spans="1:6">
      <c r="A662" s="11">
        <v>659</v>
      </c>
      <c r="B662">
        <v>3.9687920000000001</v>
      </c>
      <c r="C662">
        <v>1.9441090000000001</v>
      </c>
      <c r="D662">
        <v>0.77630699999999997</v>
      </c>
      <c r="E662">
        <v>1.4004840000000001</v>
      </c>
      <c r="F662">
        <v>1.973263</v>
      </c>
    </row>
    <row r="663" spans="1:6">
      <c r="A663" s="11">
        <v>660</v>
      </c>
      <c r="B663">
        <v>1.6211439999999999</v>
      </c>
      <c r="C663">
        <v>1.0685979999999999</v>
      </c>
      <c r="D663">
        <v>0.19933100000000001</v>
      </c>
      <c r="E663">
        <v>1.5940650000000001</v>
      </c>
      <c r="F663">
        <v>0.49678099999999997</v>
      </c>
    </row>
    <row r="664" spans="1:6">
      <c r="A664" s="11">
        <v>661</v>
      </c>
      <c r="B664">
        <v>1.0537970000000001</v>
      </c>
      <c r="C664">
        <v>1.3663529999999999</v>
      </c>
      <c r="D664">
        <v>0.429261</v>
      </c>
      <c r="E664">
        <v>1.0222610000000001</v>
      </c>
      <c r="F664">
        <v>1.6024590000000001</v>
      </c>
    </row>
    <row r="665" spans="1:6">
      <c r="A665" s="11">
        <v>662</v>
      </c>
      <c r="B665">
        <v>0.37027900000000002</v>
      </c>
      <c r="C665">
        <v>1.719411</v>
      </c>
      <c r="D665">
        <v>1.6506700000000001</v>
      </c>
      <c r="E665">
        <v>5.1153240000000002</v>
      </c>
      <c r="F665">
        <v>0.35744999999999999</v>
      </c>
    </row>
    <row r="666" spans="1:6">
      <c r="A666" s="11">
        <v>663</v>
      </c>
      <c r="B666">
        <v>0.36385299999999998</v>
      </c>
      <c r="C666">
        <v>1.3155559999999999</v>
      </c>
      <c r="D666">
        <v>1.274594</v>
      </c>
      <c r="E666">
        <v>4.5500720000000001</v>
      </c>
      <c r="F666">
        <v>0.83820899999999998</v>
      </c>
    </row>
    <row r="667" spans="1:6">
      <c r="A667" s="11">
        <v>664</v>
      </c>
      <c r="B667">
        <v>3.522529</v>
      </c>
      <c r="C667">
        <v>2.4593129999999999</v>
      </c>
      <c r="D667">
        <v>1.756723</v>
      </c>
      <c r="E667">
        <v>1.432898</v>
      </c>
      <c r="F667">
        <v>2.5877479999999999</v>
      </c>
    </row>
    <row r="668" spans="1:6">
      <c r="A668" s="11">
        <v>665</v>
      </c>
      <c r="B668">
        <v>3.4430130000000001</v>
      </c>
      <c r="C668">
        <v>0.44216899999999998</v>
      </c>
      <c r="D668">
        <v>0.33061800000000002</v>
      </c>
      <c r="E668">
        <v>2.6122079999999999</v>
      </c>
      <c r="F668">
        <v>0.92654899999999996</v>
      </c>
    </row>
    <row r="669" spans="1:6">
      <c r="A669" s="11">
        <v>666</v>
      </c>
      <c r="B669">
        <v>4.4318549999999997</v>
      </c>
      <c r="C669">
        <v>1.0863259999999999</v>
      </c>
      <c r="D669">
        <v>0.153756</v>
      </c>
      <c r="E669">
        <v>0.44179600000000002</v>
      </c>
      <c r="F669">
        <v>0.79863700000000004</v>
      </c>
    </row>
    <row r="670" spans="1:6">
      <c r="A670" s="11">
        <v>667</v>
      </c>
      <c r="B670">
        <v>0.65390199999999998</v>
      </c>
      <c r="C670">
        <v>0.378832</v>
      </c>
      <c r="D670">
        <v>9.5142000000000004E-2</v>
      </c>
      <c r="E670">
        <v>1.0114989999999999</v>
      </c>
      <c r="F670">
        <v>0.41077399999999997</v>
      </c>
    </row>
    <row r="671" spans="1:6">
      <c r="A671" s="11">
        <v>668</v>
      </c>
      <c r="B671">
        <v>3.0237560000000001</v>
      </c>
      <c r="C671">
        <v>0.21597</v>
      </c>
      <c r="D671">
        <v>0.97838199999999997</v>
      </c>
      <c r="E671">
        <v>0.83678399999999997</v>
      </c>
      <c r="F671">
        <v>0.63846400000000003</v>
      </c>
    </row>
    <row r="672" spans="1:6">
      <c r="A672" s="11">
        <v>669</v>
      </c>
      <c r="B672">
        <v>0.87483</v>
      </c>
      <c r="C672">
        <v>0.3362</v>
      </c>
      <c r="D672">
        <v>0.98153900000000005</v>
      </c>
      <c r="E672">
        <v>0.81193800000000005</v>
      </c>
      <c r="F672">
        <v>0.53234000000000004</v>
      </c>
    </row>
    <row r="673" spans="1:6">
      <c r="A673" s="11">
        <v>670</v>
      </c>
      <c r="B673">
        <v>1.045784</v>
      </c>
      <c r="C673">
        <v>0.61848499999999995</v>
      </c>
      <c r="D673">
        <v>0.61035099999999998</v>
      </c>
      <c r="E673">
        <v>0.930253</v>
      </c>
      <c r="F673">
        <v>1.350203</v>
      </c>
    </row>
    <row r="674" spans="1:6">
      <c r="A674" s="11">
        <v>671</v>
      </c>
      <c r="B674">
        <v>0.78674699999999997</v>
      </c>
      <c r="C674">
        <v>1.1028880000000001</v>
      </c>
      <c r="D674">
        <v>1.423467</v>
      </c>
      <c r="E674">
        <v>2.2012710000000002</v>
      </c>
      <c r="F674">
        <v>0.73358900000000005</v>
      </c>
    </row>
    <row r="675" spans="1:6">
      <c r="A675" s="11">
        <v>672</v>
      </c>
      <c r="B675">
        <v>4.2256609999999997</v>
      </c>
      <c r="C675">
        <v>1.968294</v>
      </c>
      <c r="D675">
        <v>3.2808380000000001</v>
      </c>
      <c r="E675">
        <v>4.5931179999999996</v>
      </c>
      <c r="F675">
        <v>0.56876099999999996</v>
      </c>
    </row>
    <row r="676" spans="1:6">
      <c r="A676" s="11">
        <v>673</v>
      </c>
      <c r="B676">
        <v>0.36221599999999998</v>
      </c>
      <c r="C676">
        <v>1.735212</v>
      </c>
      <c r="D676">
        <v>0.68492399999999998</v>
      </c>
      <c r="E676">
        <v>1.4253769999999999</v>
      </c>
      <c r="F676">
        <v>1.6478539999999999</v>
      </c>
    </row>
    <row r="677" spans="1:6">
      <c r="A677" s="11">
        <v>674</v>
      </c>
      <c r="B677">
        <v>1.1100369999999999</v>
      </c>
      <c r="C677">
        <v>2.4475730000000002</v>
      </c>
      <c r="D677">
        <v>4.2718999999999996</v>
      </c>
      <c r="E677">
        <v>0.130583</v>
      </c>
      <c r="F677">
        <v>6.7870179999999998</v>
      </c>
    </row>
    <row r="678" spans="1:6">
      <c r="A678" s="11">
        <v>675</v>
      </c>
      <c r="B678">
        <v>0.66982399999999997</v>
      </c>
      <c r="C678">
        <v>1.6216550000000001</v>
      </c>
      <c r="D678">
        <v>1.329256</v>
      </c>
      <c r="E678">
        <v>3.6232160000000002</v>
      </c>
      <c r="F678">
        <v>0.21174000000000001</v>
      </c>
    </row>
    <row r="679" spans="1:6">
      <c r="A679" s="11">
        <v>676</v>
      </c>
      <c r="B679">
        <v>1.9275279999999999</v>
      </c>
      <c r="C679">
        <v>11.761482000000001</v>
      </c>
      <c r="D679">
        <v>0.72170599999999996</v>
      </c>
      <c r="E679">
        <v>0.33760400000000002</v>
      </c>
      <c r="F679">
        <v>0.120213</v>
      </c>
    </row>
    <row r="680" spans="1:6">
      <c r="A680" s="11">
        <v>677</v>
      </c>
      <c r="B680">
        <v>26.457377999999999</v>
      </c>
      <c r="C680">
        <v>4.6482010000000002</v>
      </c>
      <c r="D680">
        <v>0.131328</v>
      </c>
      <c r="E680">
        <v>2.0085419999999998</v>
      </c>
      <c r="F680">
        <v>1.1016079999999999</v>
      </c>
    </row>
    <row r="681" spans="1:6">
      <c r="A681" s="11">
        <v>678</v>
      </c>
      <c r="B681">
        <v>0.54572600000000004</v>
      </c>
      <c r="C681">
        <v>3.0474130000000001</v>
      </c>
      <c r="D681">
        <v>6.7124430000000004</v>
      </c>
      <c r="E681">
        <v>1.815326</v>
      </c>
      <c r="F681">
        <v>2.5299140000000002</v>
      </c>
    </row>
    <row r="682" spans="1:6">
      <c r="A682" s="11">
        <v>679</v>
      </c>
      <c r="B682">
        <v>2.6898049999999998</v>
      </c>
      <c r="C682">
        <v>2.3595820000000001</v>
      </c>
      <c r="D682">
        <v>4.2162750000000004</v>
      </c>
      <c r="E682">
        <v>8.5819379999999992</v>
      </c>
      <c r="F682">
        <v>3.1079659999999998</v>
      </c>
    </row>
    <row r="683" spans="1:6">
      <c r="A683" s="11">
        <v>680</v>
      </c>
      <c r="B683">
        <v>6.3299450000000004</v>
      </c>
      <c r="C683">
        <v>1.0557099999999999</v>
      </c>
      <c r="D683">
        <v>1.3009409999999999</v>
      </c>
      <c r="E683">
        <v>0.17657700000000001</v>
      </c>
      <c r="F683">
        <v>1.1899729999999999</v>
      </c>
    </row>
    <row r="684" spans="1:6">
      <c r="A684" s="11">
        <v>681</v>
      </c>
      <c r="B684">
        <v>0.45480399999999999</v>
      </c>
      <c r="C684">
        <v>0.35165200000000002</v>
      </c>
      <c r="D684">
        <v>0.84237600000000001</v>
      </c>
      <c r="E684">
        <v>0.64201799999999998</v>
      </c>
      <c r="F684">
        <v>0.51896299999999995</v>
      </c>
    </row>
    <row r="685" spans="1:6">
      <c r="A685" s="11">
        <v>682</v>
      </c>
      <c r="B685">
        <v>3.5771850000000001</v>
      </c>
      <c r="C685">
        <v>0.74557600000000002</v>
      </c>
      <c r="D685">
        <v>1.01163</v>
      </c>
      <c r="E685">
        <v>8.3476250000000007</v>
      </c>
      <c r="F685">
        <v>0.38592599999999999</v>
      </c>
    </row>
    <row r="686" spans="1:6">
      <c r="A686" s="11">
        <v>683</v>
      </c>
      <c r="B686">
        <v>2.6586560000000001</v>
      </c>
      <c r="C686">
        <v>0.23511799999999999</v>
      </c>
      <c r="D686">
        <v>5.6448999999999998</v>
      </c>
      <c r="E686">
        <v>0.47132600000000002</v>
      </c>
      <c r="F686">
        <v>1.723355</v>
      </c>
    </row>
    <row r="687" spans="1:6">
      <c r="A687" s="11">
        <v>684</v>
      </c>
      <c r="B687">
        <v>2.134137</v>
      </c>
      <c r="C687">
        <v>2.0037020000000001</v>
      </c>
      <c r="D687">
        <v>3.7525059999999999</v>
      </c>
      <c r="E687">
        <v>1.0994740000000001</v>
      </c>
      <c r="F687">
        <v>0.49867699999999998</v>
      </c>
    </row>
    <row r="688" spans="1:6">
      <c r="A688" s="11">
        <v>685</v>
      </c>
      <c r="B688">
        <v>0.40160000000000001</v>
      </c>
      <c r="C688">
        <v>0.62697599999999998</v>
      </c>
      <c r="D688">
        <v>1.5606359999999999</v>
      </c>
      <c r="E688">
        <v>0.53683400000000003</v>
      </c>
      <c r="F688">
        <v>1.0585450000000001</v>
      </c>
    </row>
    <row r="689" spans="1:6">
      <c r="A689" s="11">
        <v>686</v>
      </c>
      <c r="B689">
        <v>1.3248599999999999</v>
      </c>
      <c r="C689">
        <v>1.615254</v>
      </c>
      <c r="D689">
        <v>0.69478300000000004</v>
      </c>
      <c r="E689">
        <v>1.615723</v>
      </c>
      <c r="F689">
        <v>1.1976579999999999</v>
      </c>
    </row>
    <row r="690" spans="1:6">
      <c r="A690" s="11">
        <v>687</v>
      </c>
      <c r="B690">
        <v>0.64830299999999996</v>
      </c>
      <c r="C690">
        <v>1.607615</v>
      </c>
      <c r="D690">
        <v>0.85326900000000006</v>
      </c>
      <c r="E690">
        <v>0.72588799999999998</v>
      </c>
      <c r="F690">
        <v>1.3688640000000001</v>
      </c>
    </row>
    <row r="691" spans="1:6">
      <c r="A691" s="11">
        <v>688</v>
      </c>
      <c r="B691">
        <v>1.9738830000000001</v>
      </c>
      <c r="C691">
        <v>0.25224600000000003</v>
      </c>
      <c r="D691">
        <v>1.6279520000000001</v>
      </c>
      <c r="E691">
        <v>3.0025279999999999</v>
      </c>
      <c r="F691">
        <v>2.5189349999999999</v>
      </c>
    </row>
    <row r="692" spans="1:6">
      <c r="A692" s="11">
        <v>689</v>
      </c>
      <c r="B692">
        <v>7.6933049999999996</v>
      </c>
      <c r="C692">
        <v>5.8528739999999999</v>
      </c>
      <c r="D692">
        <v>1.1500950000000001</v>
      </c>
      <c r="E692">
        <v>0.874359</v>
      </c>
      <c r="F692">
        <v>0.100568</v>
      </c>
    </row>
    <row r="693" spans="1:6">
      <c r="A693" s="11">
        <v>690</v>
      </c>
      <c r="B693">
        <v>1.380036</v>
      </c>
      <c r="C693">
        <v>1.5159100000000001</v>
      </c>
      <c r="D693">
        <v>2.8083339999999999</v>
      </c>
      <c r="E693">
        <v>1.3722669999999999</v>
      </c>
      <c r="F693">
        <v>1.6847810000000001</v>
      </c>
    </row>
    <row r="694" spans="1:6">
      <c r="A694" s="11">
        <v>691</v>
      </c>
      <c r="B694">
        <v>0.63222199999999995</v>
      </c>
      <c r="C694">
        <v>1.984432</v>
      </c>
      <c r="D694">
        <v>18.105822</v>
      </c>
      <c r="E694">
        <v>0.53617199999999998</v>
      </c>
      <c r="F694">
        <v>7.7651440000000003</v>
      </c>
    </row>
    <row r="695" spans="1:6">
      <c r="A695" s="11">
        <v>692</v>
      </c>
      <c r="B695">
        <v>1.0822670000000001</v>
      </c>
      <c r="C695">
        <v>1.411737</v>
      </c>
      <c r="D695">
        <v>1.5052730000000001</v>
      </c>
      <c r="E695">
        <v>1.512796</v>
      </c>
      <c r="F695">
        <v>0.46585700000000002</v>
      </c>
    </row>
    <row r="696" spans="1:6">
      <c r="A696" s="11">
        <v>693</v>
      </c>
      <c r="B696">
        <v>0.46181899999999998</v>
      </c>
      <c r="C696">
        <v>2.4761500000000001</v>
      </c>
      <c r="D696">
        <v>0.794991</v>
      </c>
      <c r="E696">
        <v>0.117095</v>
      </c>
      <c r="F696">
        <v>1.062786</v>
      </c>
    </row>
    <row r="697" spans="1:6">
      <c r="A697" s="11">
        <v>694</v>
      </c>
      <c r="B697">
        <v>0.31378600000000001</v>
      </c>
      <c r="C697">
        <v>16.500129999999999</v>
      </c>
      <c r="D697">
        <v>2.5113210000000001</v>
      </c>
      <c r="E697">
        <v>0.17497399999999999</v>
      </c>
      <c r="F697">
        <v>2.1498400000000002</v>
      </c>
    </row>
    <row r="698" spans="1:6">
      <c r="A698" s="11">
        <v>695</v>
      </c>
      <c r="B698">
        <v>0.322602</v>
      </c>
      <c r="C698">
        <v>1.0859829999999999</v>
      </c>
      <c r="D698">
        <v>5.0166719999999998</v>
      </c>
      <c r="E698">
        <v>1.9602120000000001</v>
      </c>
      <c r="F698">
        <v>0.49176599999999998</v>
      </c>
    </row>
    <row r="699" spans="1:6">
      <c r="A699" s="11">
        <v>696</v>
      </c>
      <c r="B699">
        <v>1.5925100000000001</v>
      </c>
      <c r="C699">
        <v>1.1569990000000001</v>
      </c>
      <c r="D699">
        <v>0.711476</v>
      </c>
      <c r="E699">
        <v>0.407163</v>
      </c>
      <c r="F699">
        <v>0.23133300000000001</v>
      </c>
    </row>
    <row r="700" spans="1:6">
      <c r="A700" s="11">
        <v>697</v>
      </c>
      <c r="B700">
        <v>0.34046999999999999</v>
      </c>
      <c r="C700">
        <v>1.8088740000000001</v>
      </c>
      <c r="D700">
        <v>0.80917399999999995</v>
      </c>
      <c r="E700">
        <v>0.461169</v>
      </c>
      <c r="F700">
        <v>4.4984149999999996</v>
      </c>
    </row>
    <row r="701" spans="1:6">
      <c r="A701" s="11">
        <v>698</v>
      </c>
      <c r="B701">
        <v>0.72477000000000003</v>
      </c>
      <c r="C701">
        <v>0.47165200000000002</v>
      </c>
      <c r="D701">
        <v>6.7162790000000001</v>
      </c>
      <c r="E701">
        <v>3.309596</v>
      </c>
      <c r="F701">
        <v>0.59939399999999998</v>
      </c>
    </row>
    <row r="702" spans="1:6">
      <c r="A702" s="11">
        <v>699</v>
      </c>
      <c r="B702">
        <v>2.0985360000000002</v>
      </c>
      <c r="C702">
        <v>1.696042</v>
      </c>
      <c r="D702">
        <v>2.2552240000000001</v>
      </c>
      <c r="E702">
        <v>0.83450400000000002</v>
      </c>
      <c r="F702">
        <v>0.35026099999999999</v>
      </c>
    </row>
    <row r="703" spans="1:6">
      <c r="A703" s="11">
        <v>700</v>
      </c>
      <c r="B703">
        <v>2.1103700000000001</v>
      </c>
      <c r="C703">
        <v>0.25085200000000002</v>
      </c>
      <c r="D703">
        <v>4.5043E-2</v>
      </c>
      <c r="E703">
        <v>0.73624299999999998</v>
      </c>
      <c r="F703">
        <v>1.130601</v>
      </c>
    </row>
    <row r="704" spans="1:6">
      <c r="A704" s="11">
        <v>701</v>
      </c>
      <c r="B704">
        <v>1.5838140000000001</v>
      </c>
      <c r="C704">
        <v>8.6260659999999998</v>
      </c>
      <c r="D704">
        <v>0.84105799999999997</v>
      </c>
      <c r="E704">
        <v>1.39035</v>
      </c>
      <c r="F704">
        <v>0.694442</v>
      </c>
    </row>
    <row r="705" spans="1:6">
      <c r="A705" s="11">
        <v>702</v>
      </c>
      <c r="B705">
        <v>2.9248789999999998</v>
      </c>
      <c r="C705">
        <v>15.415581</v>
      </c>
      <c r="D705">
        <v>0.16653599999999999</v>
      </c>
      <c r="E705">
        <v>0.242309</v>
      </c>
      <c r="F705">
        <v>2.2401149999999999</v>
      </c>
    </row>
    <row r="706" spans="1:6">
      <c r="A706" s="11">
        <v>703</v>
      </c>
      <c r="B706">
        <v>6.8703649999999996</v>
      </c>
      <c r="C706">
        <v>2.077826</v>
      </c>
      <c r="D706">
        <v>2.797132</v>
      </c>
      <c r="E706">
        <v>3.2216680000000002</v>
      </c>
      <c r="F706">
        <v>0.49599900000000002</v>
      </c>
    </row>
    <row r="707" spans="1:6">
      <c r="A707" s="11">
        <v>704</v>
      </c>
      <c r="B707">
        <v>3.3293240000000002</v>
      </c>
      <c r="C707">
        <v>5.2275029999999996</v>
      </c>
      <c r="D707">
        <v>1.1195010000000001</v>
      </c>
      <c r="E707">
        <v>0.25466100000000003</v>
      </c>
      <c r="F707">
        <v>1.878555</v>
      </c>
    </row>
    <row r="708" spans="1:6">
      <c r="A708" s="11">
        <v>705</v>
      </c>
      <c r="B708">
        <v>3.1015709999999999</v>
      </c>
      <c r="C708">
        <v>0.32306499999999999</v>
      </c>
      <c r="D708">
        <v>3.658639</v>
      </c>
      <c r="E708">
        <v>0.288858</v>
      </c>
      <c r="F708">
        <v>1.2642640000000001</v>
      </c>
    </row>
    <row r="709" spans="1:6">
      <c r="A709" s="11">
        <v>706</v>
      </c>
      <c r="B709">
        <v>0.59755000000000003</v>
      </c>
      <c r="C709">
        <v>0.69251200000000002</v>
      </c>
      <c r="D709">
        <v>0.60970500000000005</v>
      </c>
      <c r="E709">
        <v>2.7196859999999998</v>
      </c>
      <c r="F709">
        <v>0.90513500000000002</v>
      </c>
    </row>
    <row r="710" spans="1:6">
      <c r="A710" s="11">
        <v>707</v>
      </c>
      <c r="B710">
        <v>0.80828299999999997</v>
      </c>
      <c r="C710">
        <v>4.3722510000000003</v>
      </c>
      <c r="D710">
        <v>0.83493700000000004</v>
      </c>
      <c r="E710">
        <v>5.9618570000000002</v>
      </c>
      <c r="F710">
        <v>0.17862800000000001</v>
      </c>
    </row>
    <row r="711" spans="1:6">
      <c r="A711" s="11">
        <v>708</v>
      </c>
      <c r="B711">
        <v>1.341675</v>
      </c>
      <c r="C711">
        <v>0.28923900000000002</v>
      </c>
      <c r="D711">
        <v>2.0314199999999998</v>
      </c>
      <c r="E711">
        <v>0.83688899999999999</v>
      </c>
      <c r="F711">
        <v>7.1216989999999996</v>
      </c>
    </row>
    <row r="712" spans="1:6">
      <c r="A712" s="11">
        <v>709</v>
      </c>
      <c r="B712">
        <v>4.6689759999999998</v>
      </c>
      <c r="C712">
        <v>1.6083719999999999</v>
      </c>
      <c r="D712">
        <v>0.703654</v>
      </c>
      <c r="E712">
        <v>1.6228309999999999</v>
      </c>
      <c r="F712">
        <v>2.4916619999999998</v>
      </c>
    </row>
    <row r="713" spans="1:6">
      <c r="A713" s="11">
        <v>710</v>
      </c>
      <c r="B713">
        <v>2.1397050000000002</v>
      </c>
      <c r="C713">
        <v>0.253191</v>
      </c>
      <c r="D713">
        <v>7.8351639999999998</v>
      </c>
      <c r="E713">
        <v>0.50297599999999998</v>
      </c>
      <c r="F713">
        <v>0.19653499999999999</v>
      </c>
    </row>
    <row r="714" spans="1:6">
      <c r="A714" s="11">
        <v>711</v>
      </c>
      <c r="B714">
        <v>8.3877179999999996</v>
      </c>
      <c r="C714">
        <v>1.037288</v>
      </c>
      <c r="D714">
        <v>0.158663</v>
      </c>
      <c r="E714">
        <v>1.7431810000000001</v>
      </c>
      <c r="F714">
        <v>0.320189</v>
      </c>
    </row>
    <row r="715" spans="1:6">
      <c r="A715" s="11">
        <v>712</v>
      </c>
      <c r="B715">
        <v>0.364707</v>
      </c>
      <c r="C715">
        <v>0.37808999999999998</v>
      </c>
      <c r="D715">
        <v>0.72650700000000001</v>
      </c>
      <c r="E715">
        <v>1.8528169999999999</v>
      </c>
      <c r="F715">
        <v>0.33867900000000001</v>
      </c>
    </row>
    <row r="716" spans="1:6">
      <c r="A716" s="11">
        <v>713</v>
      </c>
      <c r="B716">
        <v>7.3149850000000001</v>
      </c>
      <c r="C716">
        <v>0.55445199999999994</v>
      </c>
      <c r="D716">
        <v>0.59984400000000004</v>
      </c>
      <c r="E716">
        <v>5.148263</v>
      </c>
      <c r="F716">
        <v>2.1292979999999999</v>
      </c>
    </row>
    <row r="717" spans="1:6">
      <c r="A717" s="11">
        <v>714</v>
      </c>
      <c r="B717">
        <v>4.1972209999999999</v>
      </c>
      <c r="C717">
        <v>3.3671319999999998</v>
      </c>
      <c r="D717">
        <v>0.65120400000000001</v>
      </c>
      <c r="E717">
        <v>1.7154450000000001</v>
      </c>
      <c r="F717">
        <v>10.778746</v>
      </c>
    </row>
    <row r="718" spans="1:6">
      <c r="A718" s="11">
        <v>715</v>
      </c>
      <c r="B718">
        <v>0.217447</v>
      </c>
      <c r="C718">
        <v>0.79505800000000004</v>
      </c>
      <c r="D718">
        <v>1.2862480000000001</v>
      </c>
      <c r="E718">
        <v>1.026789</v>
      </c>
      <c r="F718">
        <v>9.5698000000000005E-2</v>
      </c>
    </row>
    <row r="719" spans="1:6">
      <c r="A719" s="11">
        <v>716</v>
      </c>
      <c r="B719">
        <v>1.2812870000000001</v>
      </c>
      <c r="C719">
        <v>4.4205629999999996</v>
      </c>
      <c r="D719">
        <v>5.8785400000000001</v>
      </c>
      <c r="E719">
        <v>0.31208000000000002</v>
      </c>
      <c r="F719">
        <v>6.5948190000000002</v>
      </c>
    </row>
    <row r="720" spans="1:6">
      <c r="A720" s="11">
        <v>717</v>
      </c>
      <c r="B720">
        <v>9.7193290000000001</v>
      </c>
      <c r="C720">
        <v>3.7238349999999998</v>
      </c>
      <c r="D720">
        <v>0.63223200000000002</v>
      </c>
      <c r="E720">
        <v>0.29136899999999999</v>
      </c>
      <c r="F720">
        <v>1.129383</v>
      </c>
    </row>
    <row r="721" spans="1:6">
      <c r="A721" s="11">
        <v>718</v>
      </c>
      <c r="B721">
        <v>0.71211199999999997</v>
      </c>
      <c r="C721">
        <v>4.2230439999999998</v>
      </c>
      <c r="D721">
        <v>2.2197079999999998</v>
      </c>
      <c r="E721">
        <v>7.1167100000000003</v>
      </c>
      <c r="F721">
        <v>2.7002820000000001</v>
      </c>
    </row>
    <row r="722" spans="1:6">
      <c r="A722" s="11">
        <v>719</v>
      </c>
      <c r="B722">
        <v>1.8112710000000001</v>
      </c>
      <c r="C722">
        <v>0.42150399999999999</v>
      </c>
      <c r="D722">
        <v>1.202218</v>
      </c>
      <c r="E722">
        <v>0.202982</v>
      </c>
      <c r="F722">
        <v>5.6558830000000002</v>
      </c>
    </row>
    <row r="723" spans="1:6">
      <c r="A723" s="11">
        <v>720</v>
      </c>
      <c r="B723">
        <v>0.39279700000000001</v>
      </c>
      <c r="C723">
        <v>0.62711300000000003</v>
      </c>
      <c r="D723">
        <v>0.27025399999999999</v>
      </c>
      <c r="E723">
        <v>1.4766140000000001</v>
      </c>
      <c r="F723">
        <v>0.42225200000000002</v>
      </c>
    </row>
    <row r="724" spans="1:6">
      <c r="A724" s="11">
        <v>721</v>
      </c>
      <c r="B724">
        <v>0.33249099999999998</v>
      </c>
      <c r="C724">
        <v>1.1769270000000001</v>
      </c>
      <c r="D724">
        <v>3.9082910000000002</v>
      </c>
      <c r="E724">
        <v>0.17337</v>
      </c>
      <c r="F724">
        <v>1.4461139999999999</v>
      </c>
    </row>
    <row r="725" spans="1:6">
      <c r="A725" s="11">
        <v>722</v>
      </c>
      <c r="B725">
        <v>0.64456400000000003</v>
      </c>
      <c r="C725">
        <v>11.810959</v>
      </c>
      <c r="D725">
        <v>1.713805</v>
      </c>
      <c r="E725">
        <v>1.0917319999999999</v>
      </c>
      <c r="F725">
        <v>1.4219280000000001</v>
      </c>
    </row>
    <row r="726" spans="1:6">
      <c r="A726" s="11">
        <v>723</v>
      </c>
      <c r="B726">
        <v>1.6474519999999999</v>
      </c>
      <c r="C726">
        <v>3.6322540000000001</v>
      </c>
      <c r="D726">
        <v>2.3901129999999999</v>
      </c>
      <c r="E726">
        <v>4.5700890000000003</v>
      </c>
      <c r="F726">
        <v>0.194633</v>
      </c>
    </row>
    <row r="727" spans="1:6">
      <c r="A727" s="11">
        <v>724</v>
      </c>
      <c r="B727">
        <v>1.156552</v>
      </c>
      <c r="C727">
        <v>0.82564199999999999</v>
      </c>
      <c r="D727">
        <v>2.2679269999999998</v>
      </c>
      <c r="E727">
        <v>0.24335399999999999</v>
      </c>
      <c r="F727">
        <v>1.5767850000000001</v>
      </c>
    </row>
    <row r="728" spans="1:6">
      <c r="A728" s="11">
        <v>725</v>
      </c>
      <c r="B728">
        <v>0.30113899999999999</v>
      </c>
      <c r="C728">
        <v>1.457938</v>
      </c>
      <c r="D728">
        <v>0.69128500000000004</v>
      </c>
      <c r="E728">
        <v>1.835629</v>
      </c>
      <c r="F728">
        <v>0.59853800000000001</v>
      </c>
    </row>
    <row r="729" spans="1:6">
      <c r="A729" s="11">
        <v>726</v>
      </c>
      <c r="B729">
        <v>0.60002200000000006</v>
      </c>
      <c r="C729">
        <v>2.6424919999999998</v>
      </c>
      <c r="D729">
        <v>2.6251350000000002</v>
      </c>
      <c r="E729">
        <v>0.62870700000000002</v>
      </c>
      <c r="F729">
        <v>14.680775000000001</v>
      </c>
    </row>
    <row r="730" spans="1:6">
      <c r="A730" s="11">
        <v>727</v>
      </c>
      <c r="B730">
        <v>1.005155</v>
      </c>
      <c r="C730">
        <v>1.186142</v>
      </c>
      <c r="D730">
        <v>0.14600199999999999</v>
      </c>
      <c r="E730">
        <v>0.65397300000000003</v>
      </c>
      <c r="F730">
        <v>3.4412959999999999</v>
      </c>
    </row>
    <row r="731" spans="1:6">
      <c r="A731" s="11">
        <v>728</v>
      </c>
      <c r="B731">
        <v>7.8821649999999996</v>
      </c>
      <c r="C731">
        <v>16.670258</v>
      </c>
      <c r="D731">
        <v>1.1614390000000001</v>
      </c>
      <c r="E731">
        <v>0.56424799999999997</v>
      </c>
      <c r="F731">
        <v>3.75786</v>
      </c>
    </row>
    <row r="732" spans="1:6">
      <c r="A732" s="11">
        <v>729</v>
      </c>
      <c r="B732">
        <v>3.6656550000000001</v>
      </c>
      <c r="C732">
        <v>0.68428</v>
      </c>
      <c r="D732">
        <v>0.86367899999999997</v>
      </c>
      <c r="E732">
        <v>0.31905699999999998</v>
      </c>
      <c r="F732">
        <v>0.69203999999999999</v>
      </c>
    </row>
    <row r="733" spans="1:6">
      <c r="A733" s="11">
        <v>730</v>
      </c>
      <c r="B733">
        <v>0.14128399999999999</v>
      </c>
      <c r="C733">
        <v>8.2622560000000007</v>
      </c>
      <c r="D733">
        <v>6.4679869999999999</v>
      </c>
      <c r="E733">
        <v>2.0701559999999999</v>
      </c>
      <c r="F733">
        <v>0.28241899999999998</v>
      </c>
    </row>
    <row r="734" spans="1:6">
      <c r="A734" s="11">
        <v>731</v>
      </c>
      <c r="B734">
        <v>0.67595400000000005</v>
      </c>
      <c r="C734">
        <v>0.65143399999999996</v>
      </c>
      <c r="D734">
        <v>7.0249000000000006E-2</v>
      </c>
      <c r="E734">
        <v>6.1998920000000002</v>
      </c>
      <c r="F734">
        <v>0.25835200000000003</v>
      </c>
    </row>
    <row r="735" spans="1:6">
      <c r="A735" s="11">
        <v>732</v>
      </c>
      <c r="B735">
        <v>0.80037599999999998</v>
      </c>
      <c r="C735">
        <v>1.9424999999999999</v>
      </c>
      <c r="D735">
        <v>1.3687339999999999</v>
      </c>
      <c r="E735">
        <v>0.24048600000000001</v>
      </c>
      <c r="F735">
        <v>0.63927999999999996</v>
      </c>
    </row>
    <row r="736" spans="1:6">
      <c r="A736" s="11">
        <v>733</v>
      </c>
      <c r="B736">
        <v>0.53229700000000002</v>
      </c>
      <c r="C736">
        <v>1.65239</v>
      </c>
      <c r="D736">
        <v>0.49109700000000001</v>
      </c>
      <c r="E736">
        <v>2.2418689999999999</v>
      </c>
      <c r="F736">
        <v>1.182261</v>
      </c>
    </row>
    <row r="737" spans="1:6">
      <c r="A737" s="11">
        <v>734</v>
      </c>
      <c r="B737">
        <v>1.0438730000000001</v>
      </c>
      <c r="C737">
        <v>0.91993499999999995</v>
      </c>
      <c r="D737">
        <v>1.055736</v>
      </c>
      <c r="E737">
        <v>0.62411899999999998</v>
      </c>
      <c r="F737">
        <v>0.79678000000000004</v>
      </c>
    </row>
    <row r="738" spans="1:6">
      <c r="A738" s="11">
        <v>735</v>
      </c>
      <c r="B738">
        <v>1.781561</v>
      </c>
      <c r="C738">
        <v>1.328495</v>
      </c>
      <c r="D738">
        <v>1.8029679999999999</v>
      </c>
      <c r="E738">
        <v>0.34323399999999998</v>
      </c>
      <c r="F738">
        <v>0.92527099999999995</v>
      </c>
    </row>
    <row r="739" spans="1:6">
      <c r="A739" s="11">
        <v>736</v>
      </c>
      <c r="B739">
        <v>1.2384280000000001</v>
      </c>
      <c r="C739">
        <v>0.35725299999999999</v>
      </c>
      <c r="D739">
        <v>1.004712</v>
      </c>
      <c r="E739">
        <v>0.96226800000000001</v>
      </c>
      <c r="F739">
        <v>0.93684699999999999</v>
      </c>
    </row>
    <row r="740" spans="1:6">
      <c r="A740" s="11">
        <v>737</v>
      </c>
      <c r="B740">
        <v>1.094433</v>
      </c>
      <c r="C740">
        <v>2.29419</v>
      </c>
      <c r="D740">
        <v>0.379465</v>
      </c>
      <c r="E740">
        <v>4.3120289999999999</v>
      </c>
      <c r="F740">
        <v>1.7444519999999999</v>
      </c>
    </row>
    <row r="741" spans="1:6">
      <c r="A741" s="11">
        <v>738</v>
      </c>
      <c r="B741">
        <v>0.70092500000000002</v>
      </c>
      <c r="C741">
        <v>0.67001500000000003</v>
      </c>
      <c r="D741">
        <v>0.300591</v>
      </c>
      <c r="E741">
        <v>1.191335</v>
      </c>
      <c r="F741">
        <v>5.5019299999999998</v>
      </c>
    </row>
    <row r="742" spans="1:6">
      <c r="A742" s="11">
        <v>739</v>
      </c>
      <c r="B742">
        <v>0.83743400000000001</v>
      </c>
      <c r="C742">
        <v>0.86657300000000004</v>
      </c>
      <c r="D742">
        <v>2.710143</v>
      </c>
      <c r="E742">
        <v>0.75475999999999999</v>
      </c>
      <c r="F742">
        <v>1.225908</v>
      </c>
    </row>
    <row r="743" spans="1:6">
      <c r="A743" s="11">
        <v>740</v>
      </c>
      <c r="B743">
        <v>5.8446619999999996</v>
      </c>
      <c r="C743">
        <v>1.466289</v>
      </c>
      <c r="D743">
        <v>0.734649</v>
      </c>
      <c r="E743">
        <v>3.3026800000000001</v>
      </c>
      <c r="F743">
        <v>2.5637639999999999</v>
      </c>
    </row>
    <row r="744" spans="1:6">
      <c r="A744" s="11">
        <v>741</v>
      </c>
      <c r="B744">
        <v>0.15033199999999999</v>
      </c>
      <c r="C744">
        <v>0.647312</v>
      </c>
      <c r="D744">
        <v>2.2047729999999999</v>
      </c>
      <c r="E744">
        <v>0.76069100000000001</v>
      </c>
      <c r="F744">
        <v>1.0415030000000001</v>
      </c>
    </row>
    <row r="745" spans="1:6">
      <c r="A745" s="11">
        <v>742</v>
      </c>
      <c r="B745">
        <v>0.67818299999999998</v>
      </c>
      <c r="C745">
        <v>1.7205520000000001</v>
      </c>
      <c r="D745">
        <v>0.24618000000000001</v>
      </c>
      <c r="E745">
        <v>6.8882479999999999</v>
      </c>
      <c r="F745">
        <v>3.957738</v>
      </c>
    </row>
    <row r="746" spans="1:6">
      <c r="A746" s="11">
        <v>743</v>
      </c>
      <c r="B746">
        <v>2.1881210000000002</v>
      </c>
      <c r="C746">
        <v>1.5475479999999999</v>
      </c>
      <c r="D746">
        <v>3.5727449999999998</v>
      </c>
      <c r="E746">
        <v>0.14232500000000001</v>
      </c>
      <c r="F746">
        <v>1.672744</v>
      </c>
    </row>
    <row r="747" spans="1:6">
      <c r="A747" s="11">
        <v>744</v>
      </c>
      <c r="B747">
        <v>1.5624929999999999</v>
      </c>
      <c r="C747">
        <v>6.3795659999999996</v>
      </c>
      <c r="D747">
        <v>0.95335999999999999</v>
      </c>
      <c r="E747">
        <v>0.133993</v>
      </c>
      <c r="F747">
        <v>1.596787</v>
      </c>
    </row>
    <row r="748" spans="1:6">
      <c r="A748" s="11">
        <v>745</v>
      </c>
      <c r="B748">
        <v>1.24763</v>
      </c>
      <c r="C748">
        <v>0.60247300000000004</v>
      </c>
      <c r="D748">
        <v>2.975403</v>
      </c>
      <c r="E748">
        <v>6.9096010000000003</v>
      </c>
      <c r="F748">
        <v>0.31036999999999998</v>
      </c>
    </row>
    <row r="749" spans="1:6">
      <c r="A749" s="11">
        <v>746</v>
      </c>
      <c r="B749">
        <v>2.3502160000000001</v>
      </c>
      <c r="C749">
        <v>0.110607</v>
      </c>
      <c r="D749">
        <v>0.67070399999999997</v>
      </c>
      <c r="E749">
        <v>3.6201400000000001</v>
      </c>
      <c r="F749">
        <v>1.6082510000000001</v>
      </c>
    </row>
    <row r="750" spans="1:6">
      <c r="A750" s="11">
        <v>747</v>
      </c>
      <c r="B750">
        <v>1.3576410000000001</v>
      </c>
      <c r="C750">
        <v>1.1573519999999999</v>
      </c>
      <c r="D750">
        <v>2.3864459999999998</v>
      </c>
      <c r="E750">
        <v>8.1483629999999998</v>
      </c>
      <c r="F750">
        <v>1.897532</v>
      </c>
    </row>
    <row r="751" spans="1:6">
      <c r="A751" s="11">
        <v>748</v>
      </c>
      <c r="B751">
        <v>1.129572</v>
      </c>
      <c r="C751">
        <v>1.1714009999999999</v>
      </c>
      <c r="D751">
        <v>0.38119199999999998</v>
      </c>
      <c r="E751">
        <v>7.5994999999999993E-2</v>
      </c>
      <c r="F751">
        <v>1.832989</v>
      </c>
    </row>
    <row r="752" spans="1:6">
      <c r="A752" s="11">
        <v>749</v>
      </c>
      <c r="B752">
        <v>0.66012199999999999</v>
      </c>
      <c r="C752">
        <v>6.1828479999999999</v>
      </c>
      <c r="D752">
        <v>0.16443199999999999</v>
      </c>
      <c r="E752">
        <v>0.273783</v>
      </c>
      <c r="F752">
        <v>1.907</v>
      </c>
    </row>
    <row r="753" spans="1:6">
      <c r="A753" s="11">
        <v>750</v>
      </c>
      <c r="B753">
        <v>2.320967</v>
      </c>
      <c r="C753">
        <v>1.2868329999999999</v>
      </c>
      <c r="D753">
        <v>2.9376180000000001</v>
      </c>
      <c r="E753">
        <v>1.0271060000000001</v>
      </c>
      <c r="F753">
        <v>2.2565819999999999</v>
      </c>
    </row>
    <row r="754" spans="1:6">
      <c r="A754" s="11">
        <v>751</v>
      </c>
      <c r="B754">
        <v>1.1404559999999999</v>
      </c>
      <c r="C754">
        <v>0.20061699999999999</v>
      </c>
      <c r="D754">
        <v>2.86069</v>
      </c>
      <c r="E754">
        <v>4.5646389999999997</v>
      </c>
      <c r="F754">
        <v>0.48813600000000001</v>
      </c>
    </row>
    <row r="755" spans="1:6">
      <c r="A755" s="11">
        <v>752</v>
      </c>
      <c r="B755">
        <v>1.0742830000000001</v>
      </c>
      <c r="C755">
        <v>2.1464259999999999</v>
      </c>
      <c r="D755">
        <v>0.58411599999999997</v>
      </c>
      <c r="E755">
        <v>0.76356299999999999</v>
      </c>
      <c r="F755">
        <v>0.74369399999999997</v>
      </c>
    </row>
    <row r="756" spans="1:6">
      <c r="A756" s="11">
        <v>753</v>
      </c>
      <c r="B756">
        <v>7.492604</v>
      </c>
      <c r="C756">
        <v>2.91045</v>
      </c>
      <c r="D756">
        <v>5.0305869999999997</v>
      </c>
      <c r="E756">
        <v>6.8346000000000004E-2</v>
      </c>
      <c r="F756">
        <v>1.5398069999999999</v>
      </c>
    </row>
    <row r="757" spans="1:6">
      <c r="A757" s="11">
        <v>754</v>
      </c>
      <c r="B757">
        <v>0.28318500000000002</v>
      </c>
      <c r="C757">
        <v>1.3786369999999999</v>
      </c>
      <c r="D757">
        <v>0.21387</v>
      </c>
      <c r="E757">
        <v>0.57942000000000005</v>
      </c>
      <c r="F757">
        <v>2.3048639999999998</v>
      </c>
    </row>
    <row r="758" spans="1:6">
      <c r="A758" s="11">
        <v>755</v>
      </c>
      <c r="B758">
        <v>6.0255720000000004</v>
      </c>
      <c r="C758">
        <v>0.91162399999999999</v>
      </c>
      <c r="D758">
        <v>2.050109</v>
      </c>
      <c r="E758">
        <v>5.022322</v>
      </c>
      <c r="F758">
        <v>0.80425800000000003</v>
      </c>
    </row>
    <row r="759" spans="1:6">
      <c r="A759" s="11">
        <v>756</v>
      </c>
      <c r="B759">
        <v>0.23122000000000001</v>
      </c>
      <c r="C759">
        <v>0.67110499999999995</v>
      </c>
      <c r="D759">
        <v>0.31324800000000003</v>
      </c>
      <c r="E759">
        <v>0.84798600000000002</v>
      </c>
      <c r="F759">
        <v>0.72512299999999996</v>
      </c>
    </row>
    <row r="760" spans="1:6">
      <c r="A760" s="11">
        <v>757</v>
      </c>
      <c r="B760">
        <v>1.675068</v>
      </c>
      <c r="C760">
        <v>3.6709309999999999</v>
      </c>
      <c r="D760">
        <v>0.41686299999999998</v>
      </c>
      <c r="E760">
        <v>0.18079200000000001</v>
      </c>
      <c r="F760">
        <v>1.4665029999999999</v>
      </c>
    </row>
    <row r="761" spans="1:6">
      <c r="A761" s="11">
        <v>758</v>
      </c>
      <c r="B761">
        <v>0.66505499999999995</v>
      </c>
      <c r="C761">
        <v>1.02586</v>
      </c>
      <c r="D761">
        <v>2.3429769999999999</v>
      </c>
      <c r="E761">
        <v>1.880633</v>
      </c>
      <c r="F761">
        <v>0.47456300000000001</v>
      </c>
    </row>
    <row r="762" spans="1:6">
      <c r="A762" s="11">
        <v>759</v>
      </c>
      <c r="B762">
        <v>0.77549800000000002</v>
      </c>
      <c r="C762">
        <v>0.26862799999999998</v>
      </c>
      <c r="D762">
        <v>1.0319689999999999</v>
      </c>
      <c r="E762">
        <v>5.321091</v>
      </c>
      <c r="F762">
        <v>0.62822</v>
      </c>
    </row>
    <row r="763" spans="1:6">
      <c r="A763" s="11">
        <v>760</v>
      </c>
      <c r="B763">
        <v>2.6338339999999998</v>
      </c>
      <c r="C763">
        <v>0.46656399999999998</v>
      </c>
      <c r="D763">
        <v>3.2276349999999998</v>
      </c>
      <c r="E763">
        <v>4.1243949999999998</v>
      </c>
      <c r="F763">
        <v>3.2084899999999998</v>
      </c>
    </row>
    <row r="764" spans="1:6">
      <c r="A764" s="11">
        <v>761</v>
      </c>
      <c r="B764">
        <v>0.90428699999999995</v>
      </c>
      <c r="C764">
        <v>0.69654700000000003</v>
      </c>
      <c r="D764">
        <v>1.228769</v>
      </c>
      <c r="E764">
        <v>4.4092960000000003</v>
      </c>
      <c r="F764">
        <v>1.1001030000000001</v>
      </c>
    </row>
    <row r="765" spans="1:6">
      <c r="A765" s="11">
        <v>762</v>
      </c>
      <c r="B765">
        <v>6.9048160000000003</v>
      </c>
      <c r="C765">
        <v>1.2185170000000001</v>
      </c>
      <c r="D765">
        <v>1.4468760000000001</v>
      </c>
      <c r="E765">
        <v>2.8997860000000002</v>
      </c>
      <c r="F765">
        <v>0.19669300000000001</v>
      </c>
    </row>
    <row r="766" spans="1:6">
      <c r="A766" s="11">
        <v>763</v>
      </c>
      <c r="B766">
        <v>1.1222399999999999</v>
      </c>
      <c r="C766">
        <v>19.306324</v>
      </c>
      <c r="D766">
        <v>3.575294</v>
      </c>
      <c r="E766">
        <v>2.231509</v>
      </c>
      <c r="F766">
        <v>1.158488</v>
      </c>
    </row>
    <row r="767" spans="1:6">
      <c r="A767" s="11">
        <v>764</v>
      </c>
      <c r="B767">
        <v>3.343102</v>
      </c>
      <c r="C767">
        <v>1.6209690000000001</v>
      </c>
      <c r="D767">
        <v>0.11878900000000001</v>
      </c>
      <c r="E767">
        <v>0.75793900000000003</v>
      </c>
      <c r="F767">
        <v>0.64801900000000001</v>
      </c>
    </row>
    <row r="768" spans="1:6">
      <c r="A768" s="11">
        <v>765</v>
      </c>
      <c r="B768">
        <v>2.005884</v>
      </c>
      <c r="C768">
        <v>0.19763900000000001</v>
      </c>
      <c r="D768">
        <v>1.1699520000000001</v>
      </c>
      <c r="E768">
        <v>13.076005</v>
      </c>
      <c r="F768">
        <v>0.87934400000000001</v>
      </c>
    </row>
    <row r="769" spans="1:6">
      <c r="A769" s="11">
        <v>766</v>
      </c>
      <c r="B769">
        <v>0.70573900000000001</v>
      </c>
      <c r="C769">
        <v>2.5466859999999998</v>
      </c>
      <c r="D769">
        <v>1.1854290000000001</v>
      </c>
      <c r="E769">
        <v>0.717665</v>
      </c>
      <c r="F769">
        <v>3.150709</v>
      </c>
    </row>
    <row r="770" spans="1:6">
      <c r="A770" s="11">
        <v>767</v>
      </c>
      <c r="B770">
        <v>3.864754</v>
      </c>
      <c r="C770">
        <v>1.5271250000000001</v>
      </c>
      <c r="D770">
        <v>1.842398</v>
      </c>
      <c r="E770">
        <v>0.84871700000000005</v>
      </c>
      <c r="F770">
        <v>0.32479000000000002</v>
      </c>
    </row>
    <row r="771" spans="1:6">
      <c r="A771" s="11">
        <v>768</v>
      </c>
      <c r="B771">
        <v>2.2151369999999999</v>
      </c>
      <c r="C771">
        <v>6.4828520000000003</v>
      </c>
      <c r="D771">
        <v>6.9598180000000003</v>
      </c>
      <c r="E771">
        <v>1.4419690000000001</v>
      </c>
      <c r="F771">
        <v>0.43289</v>
      </c>
    </row>
    <row r="772" spans="1:6">
      <c r="A772" s="11">
        <v>769</v>
      </c>
      <c r="B772">
        <v>0.47635499999999997</v>
      </c>
      <c r="C772">
        <v>0.57087399999999999</v>
      </c>
      <c r="D772">
        <v>29.881067999999999</v>
      </c>
      <c r="E772">
        <v>2.6619290000000002</v>
      </c>
      <c r="F772">
        <v>0.13792299999999999</v>
      </c>
    </row>
    <row r="773" spans="1:6">
      <c r="A773" s="11">
        <v>770</v>
      </c>
      <c r="B773">
        <v>1.0796250000000001</v>
      </c>
      <c r="C773">
        <v>5.5286119999999999</v>
      </c>
      <c r="D773">
        <v>0.37587799999999999</v>
      </c>
      <c r="E773">
        <v>0.716584</v>
      </c>
      <c r="F773">
        <v>7.5754720000000004</v>
      </c>
    </row>
    <row r="774" spans="1:6">
      <c r="A774" s="11">
        <v>771</v>
      </c>
      <c r="B774">
        <v>0.71957599999999999</v>
      </c>
      <c r="C774">
        <v>7.0066000000000003E-2</v>
      </c>
      <c r="D774">
        <v>0.13330600000000001</v>
      </c>
      <c r="E774">
        <v>1.0458099999999999</v>
      </c>
      <c r="F774">
        <v>0.79576499999999994</v>
      </c>
    </row>
    <row r="775" spans="1:6">
      <c r="A775" s="11">
        <v>772</v>
      </c>
      <c r="B775">
        <v>0.51954800000000001</v>
      </c>
      <c r="C775">
        <v>0.68709500000000001</v>
      </c>
      <c r="D775">
        <v>5.4528119999999998</v>
      </c>
      <c r="E775">
        <v>6.4972000000000002E-2</v>
      </c>
      <c r="F775">
        <v>2.5117229999999999</v>
      </c>
    </row>
    <row r="776" spans="1:6">
      <c r="A776" s="11">
        <v>773</v>
      </c>
      <c r="B776">
        <v>0.102382</v>
      </c>
      <c r="C776">
        <v>0.31851200000000002</v>
      </c>
      <c r="D776">
        <v>0.34202700000000003</v>
      </c>
      <c r="E776">
        <v>0.232375</v>
      </c>
      <c r="F776">
        <v>3.11511</v>
      </c>
    </row>
    <row r="777" spans="1:6">
      <c r="A777" s="11">
        <v>774</v>
      </c>
      <c r="B777">
        <v>0.58607600000000004</v>
      </c>
      <c r="C777">
        <v>1.196796</v>
      </c>
      <c r="D777">
        <v>0.22988600000000001</v>
      </c>
      <c r="E777">
        <v>2.218235</v>
      </c>
      <c r="F777">
        <v>0.44437900000000002</v>
      </c>
    </row>
    <row r="778" spans="1:6">
      <c r="A778" s="11">
        <v>775</v>
      </c>
      <c r="B778">
        <v>14.687785</v>
      </c>
      <c r="C778">
        <v>0.66254999999999997</v>
      </c>
      <c r="D778">
        <v>4.4338240000000004</v>
      </c>
      <c r="E778">
        <v>2.4614419999999999</v>
      </c>
      <c r="F778">
        <v>2.2995000000000001</v>
      </c>
    </row>
    <row r="779" spans="1:6">
      <c r="A779" s="11">
        <v>776</v>
      </c>
      <c r="B779">
        <v>0.161692</v>
      </c>
      <c r="C779">
        <v>0.302533</v>
      </c>
      <c r="D779">
        <v>2.4446059999999998</v>
      </c>
      <c r="E779">
        <v>0.60164600000000001</v>
      </c>
      <c r="F779">
        <v>0.50283800000000001</v>
      </c>
    </row>
    <row r="780" spans="1:6">
      <c r="A780" s="11">
        <v>777</v>
      </c>
      <c r="B780">
        <v>0.12817600000000001</v>
      </c>
      <c r="C780">
        <v>1.2266820000000001</v>
      </c>
      <c r="D780">
        <v>0.19417699999999999</v>
      </c>
      <c r="E780">
        <v>2.3974709999999999</v>
      </c>
      <c r="F780">
        <v>0.336339</v>
      </c>
    </row>
    <row r="781" spans="1:6">
      <c r="A781" s="11">
        <v>778</v>
      </c>
      <c r="B781">
        <v>1.7305410000000001</v>
      </c>
      <c r="C781">
        <v>0.64840799999999998</v>
      </c>
      <c r="D781">
        <v>0.94419500000000001</v>
      </c>
      <c r="E781">
        <v>0.47964800000000002</v>
      </c>
      <c r="F781">
        <v>0.79630299999999998</v>
      </c>
    </row>
    <row r="782" spans="1:6">
      <c r="A782" s="11">
        <v>779</v>
      </c>
      <c r="B782">
        <v>0.26517499999999999</v>
      </c>
      <c r="C782">
        <v>0.49515399999999998</v>
      </c>
      <c r="D782">
        <v>0.27346399999999998</v>
      </c>
      <c r="E782">
        <v>0.31463600000000003</v>
      </c>
      <c r="F782">
        <v>0.16800000000000001</v>
      </c>
    </row>
    <row r="783" spans="1:6">
      <c r="A783" s="11">
        <v>780</v>
      </c>
      <c r="B783">
        <v>1.4178299999999999</v>
      </c>
      <c r="C783">
        <v>1.130161</v>
      </c>
      <c r="D783">
        <v>2.9309639999999999</v>
      </c>
      <c r="E783">
        <v>1.30464</v>
      </c>
      <c r="F783">
        <v>0.45396399999999998</v>
      </c>
    </row>
    <row r="784" spans="1:6">
      <c r="A784" s="11">
        <v>781</v>
      </c>
      <c r="B784">
        <v>1.3438909999999999</v>
      </c>
      <c r="C784">
        <v>5.4801409999999997</v>
      </c>
      <c r="D784">
        <v>0.254886</v>
      </c>
      <c r="E784">
        <v>2.8916240000000002</v>
      </c>
      <c r="F784">
        <v>3.7241070000000001</v>
      </c>
    </row>
    <row r="785" spans="1:6">
      <c r="A785" s="11">
        <v>782</v>
      </c>
      <c r="B785">
        <v>3.3574120000000001</v>
      </c>
      <c r="C785">
        <v>0.216945</v>
      </c>
      <c r="D785">
        <v>1.7526409999999999</v>
      </c>
      <c r="E785">
        <v>2.796913</v>
      </c>
      <c r="F785">
        <v>0.32927200000000001</v>
      </c>
    </row>
    <row r="786" spans="1:6">
      <c r="A786" s="11">
        <v>783</v>
      </c>
      <c r="B786">
        <v>0.90297700000000003</v>
      </c>
      <c r="C786">
        <v>1.6395500000000001</v>
      </c>
      <c r="D786">
        <v>2.693432</v>
      </c>
      <c r="E786">
        <v>1.668774</v>
      </c>
      <c r="F786">
        <v>7.3208549999999999</v>
      </c>
    </row>
    <row r="787" spans="1:6">
      <c r="A787" s="11">
        <v>784</v>
      </c>
      <c r="B787">
        <v>1.0981799999999999</v>
      </c>
      <c r="C787">
        <v>0.69207300000000005</v>
      </c>
      <c r="D787">
        <v>1.314818</v>
      </c>
      <c r="E787">
        <v>0.69050599999999995</v>
      </c>
      <c r="F787">
        <v>2.0495420000000002</v>
      </c>
    </row>
    <row r="788" spans="1:6">
      <c r="A788" s="11">
        <v>785</v>
      </c>
      <c r="B788">
        <v>1.7501629999999999</v>
      </c>
      <c r="C788">
        <v>4.227201</v>
      </c>
      <c r="D788">
        <v>3.0997870000000001</v>
      </c>
      <c r="E788">
        <v>1.0602069999999999</v>
      </c>
      <c r="F788">
        <v>0.40997400000000001</v>
      </c>
    </row>
    <row r="789" spans="1:6">
      <c r="A789" s="11">
        <v>786</v>
      </c>
      <c r="B789">
        <v>0.20632800000000001</v>
      </c>
      <c r="C789">
        <v>0.63239500000000004</v>
      </c>
      <c r="D789">
        <v>1.3035760000000001</v>
      </c>
      <c r="E789">
        <v>0.87931800000000004</v>
      </c>
      <c r="F789">
        <v>0.60925399999999996</v>
      </c>
    </row>
    <row r="790" spans="1:6">
      <c r="A790" s="11">
        <v>787</v>
      </c>
      <c r="B790">
        <v>1.820962</v>
      </c>
      <c r="C790">
        <v>0.47809099999999999</v>
      </c>
      <c r="D790">
        <v>1.906846</v>
      </c>
      <c r="E790">
        <v>0.30018899999999998</v>
      </c>
      <c r="F790">
        <v>0.93043200000000004</v>
      </c>
    </row>
    <row r="791" spans="1:6">
      <c r="A791" s="11">
        <v>788</v>
      </c>
      <c r="B791">
        <v>2.5753759999999999</v>
      </c>
      <c r="C791">
        <v>2.0795300000000001</v>
      </c>
      <c r="D791">
        <v>0.32924500000000001</v>
      </c>
      <c r="E791">
        <v>1.01814</v>
      </c>
      <c r="F791">
        <v>1.539639</v>
      </c>
    </row>
    <row r="792" spans="1:6">
      <c r="A792" s="11">
        <v>789</v>
      </c>
      <c r="B792">
        <v>1.5881419999999999</v>
      </c>
      <c r="C792">
        <v>1.7992729999999999</v>
      </c>
      <c r="D792">
        <v>0.74984600000000001</v>
      </c>
      <c r="E792">
        <v>1.2004010000000001</v>
      </c>
      <c r="F792">
        <v>0.51465399999999994</v>
      </c>
    </row>
    <row r="793" spans="1:6">
      <c r="A793" s="11">
        <v>790</v>
      </c>
      <c r="B793">
        <v>0.42259400000000003</v>
      </c>
      <c r="C793">
        <v>0.30250500000000002</v>
      </c>
      <c r="D793">
        <v>0.53061999999999998</v>
      </c>
      <c r="E793">
        <v>0.472744</v>
      </c>
      <c r="F793">
        <v>0.105589</v>
      </c>
    </row>
    <row r="794" spans="1:6">
      <c r="A794" s="11">
        <v>791</v>
      </c>
      <c r="B794">
        <v>3.2809339999999998</v>
      </c>
      <c r="C794">
        <v>3.2922410000000002</v>
      </c>
      <c r="D794">
        <v>1.2049799999999999</v>
      </c>
      <c r="E794">
        <v>0.68570200000000003</v>
      </c>
      <c r="F794">
        <v>0.30191699999999999</v>
      </c>
    </row>
    <row r="795" spans="1:6">
      <c r="A795" s="11">
        <v>792</v>
      </c>
      <c r="B795">
        <v>1.718782</v>
      </c>
      <c r="C795">
        <v>3.1611590000000001</v>
      </c>
      <c r="D795">
        <v>0.183174</v>
      </c>
      <c r="E795">
        <v>0.53874999999999995</v>
      </c>
      <c r="F795">
        <v>0.41546499999999997</v>
      </c>
    </row>
    <row r="796" spans="1:6">
      <c r="A796" s="11">
        <v>793</v>
      </c>
      <c r="B796">
        <v>2.2317640000000001</v>
      </c>
      <c r="C796">
        <v>0.13173899999999999</v>
      </c>
      <c r="D796">
        <v>0.365786</v>
      </c>
      <c r="E796">
        <v>0.19778899999999999</v>
      </c>
      <c r="F796">
        <v>6.8073610000000002</v>
      </c>
    </row>
    <row r="797" spans="1:6">
      <c r="A797" s="11">
        <v>794</v>
      </c>
      <c r="B797">
        <v>2.524607</v>
      </c>
      <c r="C797">
        <v>1.2707599999999999</v>
      </c>
      <c r="D797">
        <v>1.314127</v>
      </c>
      <c r="E797">
        <v>1.379775</v>
      </c>
      <c r="F797">
        <v>1.386981</v>
      </c>
    </row>
    <row r="798" spans="1:6">
      <c r="A798" s="11">
        <v>795</v>
      </c>
      <c r="B798">
        <v>0.55610599999999999</v>
      </c>
      <c r="C798">
        <v>1.695722</v>
      </c>
      <c r="D798">
        <v>0.83316500000000004</v>
      </c>
      <c r="E798">
        <v>0.72468500000000002</v>
      </c>
      <c r="F798">
        <v>2.7016279999999999</v>
      </c>
    </row>
    <row r="799" spans="1:6">
      <c r="A799" s="11">
        <v>796</v>
      </c>
      <c r="B799">
        <v>1.05575</v>
      </c>
      <c r="C799">
        <v>0.88916799999999996</v>
      </c>
      <c r="D799">
        <v>1.17631</v>
      </c>
      <c r="E799">
        <v>2.7213129999999999</v>
      </c>
      <c r="F799">
        <v>0.92584500000000003</v>
      </c>
    </row>
    <row r="800" spans="1:6">
      <c r="A800" s="11">
        <v>797</v>
      </c>
      <c r="B800">
        <v>0.737846</v>
      </c>
      <c r="C800">
        <v>8.0719410000000007</v>
      </c>
      <c r="D800">
        <v>0.27396799999999999</v>
      </c>
      <c r="E800">
        <v>0.64333099999999999</v>
      </c>
      <c r="F800">
        <v>0.556925</v>
      </c>
    </row>
    <row r="801" spans="1:6">
      <c r="A801" s="11">
        <v>798</v>
      </c>
      <c r="B801">
        <v>0.27301700000000001</v>
      </c>
      <c r="C801">
        <v>1.164088</v>
      </c>
      <c r="D801">
        <v>0.30351499999999998</v>
      </c>
      <c r="E801">
        <v>3.1729050000000001</v>
      </c>
      <c r="F801">
        <v>0.28315200000000001</v>
      </c>
    </row>
    <row r="802" spans="1:6">
      <c r="A802" s="11">
        <v>799</v>
      </c>
      <c r="B802">
        <v>0.349497</v>
      </c>
      <c r="C802">
        <v>7.8675189999999997</v>
      </c>
      <c r="D802">
        <v>2.6535289999999998</v>
      </c>
      <c r="E802">
        <v>1.0842350000000001</v>
      </c>
      <c r="F802">
        <v>0.18170700000000001</v>
      </c>
    </row>
    <row r="803" spans="1:6">
      <c r="A803" s="11">
        <v>800</v>
      </c>
      <c r="B803">
        <v>2.55572</v>
      </c>
      <c r="C803">
        <v>1.170631</v>
      </c>
      <c r="D803">
        <v>1.554279</v>
      </c>
      <c r="E803">
        <v>2.8698990000000002</v>
      </c>
      <c r="F803">
        <v>0.255108</v>
      </c>
    </row>
    <row r="804" spans="1:6">
      <c r="A804" s="11">
        <v>801</v>
      </c>
      <c r="B804">
        <v>1.4233830000000001</v>
      </c>
      <c r="C804">
        <v>0.25572</v>
      </c>
      <c r="D804">
        <v>0.27441300000000002</v>
      </c>
      <c r="E804">
        <v>8.0460899999999995</v>
      </c>
      <c r="F804">
        <v>3.926472</v>
      </c>
    </row>
    <row r="805" spans="1:6">
      <c r="A805" s="11">
        <v>802</v>
      </c>
      <c r="B805">
        <v>0.93217399999999995</v>
      </c>
      <c r="C805">
        <v>2.0632039999999998</v>
      </c>
      <c r="D805">
        <v>1.0397050000000001</v>
      </c>
      <c r="E805">
        <v>0.55591100000000004</v>
      </c>
      <c r="F805">
        <v>2.3311980000000001</v>
      </c>
    </row>
    <row r="806" spans="1:6">
      <c r="A806" s="11">
        <v>803</v>
      </c>
      <c r="B806">
        <v>6.389113</v>
      </c>
      <c r="C806">
        <v>7.5991239999999998</v>
      </c>
      <c r="D806">
        <v>0.564639</v>
      </c>
      <c r="E806">
        <v>5.0326139999999997</v>
      </c>
      <c r="F806">
        <v>1.7252000000000001</v>
      </c>
    </row>
    <row r="807" spans="1:6">
      <c r="A807" s="11">
        <v>804</v>
      </c>
      <c r="B807">
        <v>4.0723450000000003</v>
      </c>
      <c r="C807">
        <v>3.2844760000000002</v>
      </c>
      <c r="D807">
        <v>0.83638299999999999</v>
      </c>
      <c r="E807">
        <v>1.070085</v>
      </c>
      <c r="F807">
        <v>0.65884299999999996</v>
      </c>
    </row>
    <row r="808" spans="1:6">
      <c r="A808" s="11">
        <v>805</v>
      </c>
      <c r="B808">
        <v>6.1948000000000003E-2</v>
      </c>
      <c r="C808">
        <v>0.18305199999999999</v>
      </c>
      <c r="D808">
        <v>0.32861299999999999</v>
      </c>
      <c r="E808">
        <v>1.5301910000000001</v>
      </c>
      <c r="F808">
        <v>0.20652899999999999</v>
      </c>
    </row>
    <row r="809" spans="1:6">
      <c r="A809" s="11">
        <v>806</v>
      </c>
      <c r="B809">
        <v>2.2130860000000001</v>
      </c>
      <c r="C809">
        <v>0.72146999999999994</v>
      </c>
      <c r="D809">
        <v>0.237735</v>
      </c>
      <c r="E809">
        <v>1.6707799999999999</v>
      </c>
      <c r="F809">
        <v>2.9483519999999999</v>
      </c>
    </row>
    <row r="810" spans="1:6">
      <c r="A810" s="11">
        <v>807</v>
      </c>
      <c r="B810">
        <v>0.63332100000000002</v>
      </c>
      <c r="C810">
        <v>0.46055200000000002</v>
      </c>
      <c r="D810">
        <v>4.640352</v>
      </c>
      <c r="E810">
        <v>2.3727290000000001</v>
      </c>
      <c r="F810">
        <v>2.1599849999999998</v>
      </c>
    </row>
    <row r="811" spans="1:6">
      <c r="A811" s="11">
        <v>808</v>
      </c>
      <c r="B811">
        <v>12.08831</v>
      </c>
      <c r="C811">
        <v>0.50621400000000005</v>
      </c>
      <c r="D811">
        <v>0.91296200000000005</v>
      </c>
      <c r="E811">
        <v>2.8084720000000001</v>
      </c>
      <c r="F811">
        <v>2.402898</v>
      </c>
    </row>
    <row r="812" spans="1:6">
      <c r="A812" s="11">
        <v>809</v>
      </c>
      <c r="B812">
        <v>0.450125</v>
      </c>
      <c r="C812">
        <v>3.30532</v>
      </c>
      <c r="D812">
        <v>0.88993999999999995</v>
      </c>
      <c r="E812">
        <v>9.4934019999999997</v>
      </c>
      <c r="F812">
        <v>3.125076</v>
      </c>
    </row>
    <row r="813" spans="1:6">
      <c r="A813" s="11">
        <v>810</v>
      </c>
      <c r="B813">
        <v>0.128966</v>
      </c>
      <c r="C813">
        <v>1.1608350000000001</v>
      </c>
      <c r="D813">
        <v>1.1370929999999999</v>
      </c>
      <c r="E813">
        <v>0.33387899999999998</v>
      </c>
      <c r="F813">
        <v>0.79222400000000004</v>
      </c>
    </row>
    <row r="814" spans="1:6">
      <c r="A814" s="11">
        <v>811</v>
      </c>
      <c r="B814">
        <v>0.38027100000000003</v>
      </c>
      <c r="C814">
        <v>1.5306139999999999</v>
      </c>
      <c r="D814">
        <v>0.15176100000000001</v>
      </c>
      <c r="E814">
        <v>0.48507699999999998</v>
      </c>
      <c r="F814">
        <v>0.97048900000000005</v>
      </c>
    </row>
    <row r="815" spans="1:6">
      <c r="A815" s="11">
        <v>812</v>
      </c>
      <c r="B815">
        <v>0.61829599999999996</v>
      </c>
      <c r="C815">
        <v>0.73953800000000003</v>
      </c>
      <c r="D815">
        <v>0.35417100000000001</v>
      </c>
      <c r="E815">
        <v>0.72123000000000004</v>
      </c>
      <c r="F815">
        <v>0.80881099999999995</v>
      </c>
    </row>
    <row r="816" spans="1:6">
      <c r="A816" s="11">
        <v>813</v>
      </c>
      <c r="B816">
        <v>7.4029999999999999E-2</v>
      </c>
      <c r="C816">
        <v>0.538906</v>
      </c>
      <c r="D816">
        <v>0.16966800000000001</v>
      </c>
      <c r="E816">
        <v>0.278005</v>
      </c>
      <c r="F816">
        <v>0.10929899999999999</v>
      </c>
    </row>
    <row r="817" spans="1:6">
      <c r="A817" s="11">
        <v>814</v>
      </c>
      <c r="B817">
        <v>0.72310700000000006</v>
      </c>
      <c r="C817">
        <v>0.32499099999999997</v>
      </c>
      <c r="D817">
        <v>0.36586800000000003</v>
      </c>
      <c r="E817">
        <v>0.51938799999999996</v>
      </c>
      <c r="F817">
        <v>4.5775920000000001</v>
      </c>
    </row>
    <row r="818" spans="1:6">
      <c r="A818" s="11">
        <v>815</v>
      </c>
      <c r="B818">
        <v>0.75011899999999998</v>
      </c>
      <c r="C818">
        <v>4.4639350000000002</v>
      </c>
      <c r="D818">
        <v>5.1577039999999998</v>
      </c>
      <c r="E818">
        <v>0.98255800000000004</v>
      </c>
      <c r="F818">
        <v>0.17073099999999999</v>
      </c>
    </row>
    <row r="819" spans="1:6">
      <c r="A819" s="11">
        <v>816</v>
      </c>
      <c r="B819">
        <v>3.865456</v>
      </c>
      <c r="C819">
        <v>1.6822569999999999</v>
      </c>
      <c r="D819">
        <v>6.2448990000000002</v>
      </c>
      <c r="E819">
        <v>0.76272799999999996</v>
      </c>
      <c r="F819">
        <v>0.31719599999999998</v>
      </c>
    </row>
    <row r="820" spans="1:6">
      <c r="A820" s="11">
        <v>817</v>
      </c>
      <c r="B820">
        <v>1.8089500000000001</v>
      </c>
      <c r="C820">
        <v>0.395619</v>
      </c>
      <c r="D820">
        <v>0.26199899999999998</v>
      </c>
      <c r="E820">
        <v>0.21009900000000001</v>
      </c>
      <c r="F820">
        <v>0.55106500000000003</v>
      </c>
    </row>
    <row r="821" spans="1:6">
      <c r="A821" s="11">
        <v>818</v>
      </c>
      <c r="B821">
        <v>0.90238300000000005</v>
      </c>
      <c r="C821">
        <v>1.6964680000000001</v>
      </c>
      <c r="D821">
        <v>2.209247</v>
      </c>
      <c r="E821">
        <v>1.5769150000000001</v>
      </c>
      <c r="F821">
        <v>1.139445</v>
      </c>
    </row>
    <row r="822" spans="1:6">
      <c r="A822" s="11">
        <v>819</v>
      </c>
      <c r="B822">
        <v>0.47200599999999998</v>
      </c>
      <c r="C822">
        <v>2.7563949999999999</v>
      </c>
      <c r="D822">
        <v>0.33469700000000002</v>
      </c>
      <c r="E822">
        <v>1.3104070000000001</v>
      </c>
      <c r="F822">
        <v>1.5271870000000001</v>
      </c>
    </row>
    <row r="823" spans="1:6">
      <c r="A823" s="11">
        <v>820</v>
      </c>
      <c r="B823">
        <v>1.1501319999999999</v>
      </c>
      <c r="C823">
        <v>1.3928309999999999</v>
      </c>
      <c r="D823">
        <v>1.5022180000000001</v>
      </c>
      <c r="E823">
        <v>0.127973</v>
      </c>
      <c r="F823">
        <v>0.23655999999999999</v>
      </c>
    </row>
    <row r="824" spans="1:6">
      <c r="A824" s="11">
        <v>821</v>
      </c>
      <c r="B824">
        <v>0.44873099999999999</v>
      </c>
      <c r="C824">
        <v>0.55916299999999997</v>
      </c>
      <c r="D824">
        <v>0.24038799999999999</v>
      </c>
      <c r="E824">
        <v>1.2566569999999999</v>
      </c>
      <c r="F824">
        <v>0.32312800000000003</v>
      </c>
    </row>
    <row r="825" spans="1:6">
      <c r="A825" s="11">
        <v>822</v>
      </c>
      <c r="B825">
        <v>0.67374000000000001</v>
      </c>
      <c r="C825">
        <v>1.817118</v>
      </c>
      <c r="D825">
        <v>0.28585100000000002</v>
      </c>
      <c r="E825">
        <v>0.408885</v>
      </c>
      <c r="F825">
        <v>11.023690999999999</v>
      </c>
    </row>
    <row r="826" spans="1:6">
      <c r="A826" s="11">
        <v>823</v>
      </c>
      <c r="B826">
        <v>1.9574450000000001</v>
      </c>
      <c r="C826">
        <v>2.4537270000000002</v>
      </c>
      <c r="D826">
        <v>4.1572180000000003</v>
      </c>
      <c r="E826">
        <v>0.79214499999999999</v>
      </c>
      <c r="F826">
        <v>0.12729299999999999</v>
      </c>
    </row>
    <row r="827" spans="1:6">
      <c r="A827" s="11">
        <v>824</v>
      </c>
      <c r="B827">
        <v>0.615726</v>
      </c>
      <c r="C827">
        <v>5.9449249999999996</v>
      </c>
      <c r="D827">
        <v>3.6521999999999999E-2</v>
      </c>
      <c r="E827">
        <v>0.94439899999999999</v>
      </c>
      <c r="F827">
        <v>9.6071000000000004E-2</v>
      </c>
    </row>
    <row r="828" spans="1:6">
      <c r="A828" s="11">
        <v>825</v>
      </c>
      <c r="B828">
        <v>1.0090490000000001</v>
      </c>
      <c r="C828">
        <v>4.9192349999999996</v>
      </c>
      <c r="D828">
        <v>5.290343</v>
      </c>
      <c r="E828">
        <v>0.14128199999999999</v>
      </c>
      <c r="F828">
        <v>0.40067900000000001</v>
      </c>
    </row>
    <row r="829" spans="1:6">
      <c r="A829" s="11">
        <v>826</v>
      </c>
      <c r="B829">
        <v>2.0666090000000001</v>
      </c>
      <c r="C829">
        <v>0.477275</v>
      </c>
      <c r="D829">
        <v>0.21626699999999999</v>
      </c>
      <c r="E829">
        <v>1.6327499999999999</v>
      </c>
      <c r="F829">
        <v>0.42106300000000002</v>
      </c>
    </row>
    <row r="830" spans="1:6">
      <c r="A830" s="11">
        <v>827</v>
      </c>
      <c r="B830">
        <v>1.8879159999999999</v>
      </c>
      <c r="C830">
        <v>0.20946100000000001</v>
      </c>
      <c r="D830">
        <v>2.1745040000000002</v>
      </c>
      <c r="E830">
        <v>1.6965429999999999</v>
      </c>
      <c r="F830">
        <v>1.1604429999999999</v>
      </c>
    </row>
    <row r="831" spans="1:6">
      <c r="A831" s="11">
        <v>828</v>
      </c>
      <c r="B831">
        <v>0.10483199999999999</v>
      </c>
      <c r="C831">
        <v>0.189474</v>
      </c>
      <c r="D831">
        <v>1.297301</v>
      </c>
      <c r="E831">
        <v>1.0513600000000001</v>
      </c>
      <c r="F831">
        <v>0.44681100000000001</v>
      </c>
    </row>
    <row r="832" spans="1:6">
      <c r="A832" s="11">
        <v>829</v>
      </c>
      <c r="B832">
        <v>0.52780099999999996</v>
      </c>
      <c r="C832">
        <v>15.198416</v>
      </c>
      <c r="D832">
        <v>1.0017210000000001</v>
      </c>
      <c r="E832">
        <v>0.347354</v>
      </c>
      <c r="F832">
        <v>5.5878999999999998E-2</v>
      </c>
    </row>
    <row r="833" spans="1:6">
      <c r="A833" s="11">
        <v>830</v>
      </c>
      <c r="B833">
        <v>0.26946700000000001</v>
      </c>
      <c r="C833">
        <v>1.0786199999999999</v>
      </c>
      <c r="D833">
        <v>1.978369</v>
      </c>
      <c r="E833">
        <v>0.96511599999999997</v>
      </c>
      <c r="F833">
        <v>1.0026170000000001</v>
      </c>
    </row>
    <row r="834" spans="1:6">
      <c r="A834" s="11">
        <v>831</v>
      </c>
      <c r="B834">
        <v>0.84797999999999996</v>
      </c>
      <c r="C834">
        <v>2.602916</v>
      </c>
      <c r="D834">
        <v>2.3068390000000001</v>
      </c>
      <c r="E834">
        <v>5.5363480000000003</v>
      </c>
      <c r="F834">
        <v>0.99926199999999998</v>
      </c>
    </row>
    <row r="835" spans="1:6">
      <c r="A835" s="11">
        <v>832</v>
      </c>
      <c r="B835">
        <v>0.170427</v>
      </c>
      <c r="C835">
        <v>0.33053199999999999</v>
      </c>
      <c r="D835">
        <v>2.1184180000000001</v>
      </c>
      <c r="E835">
        <v>0.91895099999999996</v>
      </c>
      <c r="F835">
        <v>5.2346170000000001</v>
      </c>
    </row>
    <row r="836" spans="1:6">
      <c r="A836" s="11">
        <v>833</v>
      </c>
      <c r="B836">
        <v>0.26042199999999999</v>
      </c>
      <c r="C836">
        <v>4.1294300000000002</v>
      </c>
      <c r="D836">
        <v>1.4233880000000001</v>
      </c>
      <c r="E836">
        <v>0.118598</v>
      </c>
      <c r="F836">
        <v>2.0373109999999999</v>
      </c>
    </row>
    <row r="837" spans="1:6">
      <c r="A837" s="11">
        <v>834</v>
      </c>
      <c r="B837">
        <v>1.2543070000000001</v>
      </c>
      <c r="C837">
        <v>0.45283499999999999</v>
      </c>
      <c r="D837">
        <v>1.6987019999999999</v>
      </c>
      <c r="E837">
        <v>0.69344399999999995</v>
      </c>
      <c r="F837">
        <v>5.8647049999999998</v>
      </c>
    </row>
    <row r="838" spans="1:6">
      <c r="A838" s="11">
        <v>835</v>
      </c>
      <c r="B838">
        <v>0.25067400000000001</v>
      </c>
      <c r="C838">
        <v>2.1071119999999999</v>
      </c>
      <c r="D838">
        <v>0.69881499999999996</v>
      </c>
      <c r="E838">
        <v>0.46304600000000001</v>
      </c>
      <c r="F838">
        <v>5.373799</v>
      </c>
    </row>
    <row r="839" spans="1:6">
      <c r="A839" s="11">
        <v>836</v>
      </c>
      <c r="B839">
        <v>0.58364400000000005</v>
      </c>
      <c r="C839">
        <v>0.23794299999999999</v>
      </c>
      <c r="D839">
        <v>2.421001</v>
      </c>
      <c r="E839">
        <v>1.039274</v>
      </c>
      <c r="F839">
        <v>8.8135169999999992</v>
      </c>
    </row>
    <row r="840" spans="1:6">
      <c r="A840" s="11">
        <v>837</v>
      </c>
      <c r="B840">
        <v>6.1699149999999996</v>
      </c>
      <c r="C840">
        <v>1.5860430000000001</v>
      </c>
      <c r="D840">
        <v>2.7462719999999998</v>
      </c>
      <c r="E840">
        <v>5.9728890000000003</v>
      </c>
      <c r="F840">
        <v>1.0366299999999999</v>
      </c>
    </row>
    <row r="841" spans="1:6">
      <c r="A841" s="11">
        <v>838</v>
      </c>
      <c r="B841">
        <v>1.951735</v>
      </c>
      <c r="C841">
        <v>0.53379900000000002</v>
      </c>
      <c r="D841">
        <v>2.1835390000000001</v>
      </c>
      <c r="E841">
        <v>0.56835800000000003</v>
      </c>
      <c r="F841">
        <v>0.42657600000000001</v>
      </c>
    </row>
    <row r="842" spans="1:6">
      <c r="A842" s="11">
        <v>839</v>
      </c>
      <c r="B842">
        <v>3.159491</v>
      </c>
      <c r="C842">
        <v>0.58035099999999995</v>
      </c>
      <c r="D842">
        <v>2.8502550000000002</v>
      </c>
      <c r="E842">
        <v>1.5991089999999999</v>
      </c>
      <c r="F842">
        <v>10.556934</v>
      </c>
    </row>
    <row r="843" spans="1:6">
      <c r="A843" s="11">
        <v>840</v>
      </c>
      <c r="B843">
        <v>0.443384</v>
      </c>
      <c r="C843">
        <v>9.0237999999999999E-2</v>
      </c>
      <c r="D843">
        <v>7.5392510000000001</v>
      </c>
      <c r="E843">
        <v>0.30340299999999998</v>
      </c>
      <c r="F843">
        <v>2.646468</v>
      </c>
    </row>
    <row r="844" spans="1:6">
      <c r="A844" s="11">
        <v>841</v>
      </c>
      <c r="B844">
        <v>0.72623300000000002</v>
      </c>
      <c r="C844">
        <v>1.523163</v>
      </c>
      <c r="D844">
        <v>2.7999800000000001</v>
      </c>
      <c r="E844">
        <v>0.57825099999999996</v>
      </c>
      <c r="F844">
        <v>1.7730669999999999</v>
      </c>
    </row>
    <row r="845" spans="1:6">
      <c r="A845" s="11">
        <v>842</v>
      </c>
      <c r="B845">
        <v>11.374623</v>
      </c>
      <c r="C845">
        <v>0.55379500000000004</v>
      </c>
      <c r="D845">
        <v>4.2805730000000004</v>
      </c>
      <c r="E845">
        <v>1.0565389999999999</v>
      </c>
      <c r="F845">
        <v>3.0809030000000002</v>
      </c>
    </row>
    <row r="846" spans="1:6">
      <c r="A846" s="11">
        <v>843</v>
      </c>
      <c r="B846">
        <v>2.2826949999999999</v>
      </c>
      <c r="C846">
        <v>0.84298200000000001</v>
      </c>
      <c r="D846">
        <v>2.5418370000000001</v>
      </c>
      <c r="E846">
        <v>2.8320880000000002</v>
      </c>
      <c r="F846">
        <v>0.56452199999999997</v>
      </c>
    </row>
    <row r="847" spans="1:6">
      <c r="A847" s="11">
        <v>844</v>
      </c>
      <c r="B847">
        <v>17.741130999999999</v>
      </c>
      <c r="C847">
        <v>4.1404699999999997</v>
      </c>
      <c r="D847">
        <v>0.54679199999999994</v>
      </c>
      <c r="E847">
        <v>13.356391</v>
      </c>
      <c r="F847">
        <v>9.4004220000000007</v>
      </c>
    </row>
    <row r="848" spans="1:6">
      <c r="A848" s="11">
        <v>845</v>
      </c>
      <c r="B848">
        <v>0.82010300000000003</v>
      </c>
      <c r="C848">
        <v>0.68276499999999996</v>
      </c>
      <c r="D848">
        <v>4.0584550000000004</v>
      </c>
      <c r="E848">
        <v>0.70709599999999995</v>
      </c>
      <c r="F848">
        <v>1.4462010000000001</v>
      </c>
    </row>
    <row r="849" spans="1:6">
      <c r="A849" s="11">
        <v>846</v>
      </c>
      <c r="B849">
        <v>1.9759979999999999</v>
      </c>
      <c r="C849">
        <v>0.88632</v>
      </c>
      <c r="D849">
        <v>0.139733</v>
      </c>
      <c r="E849">
        <v>0.34100200000000003</v>
      </c>
      <c r="F849">
        <v>1.945398</v>
      </c>
    </row>
    <row r="850" spans="1:6">
      <c r="A850" s="11">
        <v>847</v>
      </c>
      <c r="B850">
        <v>0.44943899999999998</v>
      </c>
      <c r="C850">
        <v>2.5789589999999998</v>
      </c>
      <c r="D850">
        <v>0.38458300000000001</v>
      </c>
      <c r="E850">
        <v>0.39724300000000001</v>
      </c>
      <c r="F850">
        <v>1.9688680000000001</v>
      </c>
    </row>
    <row r="851" spans="1:6">
      <c r="A851" s="11">
        <v>848</v>
      </c>
      <c r="B851">
        <v>0.78452599999999995</v>
      </c>
      <c r="C851">
        <v>22.352416999999999</v>
      </c>
      <c r="D851">
        <v>2.9600469999999999</v>
      </c>
      <c r="E851">
        <v>15.094504000000001</v>
      </c>
      <c r="F851">
        <v>1.125588</v>
      </c>
    </row>
    <row r="852" spans="1:6">
      <c r="A852" s="11">
        <v>849</v>
      </c>
      <c r="B852">
        <v>4.255312</v>
      </c>
      <c r="C852">
        <v>1.091785</v>
      </c>
      <c r="D852">
        <v>1.200285</v>
      </c>
      <c r="E852">
        <v>1.778119</v>
      </c>
      <c r="F852">
        <v>3.4655610000000001</v>
      </c>
    </row>
    <row r="853" spans="1:6">
      <c r="A853" s="11">
        <v>850</v>
      </c>
      <c r="B853">
        <v>14.316592999999999</v>
      </c>
      <c r="C853">
        <v>0.42497600000000002</v>
      </c>
      <c r="D853">
        <v>18.645962999999998</v>
      </c>
      <c r="E853">
        <v>8.9530340000000006</v>
      </c>
      <c r="F853">
        <v>0.24871199999999999</v>
      </c>
    </row>
    <row r="854" spans="1:6">
      <c r="A854" s="11">
        <v>851</v>
      </c>
      <c r="B854">
        <v>0.40899099999999999</v>
      </c>
      <c r="C854">
        <v>2.1988650000000001</v>
      </c>
      <c r="D854">
        <v>0.66356099999999996</v>
      </c>
      <c r="E854">
        <v>0.56014699999999995</v>
      </c>
      <c r="F854">
        <v>0.52884600000000004</v>
      </c>
    </row>
    <row r="855" spans="1:6">
      <c r="A855" s="11">
        <v>852</v>
      </c>
      <c r="B855">
        <v>0.28729199999999999</v>
      </c>
      <c r="C855">
        <v>3.808344</v>
      </c>
      <c r="D855">
        <v>2.974383</v>
      </c>
      <c r="E855">
        <v>11.205361999999999</v>
      </c>
      <c r="F855">
        <v>8.4882290000000005</v>
      </c>
    </row>
    <row r="856" spans="1:6">
      <c r="A856" s="11">
        <v>853</v>
      </c>
      <c r="B856">
        <v>0.90343600000000002</v>
      </c>
      <c r="C856">
        <v>0.56893300000000002</v>
      </c>
      <c r="D856">
        <v>3.6575039999999999</v>
      </c>
      <c r="E856">
        <v>0.54073000000000004</v>
      </c>
      <c r="F856">
        <v>1.179243</v>
      </c>
    </row>
    <row r="857" spans="1:6">
      <c r="A857" s="11">
        <v>854</v>
      </c>
      <c r="B857">
        <v>0.56748600000000005</v>
      </c>
      <c r="C857">
        <v>4.8333000000000004</v>
      </c>
      <c r="D857">
        <v>0.57478799999999997</v>
      </c>
      <c r="E857">
        <v>4.2796130000000003</v>
      </c>
      <c r="F857">
        <v>0.77354299999999998</v>
      </c>
    </row>
    <row r="858" spans="1:6">
      <c r="A858" s="11">
        <v>855</v>
      </c>
      <c r="B858">
        <v>1.661292</v>
      </c>
      <c r="C858">
        <v>2.1477520000000001</v>
      </c>
      <c r="D858">
        <v>0.39980599999999999</v>
      </c>
      <c r="E858">
        <v>1.9549449999999999</v>
      </c>
      <c r="F858">
        <v>0.32618599999999998</v>
      </c>
    </row>
    <row r="859" spans="1:6">
      <c r="A859" s="11">
        <v>856</v>
      </c>
      <c r="B859">
        <v>1.808837</v>
      </c>
      <c r="C859">
        <v>0.599634</v>
      </c>
      <c r="D859">
        <v>0.17827699999999999</v>
      </c>
      <c r="E859">
        <v>2.041096</v>
      </c>
      <c r="F859">
        <v>2.9445860000000001</v>
      </c>
    </row>
    <row r="860" spans="1:6">
      <c r="A860" s="11">
        <v>857</v>
      </c>
      <c r="B860">
        <v>1.70648</v>
      </c>
      <c r="C860">
        <v>0.77393299999999998</v>
      </c>
      <c r="D860">
        <v>5.1390029999999998</v>
      </c>
      <c r="E860">
        <v>4.6553110000000002</v>
      </c>
      <c r="F860">
        <v>2.435241</v>
      </c>
    </row>
    <row r="861" spans="1:6">
      <c r="A861" s="11">
        <v>858</v>
      </c>
      <c r="B861">
        <v>4.5353250000000003</v>
      </c>
      <c r="C861">
        <v>0.56030199999999997</v>
      </c>
      <c r="D861">
        <v>0.21252799999999999</v>
      </c>
      <c r="E861">
        <v>2.196717</v>
      </c>
      <c r="F861">
        <v>0.446048</v>
      </c>
    </row>
    <row r="862" spans="1:6">
      <c r="A862" s="11">
        <v>859</v>
      </c>
      <c r="B862">
        <v>0.352132</v>
      </c>
      <c r="C862">
        <v>0.57099999999999995</v>
      </c>
      <c r="D862">
        <v>1.7813099999999999</v>
      </c>
      <c r="E862">
        <v>7.4861449999999996</v>
      </c>
      <c r="F862">
        <v>0.64964599999999995</v>
      </c>
    </row>
    <row r="863" spans="1:6">
      <c r="A863" s="11">
        <v>860</v>
      </c>
      <c r="B863">
        <v>1.509056</v>
      </c>
      <c r="C863">
        <v>0.45154300000000003</v>
      </c>
      <c r="D863">
        <v>1.5189250000000001</v>
      </c>
      <c r="E863">
        <v>1.490853</v>
      </c>
      <c r="F863">
        <v>0.16223099999999999</v>
      </c>
    </row>
    <row r="864" spans="1:6">
      <c r="A864" s="11">
        <v>861</v>
      </c>
      <c r="B864">
        <v>0.48778500000000002</v>
      </c>
      <c r="C864">
        <v>11.264405999999999</v>
      </c>
      <c r="D864">
        <v>0.809674</v>
      </c>
      <c r="E864">
        <v>6.4352939999999998</v>
      </c>
      <c r="F864">
        <v>1.703087</v>
      </c>
    </row>
    <row r="865" spans="1:6">
      <c r="A865" s="11">
        <v>862</v>
      </c>
      <c r="B865">
        <v>1.2964770000000001</v>
      </c>
      <c r="C865">
        <v>0.16101299999999999</v>
      </c>
      <c r="D865">
        <v>1.8676950000000001</v>
      </c>
      <c r="E865">
        <v>3.625956</v>
      </c>
      <c r="F865">
        <v>0.72674899999999998</v>
      </c>
    </row>
    <row r="866" spans="1:6">
      <c r="A866" s="11">
        <v>863</v>
      </c>
      <c r="B866">
        <v>2.7953410000000001</v>
      </c>
      <c r="C866">
        <v>0.34825099999999998</v>
      </c>
      <c r="D866">
        <v>0.230322</v>
      </c>
      <c r="E866">
        <v>3.70886</v>
      </c>
      <c r="F866">
        <v>1.7962610000000001</v>
      </c>
    </row>
    <row r="867" spans="1:6">
      <c r="A867" s="11">
        <v>864</v>
      </c>
      <c r="B867">
        <v>2.2185130000000002</v>
      </c>
      <c r="C867">
        <v>0.12836</v>
      </c>
      <c r="D867">
        <v>6.8865129999999999</v>
      </c>
      <c r="E867">
        <v>0.31869399999999998</v>
      </c>
      <c r="F867">
        <v>1.102711</v>
      </c>
    </row>
    <row r="868" spans="1:6">
      <c r="A868" s="11">
        <v>865</v>
      </c>
      <c r="B868">
        <v>1.9055869999999999</v>
      </c>
      <c r="C868">
        <v>0.401783</v>
      </c>
      <c r="D868">
        <v>1.0609919999999999</v>
      </c>
      <c r="E868">
        <v>0.66046099999999996</v>
      </c>
      <c r="F868">
        <v>0.47628999999999999</v>
      </c>
    </row>
    <row r="869" spans="1:6">
      <c r="A869" s="11">
        <v>866</v>
      </c>
      <c r="B869">
        <v>0.64072099999999998</v>
      </c>
      <c r="C869">
        <v>4.1829599999999996</v>
      </c>
      <c r="D869">
        <v>5.036708</v>
      </c>
      <c r="E869">
        <v>6.7881999999999998E-2</v>
      </c>
      <c r="F869">
        <v>1.462313</v>
      </c>
    </row>
    <row r="870" spans="1:6">
      <c r="A870" s="11">
        <v>867</v>
      </c>
      <c r="B870">
        <v>0.60639500000000002</v>
      </c>
      <c r="C870">
        <v>0.38915499999999997</v>
      </c>
      <c r="D870">
        <v>0.42855100000000002</v>
      </c>
      <c r="E870">
        <v>0.34478199999999998</v>
      </c>
      <c r="F870">
        <v>4.0348540000000002</v>
      </c>
    </row>
    <row r="871" spans="1:6">
      <c r="A871" s="11">
        <v>868</v>
      </c>
      <c r="B871">
        <v>2.659198</v>
      </c>
      <c r="C871">
        <v>0.30105799999999999</v>
      </c>
      <c r="D871">
        <v>1.4187179999999999</v>
      </c>
      <c r="E871">
        <v>4.4709289999999999</v>
      </c>
      <c r="F871">
        <v>8.7918979999999998</v>
      </c>
    </row>
    <row r="872" spans="1:6">
      <c r="A872" s="11">
        <v>869</v>
      </c>
      <c r="B872">
        <v>1.161211</v>
      </c>
      <c r="C872">
        <v>1.1734340000000001</v>
      </c>
      <c r="D872">
        <v>0.265795</v>
      </c>
      <c r="E872">
        <v>2.2591589999999999</v>
      </c>
      <c r="F872">
        <v>0.18628</v>
      </c>
    </row>
    <row r="873" spans="1:6">
      <c r="A873" s="11">
        <v>870</v>
      </c>
      <c r="B873">
        <v>1.5781670000000001</v>
      </c>
      <c r="C873">
        <v>1.676555</v>
      </c>
      <c r="D873">
        <v>2.509744</v>
      </c>
      <c r="E873">
        <v>0.34235700000000002</v>
      </c>
      <c r="F873">
        <v>4.195557</v>
      </c>
    </row>
    <row r="874" spans="1:6">
      <c r="A874" s="11">
        <v>871</v>
      </c>
      <c r="B874">
        <v>0.32250000000000001</v>
      </c>
      <c r="C874">
        <v>0.35398600000000002</v>
      </c>
      <c r="D874">
        <v>1.0730869999999999</v>
      </c>
      <c r="E874">
        <v>2.4764680000000001</v>
      </c>
      <c r="F874">
        <v>1.9282779999999999</v>
      </c>
    </row>
    <row r="875" spans="1:6">
      <c r="A875" s="11">
        <v>872</v>
      </c>
      <c r="B875">
        <v>9.0672510000000006</v>
      </c>
      <c r="C875">
        <v>3.6925659999999998</v>
      </c>
      <c r="D875">
        <v>1.7678400000000001</v>
      </c>
      <c r="E875">
        <v>0.38507000000000002</v>
      </c>
      <c r="F875">
        <v>0.54692200000000002</v>
      </c>
    </row>
    <row r="876" spans="1:6">
      <c r="A876" s="11">
        <v>873</v>
      </c>
      <c r="B876">
        <v>1.5130410000000001</v>
      </c>
      <c r="C876">
        <v>0.35986099999999999</v>
      </c>
      <c r="D876">
        <v>0.29266799999999998</v>
      </c>
      <c r="E876">
        <v>6.5354169999999998</v>
      </c>
      <c r="F876">
        <v>0.61712</v>
      </c>
    </row>
    <row r="877" spans="1:6">
      <c r="A877" s="11">
        <v>874</v>
      </c>
      <c r="B877">
        <v>0.64732500000000004</v>
      </c>
      <c r="C877">
        <v>2.4171049999999998</v>
      </c>
      <c r="D877">
        <v>6.0026549999999999</v>
      </c>
      <c r="E877">
        <v>1.926358</v>
      </c>
      <c r="F877">
        <v>5.1160519999999998</v>
      </c>
    </row>
    <row r="878" spans="1:6">
      <c r="A878" s="11">
        <v>875</v>
      </c>
      <c r="B878">
        <v>0.46289599999999997</v>
      </c>
      <c r="C878">
        <v>3.8969170000000002</v>
      </c>
      <c r="D878">
        <v>4.0175539999999996</v>
      </c>
      <c r="E878">
        <v>2.8708659999999999</v>
      </c>
      <c r="F878">
        <v>0.86992400000000003</v>
      </c>
    </row>
    <row r="879" spans="1:6">
      <c r="A879" s="11">
        <v>876</v>
      </c>
      <c r="B879">
        <v>1.43245</v>
      </c>
      <c r="C879">
        <v>0.182643</v>
      </c>
      <c r="D879">
        <v>3.679465</v>
      </c>
      <c r="E879">
        <v>0.57356200000000002</v>
      </c>
      <c r="F879">
        <v>0.22256000000000001</v>
      </c>
    </row>
    <row r="880" spans="1:6">
      <c r="A880" s="11">
        <v>877</v>
      </c>
      <c r="B880">
        <v>6.1310000000000003E-2</v>
      </c>
      <c r="C880">
        <v>3.3304779999999998</v>
      </c>
      <c r="D880">
        <v>0.62132100000000001</v>
      </c>
      <c r="E880">
        <v>0.45122400000000001</v>
      </c>
      <c r="F880">
        <v>0.881054</v>
      </c>
    </row>
    <row r="881" spans="1:6">
      <c r="A881" s="11">
        <v>878</v>
      </c>
      <c r="B881">
        <v>0.122588</v>
      </c>
      <c r="C881">
        <v>0.78786400000000001</v>
      </c>
      <c r="D881">
        <v>0.19999</v>
      </c>
      <c r="E881">
        <v>1.2985910000000001</v>
      </c>
      <c r="F881">
        <v>4.7859759999999998</v>
      </c>
    </row>
    <row r="882" spans="1:6">
      <c r="A882" s="11">
        <v>879</v>
      </c>
      <c r="B882">
        <v>0.38252799999999998</v>
      </c>
      <c r="C882">
        <v>6.4088000000000006E-2</v>
      </c>
      <c r="D882">
        <v>0.42386699999999999</v>
      </c>
      <c r="E882">
        <v>0.64277300000000004</v>
      </c>
      <c r="F882">
        <v>0.66929499999999997</v>
      </c>
    </row>
    <row r="883" spans="1:6">
      <c r="A883" s="11">
        <v>880</v>
      </c>
      <c r="B883">
        <v>0.487481</v>
      </c>
      <c r="C883">
        <v>1.069955</v>
      </c>
      <c r="D883">
        <v>1.4479580000000001</v>
      </c>
      <c r="E883">
        <v>1.2070399999999999</v>
      </c>
      <c r="F883">
        <v>1.0689839999999999</v>
      </c>
    </row>
    <row r="884" spans="1:6">
      <c r="A884" s="11">
        <v>881</v>
      </c>
      <c r="B884">
        <v>0.86258900000000005</v>
      </c>
      <c r="C884">
        <v>0.51701699999999995</v>
      </c>
      <c r="D884">
        <v>1.6996720000000001</v>
      </c>
      <c r="E884">
        <v>0.51476900000000003</v>
      </c>
      <c r="F884">
        <v>0.200624</v>
      </c>
    </row>
    <row r="885" spans="1:6">
      <c r="A885" s="11">
        <v>882</v>
      </c>
      <c r="B885">
        <v>1.7234400000000001</v>
      </c>
      <c r="C885">
        <v>0.80126799999999998</v>
      </c>
      <c r="D885">
        <v>0.307836</v>
      </c>
      <c r="E885">
        <v>1.8693109999999999</v>
      </c>
      <c r="F885">
        <v>1.8656569999999999</v>
      </c>
    </row>
    <row r="886" spans="1:6">
      <c r="A886" s="11">
        <v>883</v>
      </c>
      <c r="B886">
        <v>2.375397</v>
      </c>
      <c r="C886">
        <v>0.38123699999999999</v>
      </c>
      <c r="D886">
        <v>0.33812799999999998</v>
      </c>
      <c r="E886">
        <v>0.67430999999999996</v>
      </c>
      <c r="F886">
        <v>0.97453500000000004</v>
      </c>
    </row>
    <row r="887" spans="1:6">
      <c r="A887" s="11">
        <v>884</v>
      </c>
      <c r="B887">
        <v>0.48567300000000002</v>
      </c>
      <c r="C887">
        <v>0.81088499999999997</v>
      </c>
      <c r="D887">
        <v>0.80262100000000003</v>
      </c>
      <c r="E887">
        <v>3.274397</v>
      </c>
      <c r="F887">
        <v>0.26476499999999997</v>
      </c>
    </row>
    <row r="888" spans="1:6">
      <c r="A888" s="11">
        <v>885</v>
      </c>
      <c r="B888">
        <v>2.9415930000000001</v>
      </c>
      <c r="C888">
        <v>0.98676799999999998</v>
      </c>
      <c r="D888">
        <v>4.1028219999999997</v>
      </c>
      <c r="E888">
        <v>3.7264560000000002</v>
      </c>
      <c r="F888">
        <v>0.57388099999999997</v>
      </c>
    </row>
    <row r="889" spans="1:6">
      <c r="A889" s="11">
        <v>886</v>
      </c>
      <c r="B889">
        <v>2.9399220000000001</v>
      </c>
      <c r="C889">
        <v>0.27024199999999998</v>
      </c>
      <c r="D889">
        <v>1.1833149999999999</v>
      </c>
      <c r="E889">
        <v>4.1804880000000004</v>
      </c>
      <c r="F889">
        <v>4.857863</v>
      </c>
    </row>
    <row r="890" spans="1:6">
      <c r="A890" s="11">
        <v>887</v>
      </c>
      <c r="B890">
        <v>0.62874600000000003</v>
      </c>
      <c r="C890">
        <v>0.81918000000000002</v>
      </c>
      <c r="D890">
        <v>0.92283999999999999</v>
      </c>
      <c r="E890">
        <v>0.67024799999999995</v>
      </c>
      <c r="F890">
        <v>0.389679</v>
      </c>
    </row>
    <row r="891" spans="1:6">
      <c r="A891" s="11">
        <v>888</v>
      </c>
      <c r="B891">
        <v>4.8750920000000004</v>
      </c>
      <c r="C891">
        <v>0.65058199999999999</v>
      </c>
      <c r="D891">
        <v>0.13736899999999999</v>
      </c>
      <c r="E891">
        <v>2.0013420000000002</v>
      </c>
      <c r="F891">
        <v>1.624954</v>
      </c>
    </row>
    <row r="892" spans="1:6">
      <c r="A892" s="11">
        <v>889</v>
      </c>
      <c r="B892">
        <v>0.171352</v>
      </c>
      <c r="C892">
        <v>0.54250799999999999</v>
      </c>
      <c r="D892">
        <v>0.16939599999999999</v>
      </c>
      <c r="E892">
        <v>2.0798800000000002</v>
      </c>
      <c r="F892">
        <v>3.5228950000000001</v>
      </c>
    </row>
    <row r="893" spans="1:6">
      <c r="A893" s="11">
        <v>890</v>
      </c>
      <c r="B893">
        <v>0.48611900000000002</v>
      </c>
      <c r="C893">
        <v>1.741913</v>
      </c>
      <c r="D893">
        <v>1.8766769999999999</v>
      </c>
      <c r="E893">
        <v>2.3791039999999999</v>
      </c>
      <c r="F893">
        <v>0.293153</v>
      </c>
    </row>
    <row r="894" spans="1:6">
      <c r="A894" s="11">
        <v>891</v>
      </c>
      <c r="B894">
        <v>1.0155160000000001</v>
      </c>
      <c r="C894">
        <v>1.421775</v>
      </c>
      <c r="D894">
        <v>0.49277399999999999</v>
      </c>
      <c r="E894">
        <v>2.4887069999999998</v>
      </c>
      <c r="F894">
        <v>1.230742</v>
      </c>
    </row>
    <row r="895" spans="1:6">
      <c r="A895" s="11">
        <v>892</v>
      </c>
      <c r="B895">
        <v>0.65013799999999999</v>
      </c>
      <c r="C895">
        <v>3.2808109999999999</v>
      </c>
      <c r="D895">
        <v>0.77632400000000001</v>
      </c>
      <c r="E895">
        <v>30.686353</v>
      </c>
      <c r="F895">
        <v>1.023199</v>
      </c>
    </row>
    <row r="896" spans="1:6">
      <c r="A896" s="11">
        <v>893</v>
      </c>
      <c r="B896">
        <v>6.4475519999999999</v>
      </c>
      <c r="C896">
        <v>14.468483000000001</v>
      </c>
      <c r="D896">
        <v>1.949017</v>
      </c>
      <c r="E896">
        <v>0.66618500000000003</v>
      </c>
      <c r="F896">
        <v>0.89169900000000002</v>
      </c>
    </row>
    <row r="897" spans="1:6">
      <c r="A897" s="11">
        <v>894</v>
      </c>
      <c r="B897">
        <v>1.3188530000000001</v>
      </c>
      <c r="C897">
        <v>0.89177700000000004</v>
      </c>
      <c r="D897">
        <v>0.61148000000000002</v>
      </c>
      <c r="E897">
        <v>2.1043310000000002</v>
      </c>
      <c r="F897">
        <v>0.14829500000000001</v>
      </c>
    </row>
    <row r="898" spans="1:6">
      <c r="A898" s="11">
        <v>895</v>
      </c>
      <c r="B898">
        <v>3.564527</v>
      </c>
      <c r="C898">
        <v>3.9432330000000002</v>
      </c>
      <c r="D898">
        <v>0.41003600000000001</v>
      </c>
      <c r="E898">
        <v>0.18663199999999999</v>
      </c>
      <c r="F898">
        <v>0.55696900000000005</v>
      </c>
    </row>
    <row r="899" spans="1:6">
      <c r="A899" s="11">
        <v>896</v>
      </c>
      <c r="B899">
        <v>0.29154799999999997</v>
      </c>
      <c r="C899">
        <v>1.3417399999999999</v>
      </c>
      <c r="D899">
        <v>0.25526300000000002</v>
      </c>
      <c r="E899">
        <v>5.7453609999999999</v>
      </c>
      <c r="F899">
        <v>6.8661E-2</v>
      </c>
    </row>
    <row r="900" spans="1:6">
      <c r="A900" s="11">
        <v>897</v>
      </c>
      <c r="B900">
        <v>0.89739000000000002</v>
      </c>
      <c r="C900">
        <v>2.1204519999999998</v>
      </c>
      <c r="D900">
        <v>1.6290789999999999</v>
      </c>
      <c r="E900">
        <v>0.364927</v>
      </c>
      <c r="F900">
        <v>0.75175499999999995</v>
      </c>
    </row>
    <row r="901" spans="1:6">
      <c r="A901" s="11">
        <v>898</v>
      </c>
      <c r="B901">
        <v>2.7876240000000001</v>
      </c>
      <c r="C901">
        <v>1.003177</v>
      </c>
      <c r="D901">
        <v>8.2115999999999995E-2</v>
      </c>
      <c r="E901">
        <v>0.41652800000000001</v>
      </c>
      <c r="F901">
        <v>1.6233390000000001</v>
      </c>
    </row>
    <row r="902" spans="1:6">
      <c r="A902" s="11">
        <v>899</v>
      </c>
      <c r="B902">
        <v>0.932064</v>
      </c>
      <c r="C902">
        <v>0.99784899999999999</v>
      </c>
      <c r="D902">
        <v>0.53351899999999997</v>
      </c>
      <c r="E902">
        <v>2.375057</v>
      </c>
      <c r="F902">
        <v>1.05369</v>
      </c>
    </row>
    <row r="903" spans="1:6">
      <c r="A903" s="11">
        <v>900</v>
      </c>
      <c r="B903">
        <v>4.2285979999999999</v>
      </c>
      <c r="C903">
        <v>0.31413200000000002</v>
      </c>
      <c r="D903">
        <v>7.219665</v>
      </c>
      <c r="E903">
        <v>4.0276969999999999</v>
      </c>
      <c r="F903">
        <v>4.8980069999999998</v>
      </c>
    </row>
    <row r="904" spans="1:6">
      <c r="A904" s="11">
        <v>901</v>
      </c>
      <c r="B904">
        <v>1.287167</v>
      </c>
      <c r="C904">
        <v>0.24817500000000001</v>
      </c>
      <c r="D904">
        <v>2.6206330000000002</v>
      </c>
      <c r="E904">
        <v>0.74810100000000002</v>
      </c>
      <c r="F904">
        <v>1.2131670000000001</v>
      </c>
    </row>
    <row r="905" spans="1:6">
      <c r="A905" s="11">
        <v>902</v>
      </c>
      <c r="B905">
        <v>4.5287449999999998</v>
      </c>
      <c r="C905">
        <v>1.064535</v>
      </c>
      <c r="D905">
        <v>1.36232</v>
      </c>
      <c r="E905">
        <v>1.445919</v>
      </c>
      <c r="F905">
        <v>4.3143840000000004</v>
      </c>
    </row>
    <row r="906" spans="1:6">
      <c r="A906" s="11">
        <v>903</v>
      </c>
      <c r="B906">
        <v>1.0488189999999999</v>
      </c>
      <c r="C906">
        <v>2.3090890000000002</v>
      </c>
      <c r="D906">
        <v>0.44250299999999998</v>
      </c>
      <c r="E906">
        <v>2.7605689999999998</v>
      </c>
      <c r="F906">
        <v>1.3306340000000001</v>
      </c>
    </row>
    <row r="907" spans="1:6">
      <c r="A907" s="11">
        <v>904</v>
      </c>
      <c r="B907">
        <v>0.73946400000000001</v>
      </c>
      <c r="C907">
        <v>0.99552799999999997</v>
      </c>
      <c r="D907">
        <v>0.77360499999999999</v>
      </c>
      <c r="E907">
        <v>4.1020880000000002</v>
      </c>
      <c r="F907">
        <v>0.76494799999999996</v>
      </c>
    </row>
    <row r="908" spans="1:6">
      <c r="A908" s="11">
        <v>905</v>
      </c>
      <c r="B908">
        <v>0.12542800000000001</v>
      </c>
      <c r="C908">
        <v>0.90490400000000004</v>
      </c>
      <c r="D908">
        <v>1.1148709999999999</v>
      </c>
      <c r="E908">
        <v>1.0479560000000001</v>
      </c>
      <c r="F908">
        <v>5.2623280000000001</v>
      </c>
    </row>
    <row r="909" spans="1:6">
      <c r="A909" s="11">
        <v>906</v>
      </c>
      <c r="B909">
        <v>0.37478699999999998</v>
      </c>
      <c r="C909">
        <v>0.39569399999999999</v>
      </c>
      <c r="D909">
        <v>1.7113080000000001</v>
      </c>
      <c r="E909">
        <v>5.4713399999999996</v>
      </c>
      <c r="F909">
        <v>0.95905899999999999</v>
      </c>
    </row>
    <row r="910" spans="1:6">
      <c r="A910" s="11">
        <v>907</v>
      </c>
      <c r="B910">
        <v>2.7293780000000001</v>
      </c>
      <c r="C910">
        <v>0.55549599999999999</v>
      </c>
      <c r="D910">
        <v>0.86116099999999995</v>
      </c>
      <c r="E910">
        <v>0.88312000000000002</v>
      </c>
      <c r="F910">
        <v>1.9162049999999999</v>
      </c>
    </row>
    <row r="911" spans="1:6">
      <c r="A911" s="11">
        <v>908</v>
      </c>
      <c r="B911">
        <v>0.47536</v>
      </c>
      <c r="C911">
        <v>0.73936100000000005</v>
      </c>
      <c r="D911">
        <v>0.36044100000000001</v>
      </c>
      <c r="E911">
        <v>2.3214269999999999</v>
      </c>
      <c r="F911">
        <v>5.1312530000000001</v>
      </c>
    </row>
    <row r="912" spans="1:6">
      <c r="A912" s="11">
        <v>909</v>
      </c>
      <c r="B912">
        <v>1.4409380000000001</v>
      </c>
      <c r="C912">
        <v>4.7052399999999999</v>
      </c>
      <c r="D912">
        <v>0.53819099999999997</v>
      </c>
      <c r="E912">
        <v>3.8945319999999999</v>
      </c>
      <c r="F912">
        <v>0.15332200000000001</v>
      </c>
    </row>
    <row r="913" spans="1:6">
      <c r="A913" s="11">
        <v>910</v>
      </c>
      <c r="B913">
        <v>0.49951499999999999</v>
      </c>
      <c r="C913">
        <v>2.6534759999999999</v>
      </c>
      <c r="D913">
        <v>0.24765999999999999</v>
      </c>
      <c r="E913">
        <v>1.6101259999999999</v>
      </c>
      <c r="F913">
        <v>0.55185899999999999</v>
      </c>
    </row>
    <row r="914" spans="1:6">
      <c r="A914" s="11">
        <v>911</v>
      </c>
      <c r="B914">
        <v>6.9485479999999997</v>
      </c>
      <c r="C914">
        <v>1.541801</v>
      </c>
      <c r="D914">
        <v>1.0584210000000001</v>
      </c>
      <c r="E914">
        <v>1.7129000000000001</v>
      </c>
      <c r="F914">
        <v>4.5074889999999996</v>
      </c>
    </row>
    <row r="915" spans="1:6">
      <c r="A915" s="11">
        <v>912</v>
      </c>
      <c r="B915">
        <v>0.93027000000000004</v>
      </c>
      <c r="C915">
        <v>0.65978599999999998</v>
      </c>
      <c r="D915">
        <v>5.9294180000000001</v>
      </c>
      <c r="E915">
        <v>0.655447</v>
      </c>
      <c r="F915">
        <v>0.39130900000000002</v>
      </c>
    </row>
    <row r="916" spans="1:6">
      <c r="A916" s="11">
        <v>913</v>
      </c>
      <c r="B916">
        <v>1.631381</v>
      </c>
      <c r="C916">
        <v>1.0088509999999999</v>
      </c>
      <c r="D916">
        <v>1.5632200000000001</v>
      </c>
      <c r="E916">
        <v>0.35752</v>
      </c>
      <c r="F916">
        <v>2.0377800000000001</v>
      </c>
    </row>
    <row r="917" spans="1:6">
      <c r="A917" s="11">
        <v>914</v>
      </c>
      <c r="B917">
        <v>0.41831200000000002</v>
      </c>
      <c r="C917">
        <v>0.26368900000000001</v>
      </c>
      <c r="D917">
        <v>0.439444</v>
      </c>
      <c r="E917">
        <v>0.21632199999999999</v>
      </c>
      <c r="F917">
        <v>0.89487099999999997</v>
      </c>
    </row>
    <row r="918" spans="1:6">
      <c r="A918" s="11">
        <v>915</v>
      </c>
      <c r="B918">
        <v>0.269285</v>
      </c>
      <c r="C918">
        <v>0.60315700000000005</v>
      </c>
      <c r="D918">
        <v>0.72155199999999997</v>
      </c>
      <c r="E918">
        <v>0.62661800000000001</v>
      </c>
      <c r="F918">
        <v>1.2868679999999999</v>
      </c>
    </row>
    <row r="919" spans="1:6">
      <c r="A919" s="11">
        <v>916</v>
      </c>
      <c r="B919">
        <v>1.5751919999999999</v>
      </c>
      <c r="C919">
        <v>4.2950689999999998</v>
      </c>
      <c r="D919">
        <v>3.6290659999999999</v>
      </c>
      <c r="E919">
        <v>3.162121</v>
      </c>
      <c r="F919">
        <v>12.494090999999999</v>
      </c>
    </row>
    <row r="920" spans="1:6">
      <c r="A920" s="11">
        <v>917</v>
      </c>
      <c r="B920">
        <v>1.408255</v>
      </c>
      <c r="C920">
        <v>0.18499499999999999</v>
      </c>
      <c r="D920">
        <v>0.41874099999999997</v>
      </c>
      <c r="E920">
        <v>5.5995650000000001</v>
      </c>
      <c r="F920">
        <v>1.2620530000000001</v>
      </c>
    </row>
    <row r="921" spans="1:6">
      <c r="A921" s="11">
        <v>918</v>
      </c>
      <c r="B921">
        <v>4.1203799999999999</v>
      </c>
      <c r="C921">
        <v>0.40335300000000002</v>
      </c>
      <c r="D921">
        <v>4.7446619999999999</v>
      </c>
      <c r="E921">
        <v>0.40899099999999999</v>
      </c>
      <c r="F921">
        <v>1.291846</v>
      </c>
    </row>
    <row r="922" spans="1:6">
      <c r="A922" s="11">
        <v>919</v>
      </c>
      <c r="B922">
        <v>2.061582</v>
      </c>
      <c r="C922">
        <v>0.86136400000000002</v>
      </c>
      <c r="D922">
        <v>1.1224209999999999</v>
      </c>
      <c r="E922">
        <v>0.99348099999999995</v>
      </c>
      <c r="F922">
        <v>2.1149629999999999</v>
      </c>
    </row>
    <row r="923" spans="1:6">
      <c r="A923" s="11">
        <v>920</v>
      </c>
      <c r="B923">
        <v>3.0373160000000001</v>
      </c>
      <c r="C923">
        <v>0.66280099999999997</v>
      </c>
      <c r="D923">
        <v>0.71663399999999999</v>
      </c>
      <c r="E923">
        <v>0.28432200000000002</v>
      </c>
      <c r="F923">
        <v>3.5178370000000001</v>
      </c>
    </row>
    <row r="924" spans="1:6">
      <c r="A924" s="11">
        <v>921</v>
      </c>
      <c r="B924">
        <v>3.6675629999999999</v>
      </c>
      <c r="C924">
        <v>1.901834</v>
      </c>
      <c r="D924">
        <v>0.98957499999999998</v>
      </c>
      <c r="E924">
        <v>1.0693360000000001</v>
      </c>
      <c r="F924">
        <v>2.5672169999999999</v>
      </c>
    </row>
    <row r="925" spans="1:6">
      <c r="A925" s="11">
        <v>922</v>
      </c>
      <c r="B925">
        <v>2.80524</v>
      </c>
      <c r="C925">
        <v>0.72383200000000003</v>
      </c>
      <c r="D925">
        <v>7.2587149999999996</v>
      </c>
      <c r="E925">
        <v>1.9934769999999999</v>
      </c>
      <c r="F925">
        <v>0.22808</v>
      </c>
    </row>
    <row r="926" spans="1:6">
      <c r="A926" s="11">
        <v>923</v>
      </c>
      <c r="B926">
        <v>3.8193229999999998</v>
      </c>
      <c r="C926">
        <v>0.79853799999999997</v>
      </c>
      <c r="D926">
        <v>0.284028</v>
      </c>
      <c r="E926">
        <v>4.4452949999999998</v>
      </c>
      <c r="F926">
        <v>1.025401</v>
      </c>
    </row>
    <row r="927" spans="1:6">
      <c r="A927" s="11">
        <v>924</v>
      </c>
      <c r="B927">
        <v>0.35748000000000002</v>
      </c>
      <c r="C927">
        <v>1.004375</v>
      </c>
      <c r="D927">
        <v>1.104144</v>
      </c>
      <c r="E927">
        <v>10.722966</v>
      </c>
      <c r="F927">
        <v>0.117698</v>
      </c>
    </row>
    <row r="928" spans="1:6">
      <c r="A928" s="11">
        <v>925</v>
      </c>
      <c r="B928">
        <v>0.53258700000000003</v>
      </c>
      <c r="C928">
        <v>0.630135</v>
      </c>
      <c r="D928">
        <v>0.34882999999999997</v>
      </c>
      <c r="E928">
        <v>0.41456300000000001</v>
      </c>
      <c r="F928">
        <v>1.572748</v>
      </c>
    </row>
    <row r="929" spans="1:6">
      <c r="A929" s="11">
        <v>926</v>
      </c>
      <c r="B929">
        <v>1.6945490000000001</v>
      </c>
      <c r="C929">
        <v>1.241733</v>
      </c>
      <c r="D929">
        <v>0.73113799999999995</v>
      </c>
      <c r="E929">
        <v>1.2889219999999999</v>
      </c>
      <c r="F929">
        <v>2.661435</v>
      </c>
    </row>
    <row r="930" spans="1:6">
      <c r="A930" s="11">
        <v>927</v>
      </c>
      <c r="B930">
        <v>1.18763</v>
      </c>
      <c r="C930">
        <v>0.33897899999999997</v>
      </c>
      <c r="D930">
        <v>0.82981799999999994</v>
      </c>
      <c r="E930">
        <v>0.15502299999999999</v>
      </c>
      <c r="F930">
        <v>0.94332700000000003</v>
      </c>
    </row>
    <row r="931" spans="1:6">
      <c r="A931" s="11">
        <v>928</v>
      </c>
      <c r="B931">
        <v>1.4627520000000001</v>
      </c>
      <c r="C931">
        <v>0.116607</v>
      </c>
      <c r="D931">
        <v>2.6707960000000002</v>
      </c>
      <c r="E931">
        <v>3.2951809999999999</v>
      </c>
      <c r="F931">
        <v>1.6298140000000001</v>
      </c>
    </row>
    <row r="932" spans="1:6">
      <c r="A932" s="11">
        <v>929</v>
      </c>
      <c r="B932">
        <v>0.419684</v>
      </c>
      <c r="C932">
        <v>1.589796</v>
      </c>
      <c r="D932">
        <v>1.4588179999999999</v>
      </c>
      <c r="E932">
        <v>0.37527100000000002</v>
      </c>
      <c r="F932">
        <v>2.302943</v>
      </c>
    </row>
    <row r="933" spans="1:6">
      <c r="A933" s="11">
        <v>930</v>
      </c>
      <c r="B933">
        <v>0.79635800000000001</v>
      </c>
      <c r="C933">
        <v>0.64876199999999995</v>
      </c>
      <c r="D933">
        <v>0.59754300000000005</v>
      </c>
      <c r="E933">
        <v>0.85611999999999999</v>
      </c>
      <c r="F933">
        <v>0.24415999999999999</v>
      </c>
    </row>
    <row r="934" spans="1:6">
      <c r="A934" s="11">
        <v>931</v>
      </c>
      <c r="B934">
        <v>0.13741800000000001</v>
      </c>
      <c r="C934">
        <v>0.58305099999999999</v>
      </c>
      <c r="D934">
        <v>0.38551299999999999</v>
      </c>
      <c r="E934">
        <v>0.53790499999999997</v>
      </c>
      <c r="F934">
        <v>22.444434000000001</v>
      </c>
    </row>
    <row r="935" spans="1:6">
      <c r="A935" s="11">
        <v>932</v>
      </c>
      <c r="B935">
        <v>0.74830099999999999</v>
      </c>
      <c r="C935">
        <v>0.57742599999999999</v>
      </c>
      <c r="D935">
        <v>9.3696000000000002E-2</v>
      </c>
      <c r="E935">
        <v>0.73114199999999996</v>
      </c>
      <c r="F935">
        <v>1.254076</v>
      </c>
    </row>
    <row r="936" spans="1:6">
      <c r="A936" s="11">
        <v>933</v>
      </c>
      <c r="B936">
        <v>0.86421300000000001</v>
      </c>
      <c r="C936">
        <v>1.2240949999999999</v>
      </c>
      <c r="D936">
        <v>1.832468</v>
      </c>
      <c r="E936">
        <v>4.8461749999999997</v>
      </c>
      <c r="F936">
        <v>0.54158099999999998</v>
      </c>
    </row>
    <row r="937" spans="1:6">
      <c r="A937" s="11">
        <v>934</v>
      </c>
      <c r="B937">
        <v>2.4207709999999998</v>
      </c>
      <c r="C937">
        <v>1.219654</v>
      </c>
      <c r="D937">
        <v>2.7041940000000002</v>
      </c>
      <c r="E937">
        <v>0.78552599999999995</v>
      </c>
      <c r="F937">
        <v>3.6345890000000001</v>
      </c>
    </row>
    <row r="938" spans="1:6">
      <c r="A938" s="11">
        <v>935</v>
      </c>
      <c r="B938">
        <v>3.0050680000000001</v>
      </c>
      <c r="C938">
        <v>0.104897</v>
      </c>
      <c r="D938">
        <v>4.4922300000000002</v>
      </c>
      <c r="E938">
        <v>0.80083199999999999</v>
      </c>
      <c r="F938">
        <v>9.5977180000000004</v>
      </c>
    </row>
    <row r="939" spans="1:6">
      <c r="A939" s="11">
        <v>936</v>
      </c>
      <c r="B939">
        <v>1.7443930000000001</v>
      </c>
      <c r="C939">
        <v>0.71703099999999997</v>
      </c>
      <c r="D939">
        <v>0.151757</v>
      </c>
      <c r="E939">
        <v>0.53336300000000003</v>
      </c>
      <c r="F939">
        <v>0.56133599999999995</v>
      </c>
    </row>
    <row r="940" spans="1:6">
      <c r="A940" s="11">
        <v>937</v>
      </c>
      <c r="B940">
        <v>0.91314499999999998</v>
      </c>
      <c r="C940">
        <v>0.51635900000000001</v>
      </c>
      <c r="D940">
        <v>0.20488000000000001</v>
      </c>
      <c r="E940">
        <v>1.786351</v>
      </c>
      <c r="F940">
        <v>1.159856</v>
      </c>
    </row>
    <row r="941" spans="1:6">
      <c r="A941" s="11">
        <v>938</v>
      </c>
      <c r="B941">
        <v>0.56527000000000005</v>
      </c>
      <c r="C941">
        <v>0.16248199999999999</v>
      </c>
      <c r="D941">
        <v>9.1852789999999995</v>
      </c>
      <c r="E941">
        <v>1.474583</v>
      </c>
      <c r="F941">
        <v>0.10143000000000001</v>
      </c>
    </row>
    <row r="942" spans="1:6">
      <c r="A942" s="11">
        <v>939</v>
      </c>
      <c r="B942">
        <v>4.6632160000000002</v>
      </c>
      <c r="C942">
        <v>0.75836800000000004</v>
      </c>
      <c r="D942">
        <v>0.30614200000000003</v>
      </c>
      <c r="E942">
        <v>0.72207600000000005</v>
      </c>
      <c r="F942">
        <v>5.6726549999999998</v>
      </c>
    </row>
    <row r="943" spans="1:6">
      <c r="A943" s="11">
        <v>940</v>
      </c>
      <c r="B943">
        <v>0.60948199999999997</v>
      </c>
      <c r="C943">
        <v>0.22256500000000001</v>
      </c>
      <c r="D943">
        <v>0.71265999999999996</v>
      </c>
      <c r="E943">
        <v>0.25030599999999997</v>
      </c>
      <c r="F943">
        <v>1.0024580000000001</v>
      </c>
    </row>
    <row r="944" spans="1:6">
      <c r="A944" s="11">
        <v>941</v>
      </c>
      <c r="B944">
        <v>1.4269959999999999</v>
      </c>
      <c r="C944">
        <v>0.63661100000000004</v>
      </c>
      <c r="D944">
        <v>0.184915</v>
      </c>
      <c r="E944">
        <v>2.2383039999999998</v>
      </c>
      <c r="F944">
        <v>0.19177900000000001</v>
      </c>
    </row>
    <row r="945" spans="1:6">
      <c r="A945" s="11">
        <v>942</v>
      </c>
      <c r="B945">
        <v>0.97325899999999999</v>
      </c>
      <c r="C945">
        <v>10.724252999999999</v>
      </c>
      <c r="D945">
        <v>0.84282400000000002</v>
      </c>
      <c r="E945">
        <v>0.29382999999999998</v>
      </c>
      <c r="F945">
        <v>0.64793400000000001</v>
      </c>
    </row>
    <row r="946" spans="1:6">
      <c r="A946" s="11">
        <v>943</v>
      </c>
      <c r="B946">
        <v>0.45578299999999999</v>
      </c>
      <c r="C946">
        <v>2.9815800000000001</v>
      </c>
      <c r="D946">
        <v>0.74107100000000004</v>
      </c>
      <c r="E946">
        <v>0.40508899999999998</v>
      </c>
      <c r="F946">
        <v>1.2741180000000001</v>
      </c>
    </row>
    <row r="947" spans="1:6">
      <c r="A947" s="11">
        <v>944</v>
      </c>
      <c r="B947">
        <v>0.64673400000000003</v>
      </c>
      <c r="C947">
        <v>1.058692</v>
      </c>
      <c r="D947">
        <v>2.2492740000000002</v>
      </c>
      <c r="E947">
        <v>0.36732399999999998</v>
      </c>
      <c r="F947">
        <v>3.1427459999999998</v>
      </c>
    </row>
    <row r="948" spans="1:6">
      <c r="A948" s="11">
        <v>945</v>
      </c>
      <c r="B948">
        <v>1.3006960000000001</v>
      </c>
      <c r="C948">
        <v>0.55543399999999998</v>
      </c>
      <c r="D948">
        <v>0.38186399999999998</v>
      </c>
      <c r="E948">
        <v>3.8680029999999999</v>
      </c>
      <c r="F948">
        <v>0.17266899999999999</v>
      </c>
    </row>
    <row r="949" spans="1:6">
      <c r="A949" s="11">
        <v>946</v>
      </c>
      <c r="B949">
        <v>1.4827159999999999</v>
      </c>
      <c r="C949">
        <v>0.59051299999999995</v>
      </c>
      <c r="D949">
        <v>0.38559900000000003</v>
      </c>
      <c r="E949">
        <v>3.9594969999999998</v>
      </c>
      <c r="F949">
        <v>1.10663</v>
      </c>
    </row>
    <row r="950" spans="1:6">
      <c r="A950" s="11">
        <v>947</v>
      </c>
      <c r="B950">
        <v>0.68954499999999996</v>
      </c>
      <c r="C950">
        <v>9.6795000000000006E-2</v>
      </c>
      <c r="D950">
        <v>2.4942410000000002</v>
      </c>
      <c r="E950">
        <v>2.0238269999999998</v>
      </c>
      <c r="F950">
        <v>0.25358599999999998</v>
      </c>
    </row>
    <row r="951" spans="1:6">
      <c r="A951" s="11">
        <v>948</v>
      </c>
      <c r="B951">
        <v>0.656501</v>
      </c>
      <c r="C951">
        <v>1.3307059999999999</v>
      </c>
      <c r="D951">
        <v>0.30382300000000001</v>
      </c>
      <c r="E951">
        <v>0.85348500000000005</v>
      </c>
      <c r="F951">
        <v>1.971911</v>
      </c>
    </row>
    <row r="952" spans="1:6">
      <c r="A952" s="11">
        <v>949</v>
      </c>
      <c r="B952">
        <v>4.3919370000000004</v>
      </c>
      <c r="C952">
        <v>1.2305010000000001</v>
      </c>
      <c r="D952">
        <v>0.805558</v>
      </c>
      <c r="E952">
        <v>1.6057049999999999</v>
      </c>
      <c r="F952">
        <v>0.88402400000000003</v>
      </c>
    </row>
    <row r="953" spans="1:6">
      <c r="A953" s="11">
        <v>950</v>
      </c>
      <c r="B953">
        <v>4.0676999999999998E-2</v>
      </c>
      <c r="C953">
        <v>1.166164</v>
      </c>
      <c r="D953">
        <v>2.4047450000000001</v>
      </c>
      <c r="E953">
        <v>1.6638679999999999</v>
      </c>
      <c r="F953">
        <v>2.3361390000000002</v>
      </c>
    </row>
    <row r="954" spans="1:6">
      <c r="A954" s="11">
        <v>951</v>
      </c>
      <c r="B954">
        <v>0.15553900000000001</v>
      </c>
      <c r="C954">
        <v>5.9770089999999998</v>
      </c>
      <c r="D954">
        <v>0.864842</v>
      </c>
      <c r="E954">
        <v>1.2094069999999999</v>
      </c>
      <c r="F954">
        <v>0.93620099999999995</v>
      </c>
    </row>
    <row r="955" spans="1:6">
      <c r="A955" s="11">
        <v>952</v>
      </c>
      <c r="B955">
        <v>0.73825499999999999</v>
      </c>
      <c r="C955">
        <v>1.6084849999999999</v>
      </c>
      <c r="D955">
        <v>1.22523</v>
      </c>
      <c r="E955">
        <v>1.59748</v>
      </c>
      <c r="F955">
        <v>1.9410210000000001</v>
      </c>
    </row>
    <row r="956" spans="1:6">
      <c r="A956" s="11">
        <v>953</v>
      </c>
      <c r="B956">
        <v>0.30356899999999998</v>
      </c>
      <c r="C956">
        <v>0.63533700000000004</v>
      </c>
      <c r="D956">
        <v>0.375666</v>
      </c>
      <c r="E956">
        <v>1.30613</v>
      </c>
      <c r="F956">
        <v>8.3999369999999995</v>
      </c>
    </row>
    <row r="957" spans="1:6">
      <c r="A957" s="11">
        <v>954</v>
      </c>
      <c r="B957">
        <v>3.9090129999999998</v>
      </c>
      <c r="C957">
        <v>0.78245100000000001</v>
      </c>
      <c r="D957">
        <v>1.873122</v>
      </c>
      <c r="E957">
        <v>3.8993679999999999</v>
      </c>
      <c r="F957">
        <v>3.867756</v>
      </c>
    </row>
    <row r="958" spans="1:6">
      <c r="A958" s="11">
        <v>955</v>
      </c>
      <c r="B958">
        <v>0.29734100000000002</v>
      </c>
      <c r="C958">
        <v>8.0332000000000001E-2</v>
      </c>
      <c r="D958">
        <v>0.44318099999999999</v>
      </c>
      <c r="E958">
        <v>1.2573220000000001</v>
      </c>
      <c r="F958">
        <v>4.3480879999999997</v>
      </c>
    </row>
    <row r="959" spans="1:6">
      <c r="A959" s="11">
        <v>956</v>
      </c>
      <c r="B959">
        <v>1.424723</v>
      </c>
      <c r="C959">
        <v>0.97616499999999995</v>
      </c>
      <c r="D959">
        <v>7.3911000000000004E-2</v>
      </c>
      <c r="E959">
        <v>9.3374659999999992</v>
      </c>
      <c r="F959">
        <v>0.184811</v>
      </c>
    </row>
    <row r="960" spans="1:6">
      <c r="A960" s="11">
        <v>957</v>
      </c>
      <c r="B960">
        <v>3.7808700000000002</v>
      </c>
      <c r="C960">
        <v>0.57226999999999995</v>
      </c>
      <c r="D960">
        <v>0.21281</v>
      </c>
      <c r="E960">
        <v>1.48167</v>
      </c>
      <c r="F960">
        <v>0.364284</v>
      </c>
    </row>
    <row r="961" spans="1:6">
      <c r="A961" s="11">
        <v>958</v>
      </c>
      <c r="B961">
        <v>1.2579739999999999</v>
      </c>
      <c r="C961">
        <v>8.4178000000000003E-2</v>
      </c>
      <c r="D961">
        <v>1.4527270000000001</v>
      </c>
      <c r="E961">
        <v>0.47448600000000002</v>
      </c>
      <c r="F961">
        <v>0.49617800000000001</v>
      </c>
    </row>
    <row r="962" spans="1:6">
      <c r="A962" s="11">
        <v>959</v>
      </c>
      <c r="B962">
        <v>0.65693999999999997</v>
      </c>
      <c r="C962">
        <v>3.8968000000000003E-2</v>
      </c>
      <c r="D962">
        <v>1.761404</v>
      </c>
      <c r="E962">
        <v>1.662463</v>
      </c>
      <c r="F962">
        <v>5.2971890000000004</v>
      </c>
    </row>
    <row r="963" spans="1:6">
      <c r="A963" s="11">
        <v>960</v>
      </c>
      <c r="B963">
        <v>0.33030300000000001</v>
      </c>
      <c r="C963">
        <v>0.55062199999999994</v>
      </c>
      <c r="D963">
        <v>0.87318899999999999</v>
      </c>
      <c r="E963">
        <v>1.455667</v>
      </c>
      <c r="F963">
        <v>0.90563000000000005</v>
      </c>
    </row>
    <row r="964" spans="1:6">
      <c r="A964" s="11">
        <v>961</v>
      </c>
      <c r="B964">
        <v>2.2082000000000001E-2</v>
      </c>
      <c r="C964">
        <v>5.5102029999999997</v>
      </c>
      <c r="D964">
        <v>0.169824</v>
      </c>
      <c r="E964">
        <v>5.7493679999999996</v>
      </c>
      <c r="F964">
        <v>0.49540200000000001</v>
      </c>
    </row>
    <row r="965" spans="1:6">
      <c r="A965" s="11">
        <v>962</v>
      </c>
      <c r="B965">
        <v>0.909972</v>
      </c>
      <c r="C965">
        <v>1.0223530000000001</v>
      </c>
      <c r="D965">
        <v>1.3290459999999999</v>
      </c>
      <c r="E965">
        <v>0.78598800000000002</v>
      </c>
      <c r="F965">
        <v>1.2028270000000001</v>
      </c>
    </row>
    <row r="966" spans="1:6">
      <c r="A966" s="11">
        <v>963</v>
      </c>
      <c r="B966">
        <v>1.594346</v>
      </c>
      <c r="C966">
        <v>0.31107099999999999</v>
      </c>
      <c r="D966">
        <v>3.3362370000000001</v>
      </c>
      <c r="E966">
        <v>0.87873000000000001</v>
      </c>
      <c r="F966">
        <v>0.35846600000000001</v>
      </c>
    </row>
    <row r="967" spans="1:6">
      <c r="A967" s="11">
        <v>964</v>
      </c>
      <c r="B967">
        <v>7.7144170000000001</v>
      </c>
      <c r="C967">
        <v>1.5324260000000001</v>
      </c>
      <c r="D967">
        <v>0.27001500000000001</v>
      </c>
      <c r="E967">
        <v>3.2168600000000001</v>
      </c>
      <c r="F967">
        <v>1.0016700000000001</v>
      </c>
    </row>
    <row r="968" spans="1:6">
      <c r="A968" s="11">
        <v>965</v>
      </c>
      <c r="B968">
        <v>7.1435430000000002</v>
      </c>
      <c r="C968">
        <v>2.6581980000000001</v>
      </c>
      <c r="D968">
        <v>2.0309460000000001</v>
      </c>
      <c r="E968">
        <v>2.4963709999999999</v>
      </c>
      <c r="F968">
        <v>0.49848399999999998</v>
      </c>
    </row>
    <row r="969" spans="1:6">
      <c r="A969" s="11">
        <v>966</v>
      </c>
      <c r="B969">
        <v>0.62745600000000001</v>
      </c>
      <c r="C969">
        <v>1.0059849999999999</v>
      </c>
      <c r="D969">
        <v>1.5453429999999999</v>
      </c>
      <c r="E969">
        <v>0.44820199999999999</v>
      </c>
      <c r="F969">
        <v>16.737624</v>
      </c>
    </row>
    <row r="970" spans="1:6">
      <c r="A970" s="11">
        <v>967</v>
      </c>
      <c r="B970">
        <v>0.26081399999999999</v>
      </c>
      <c r="C970">
        <v>1.0953649999999999</v>
      </c>
      <c r="D970">
        <v>0.50454600000000005</v>
      </c>
      <c r="E970">
        <v>0.74003600000000003</v>
      </c>
      <c r="F970">
        <v>1.3772580000000001</v>
      </c>
    </row>
    <row r="971" spans="1:6">
      <c r="A971" s="11">
        <v>968</v>
      </c>
      <c r="B971">
        <v>1.2410330000000001</v>
      </c>
      <c r="C971">
        <v>0.28931499999999999</v>
      </c>
      <c r="D971">
        <v>0.55435500000000004</v>
      </c>
      <c r="E971">
        <v>0.39944000000000002</v>
      </c>
      <c r="F971">
        <v>6.0642459999999998</v>
      </c>
    </row>
    <row r="972" spans="1:6">
      <c r="A972" s="11">
        <v>969</v>
      </c>
      <c r="B972">
        <v>1.4768539999999999</v>
      </c>
      <c r="C972">
        <v>0.87448700000000001</v>
      </c>
      <c r="D972">
        <v>1.4619709999999999</v>
      </c>
      <c r="E972">
        <v>1.2235419999999999</v>
      </c>
      <c r="F972">
        <v>0.53696600000000005</v>
      </c>
    </row>
    <row r="973" spans="1:6">
      <c r="A973" s="11">
        <v>970</v>
      </c>
      <c r="B973">
        <v>0.21191499999999999</v>
      </c>
      <c r="C973">
        <v>0.40041199999999999</v>
      </c>
      <c r="D973">
        <v>6.6739920000000001</v>
      </c>
      <c r="E973">
        <v>0.57660999999999996</v>
      </c>
      <c r="F973">
        <v>0.10007000000000001</v>
      </c>
    </row>
    <row r="974" spans="1:6">
      <c r="A974" s="11">
        <v>971</v>
      </c>
      <c r="B974">
        <v>2.0604629999999999</v>
      </c>
      <c r="C974">
        <v>4.1565999999999999E-2</v>
      </c>
      <c r="D974">
        <v>4.0215000000000001E-2</v>
      </c>
      <c r="E974">
        <v>0.58489500000000005</v>
      </c>
      <c r="F974">
        <v>1.502229</v>
      </c>
    </row>
    <row r="975" spans="1:6">
      <c r="A975" s="11">
        <v>972</v>
      </c>
      <c r="B975">
        <v>0.98027600000000004</v>
      </c>
      <c r="C975">
        <v>1.056468</v>
      </c>
      <c r="D975">
        <v>0.145397</v>
      </c>
      <c r="E975">
        <v>1.2152510000000001</v>
      </c>
      <c r="F975">
        <v>5.7271859999999997</v>
      </c>
    </row>
    <row r="976" spans="1:6">
      <c r="A976" s="11">
        <v>973</v>
      </c>
      <c r="B976">
        <v>1.091709</v>
      </c>
      <c r="C976">
        <v>0.14311699999999999</v>
      </c>
      <c r="D976">
        <v>2.2201080000000002</v>
      </c>
      <c r="E976">
        <v>0.31665700000000002</v>
      </c>
      <c r="F976">
        <v>1.732513</v>
      </c>
    </row>
    <row r="977" spans="1:6">
      <c r="A977" s="11">
        <v>974</v>
      </c>
      <c r="B977">
        <v>1.417767</v>
      </c>
      <c r="C977">
        <v>1.270575</v>
      </c>
      <c r="D977">
        <v>1.01112</v>
      </c>
      <c r="E977">
        <v>2.5895069999999998</v>
      </c>
      <c r="F977">
        <v>0.489452</v>
      </c>
    </row>
    <row r="978" spans="1:6">
      <c r="A978" s="11">
        <v>975</v>
      </c>
      <c r="B978">
        <v>2.154299</v>
      </c>
      <c r="C978">
        <v>2.1508750000000001</v>
      </c>
      <c r="D978">
        <v>4.196491</v>
      </c>
      <c r="E978">
        <v>2.1259540000000001</v>
      </c>
      <c r="F978">
        <v>0.26808199999999999</v>
      </c>
    </row>
    <row r="979" spans="1:6">
      <c r="A979" s="11">
        <v>976</v>
      </c>
      <c r="B979">
        <v>3.1049920000000002</v>
      </c>
      <c r="C979">
        <v>0.29067799999999999</v>
      </c>
      <c r="D979">
        <v>3.23088</v>
      </c>
      <c r="E979">
        <v>0.41745199999999999</v>
      </c>
      <c r="F979">
        <v>5.7928E-2</v>
      </c>
    </row>
    <row r="980" spans="1:6">
      <c r="A980" s="11">
        <v>977</v>
      </c>
      <c r="B980">
        <v>0.20465800000000001</v>
      </c>
      <c r="C980">
        <v>1.126261</v>
      </c>
      <c r="D980">
        <v>2.8704740000000002</v>
      </c>
      <c r="E980">
        <v>0.961121</v>
      </c>
      <c r="F980">
        <v>1.949516</v>
      </c>
    </row>
    <row r="981" spans="1:6">
      <c r="A981" s="11">
        <v>978</v>
      </c>
      <c r="B981">
        <v>0.69776800000000005</v>
      </c>
      <c r="C981">
        <v>1.118957</v>
      </c>
      <c r="D981">
        <v>0.65031600000000001</v>
      </c>
      <c r="E981">
        <v>0.27515099999999998</v>
      </c>
      <c r="F981">
        <v>0.18193599999999999</v>
      </c>
    </row>
    <row r="982" spans="1:6">
      <c r="A982" s="11">
        <v>979</v>
      </c>
      <c r="B982">
        <v>2.8883100000000002</v>
      </c>
      <c r="C982">
        <v>1.878876</v>
      </c>
      <c r="D982">
        <v>1.0621670000000001</v>
      </c>
      <c r="E982">
        <v>3.021531</v>
      </c>
      <c r="F982">
        <v>2.271852</v>
      </c>
    </row>
    <row r="983" spans="1:6">
      <c r="A983" s="11">
        <v>980</v>
      </c>
      <c r="B983">
        <v>3.0981359999999998</v>
      </c>
      <c r="C983">
        <v>0.59066399999999997</v>
      </c>
      <c r="D983">
        <v>1.099909</v>
      </c>
      <c r="E983">
        <v>0.36481400000000003</v>
      </c>
      <c r="F983">
        <v>1.0270159999999999</v>
      </c>
    </row>
    <row r="984" spans="1:6">
      <c r="A984" s="11">
        <v>981</v>
      </c>
      <c r="B984">
        <v>0.25158199999999997</v>
      </c>
      <c r="C984">
        <v>4.5671720000000002</v>
      </c>
      <c r="D984">
        <v>3.6958980000000001</v>
      </c>
      <c r="E984">
        <v>2.2110669999999999</v>
      </c>
      <c r="F984">
        <v>2.1553810000000002</v>
      </c>
    </row>
    <row r="985" spans="1:6">
      <c r="A985" s="11">
        <v>982</v>
      </c>
      <c r="B985">
        <v>0.79322499999999996</v>
      </c>
      <c r="C985">
        <v>2.1515759999999999</v>
      </c>
      <c r="D985">
        <v>0.71280900000000003</v>
      </c>
      <c r="E985">
        <v>3.5992099999999998</v>
      </c>
      <c r="F985">
        <v>0.278808</v>
      </c>
    </row>
    <row r="986" spans="1:6">
      <c r="A986" s="11">
        <v>983</v>
      </c>
      <c r="B986">
        <v>5.7935559999999997</v>
      </c>
      <c r="C986">
        <v>0.94949099999999997</v>
      </c>
      <c r="D986">
        <v>1.9453750000000001</v>
      </c>
      <c r="E986">
        <v>1.0242150000000001</v>
      </c>
      <c r="F986">
        <v>0.44434800000000002</v>
      </c>
    </row>
    <row r="987" spans="1:6">
      <c r="A987" s="11">
        <v>984</v>
      </c>
      <c r="B987">
        <v>3.394374</v>
      </c>
      <c r="C987">
        <v>3.2028759999999998</v>
      </c>
      <c r="D987">
        <v>1.592487</v>
      </c>
      <c r="E987">
        <v>0.123672</v>
      </c>
      <c r="F987">
        <v>0.37728699999999998</v>
      </c>
    </row>
    <row r="988" spans="1:6">
      <c r="A988" s="11">
        <v>985</v>
      </c>
      <c r="B988">
        <v>1.515136</v>
      </c>
      <c r="C988">
        <v>8.1374180000000003</v>
      </c>
      <c r="D988">
        <v>0.28924100000000003</v>
      </c>
      <c r="E988">
        <v>1.005477</v>
      </c>
      <c r="F988">
        <v>0.87877700000000003</v>
      </c>
    </row>
    <row r="989" spans="1:6">
      <c r="A989" s="11">
        <v>986</v>
      </c>
      <c r="B989">
        <v>0.54580799999999996</v>
      </c>
      <c r="C989">
        <v>1.1371880000000001</v>
      </c>
      <c r="D989">
        <v>1.6384590000000001</v>
      </c>
      <c r="E989">
        <v>1.210045</v>
      </c>
      <c r="F989">
        <v>0.32174399999999997</v>
      </c>
    </row>
    <row r="990" spans="1:6">
      <c r="A990" s="11">
        <v>987</v>
      </c>
      <c r="B990">
        <v>0.63123099999999999</v>
      </c>
      <c r="C990">
        <v>0.26467800000000002</v>
      </c>
      <c r="D990">
        <v>31.936202999999999</v>
      </c>
      <c r="E990">
        <v>0.23260500000000001</v>
      </c>
      <c r="F990">
        <v>3.5603660000000001</v>
      </c>
    </row>
    <row r="991" spans="1:6">
      <c r="A991" s="11">
        <v>988</v>
      </c>
      <c r="B991">
        <v>0.56606900000000004</v>
      </c>
      <c r="C991">
        <v>0.89839100000000005</v>
      </c>
      <c r="D991">
        <v>2.5148060000000001</v>
      </c>
      <c r="E991">
        <v>0.44283800000000001</v>
      </c>
      <c r="F991">
        <v>3.2824149999999999</v>
      </c>
    </row>
    <row r="992" spans="1:6">
      <c r="A992" s="11">
        <v>989</v>
      </c>
      <c r="B992">
        <v>2.8974700000000002</v>
      </c>
      <c r="C992">
        <v>0.491259</v>
      </c>
      <c r="D992">
        <v>0.75588299999999997</v>
      </c>
      <c r="E992">
        <v>8.5441040000000008</v>
      </c>
      <c r="F992">
        <v>0.85672899999999996</v>
      </c>
    </row>
    <row r="993" spans="1:6">
      <c r="A993" s="11">
        <v>990</v>
      </c>
      <c r="B993">
        <v>0.469891</v>
      </c>
      <c r="C993">
        <v>1.085413</v>
      </c>
      <c r="D993">
        <v>0.80582299999999996</v>
      </c>
      <c r="E993">
        <v>2.1327919999999998</v>
      </c>
      <c r="F993">
        <v>0.46992699999999998</v>
      </c>
    </row>
    <row r="994" spans="1:6">
      <c r="A994" s="11">
        <v>991</v>
      </c>
      <c r="B994">
        <v>4.1899090000000001</v>
      </c>
      <c r="C994">
        <v>2.7346189999999999</v>
      </c>
      <c r="D994">
        <v>0.63173599999999996</v>
      </c>
      <c r="E994">
        <v>2.2831269999999999</v>
      </c>
      <c r="F994">
        <v>2.7683930000000001</v>
      </c>
    </row>
    <row r="995" spans="1:6">
      <c r="A995" s="11">
        <v>992</v>
      </c>
      <c r="B995">
        <v>0.65329300000000001</v>
      </c>
      <c r="C995">
        <v>0.20577200000000001</v>
      </c>
      <c r="D995">
        <v>2.5676429999999999</v>
      </c>
      <c r="E995">
        <v>0.55637000000000003</v>
      </c>
      <c r="F995">
        <v>3.7819060000000002</v>
      </c>
    </row>
    <row r="996" spans="1:6">
      <c r="A996" s="11">
        <v>993</v>
      </c>
      <c r="B996">
        <v>2.6408670000000001</v>
      </c>
      <c r="C996">
        <v>0.11346100000000001</v>
      </c>
      <c r="D996">
        <v>2.5853660000000001</v>
      </c>
      <c r="E996">
        <v>0.162996</v>
      </c>
      <c r="F996">
        <v>0.34327800000000003</v>
      </c>
    </row>
    <row r="997" spans="1:6">
      <c r="A997" s="11">
        <v>994</v>
      </c>
      <c r="B997">
        <v>7.0518219999999996</v>
      </c>
      <c r="C997">
        <v>1.0175940000000001</v>
      </c>
      <c r="D997">
        <v>0.88706600000000002</v>
      </c>
      <c r="E997">
        <v>2.2254640000000001</v>
      </c>
      <c r="F997">
        <v>0.52554100000000004</v>
      </c>
    </row>
    <row r="998" spans="1:6">
      <c r="A998" s="11">
        <v>995</v>
      </c>
      <c r="B998">
        <v>0.21823300000000001</v>
      </c>
      <c r="C998">
        <v>0.99992000000000003</v>
      </c>
      <c r="D998">
        <v>1.6103270000000001</v>
      </c>
      <c r="E998">
        <v>0.55342000000000002</v>
      </c>
      <c r="F998">
        <v>1.3774090000000001</v>
      </c>
    </row>
    <row r="999" spans="1:6">
      <c r="A999" s="11">
        <v>996</v>
      </c>
      <c r="B999">
        <v>0.49501200000000001</v>
      </c>
      <c r="C999">
        <v>0.97990999999999995</v>
      </c>
      <c r="D999">
        <v>2.7101829999999998</v>
      </c>
      <c r="E999">
        <v>0.541327</v>
      </c>
      <c r="F999">
        <v>0.63302099999999994</v>
      </c>
    </row>
    <row r="1000" spans="1:6">
      <c r="A1000" s="11">
        <v>997</v>
      </c>
      <c r="B1000">
        <v>0.284134</v>
      </c>
      <c r="C1000">
        <v>4.530373</v>
      </c>
      <c r="D1000">
        <v>0.83521400000000001</v>
      </c>
      <c r="E1000">
        <v>1.5956680000000001</v>
      </c>
      <c r="F1000">
        <v>1.079291</v>
      </c>
    </row>
    <row r="1001" spans="1:6">
      <c r="A1001" s="11">
        <v>998</v>
      </c>
      <c r="B1001">
        <v>1.980294</v>
      </c>
      <c r="C1001">
        <v>3.5384030000000002</v>
      </c>
      <c r="D1001">
        <v>0.855383</v>
      </c>
      <c r="E1001">
        <v>1.950272</v>
      </c>
      <c r="F1001">
        <v>0.35376099999999999</v>
      </c>
    </row>
    <row r="1002" spans="1:6">
      <c r="A1002" s="11">
        <v>999</v>
      </c>
      <c r="B1002">
        <v>0.55031600000000003</v>
      </c>
      <c r="C1002">
        <v>1.7840279999999999</v>
      </c>
      <c r="D1002">
        <v>2.0082810000000002</v>
      </c>
      <c r="E1002">
        <v>0.57081700000000002</v>
      </c>
      <c r="F1002">
        <v>2.1250930000000001</v>
      </c>
    </row>
    <row r="1003" spans="1:6">
      <c r="A1003" s="11">
        <v>1000</v>
      </c>
      <c r="B1003">
        <v>0.57921</v>
      </c>
      <c r="C1003">
        <v>1.7329909999999999</v>
      </c>
      <c r="D1003">
        <v>3.9558620000000002</v>
      </c>
      <c r="E1003">
        <v>0.85817299999999996</v>
      </c>
      <c r="F1003">
        <v>2.2602000000000002</v>
      </c>
    </row>
    <row r="1004" spans="1:6">
      <c r="A1004" s="11">
        <v>1001</v>
      </c>
      <c r="B1004">
        <v>0.44283499999999998</v>
      </c>
      <c r="C1004">
        <v>6.7192270000000001</v>
      </c>
      <c r="D1004">
        <v>6.6245209999999997</v>
      </c>
      <c r="E1004">
        <v>0.424595</v>
      </c>
      <c r="F1004">
        <v>4.0028649999999999</v>
      </c>
    </row>
    <row r="1005" spans="1:6">
      <c r="A1005" s="11">
        <v>1002</v>
      </c>
      <c r="B1005">
        <v>1.6904140000000001</v>
      </c>
      <c r="C1005">
        <v>0.48375099999999999</v>
      </c>
      <c r="D1005">
        <v>1.1199730000000001</v>
      </c>
      <c r="E1005">
        <v>1.1374919999999999</v>
      </c>
      <c r="F1005">
        <v>13.166116000000001</v>
      </c>
    </row>
    <row r="1006" spans="1:6">
      <c r="A1006" s="11">
        <v>1003</v>
      </c>
      <c r="B1006">
        <v>0.61466500000000002</v>
      </c>
      <c r="C1006">
        <v>10.707177</v>
      </c>
      <c r="D1006">
        <v>0.63966999999999996</v>
      </c>
      <c r="E1006">
        <v>0.223803</v>
      </c>
      <c r="F1006">
        <v>0.61937200000000003</v>
      </c>
    </row>
    <row r="1007" spans="1:6">
      <c r="A1007" s="11">
        <v>1004</v>
      </c>
      <c r="B1007">
        <v>3.6148310000000001</v>
      </c>
      <c r="C1007">
        <v>0.358545</v>
      </c>
      <c r="D1007">
        <v>0.31116300000000002</v>
      </c>
      <c r="E1007">
        <v>2.4742929999999999</v>
      </c>
      <c r="F1007">
        <v>2.9366639999999999</v>
      </c>
    </row>
    <row r="1008" spans="1:6">
      <c r="A1008" s="11">
        <v>1005</v>
      </c>
      <c r="B1008">
        <v>2.6282369999999999</v>
      </c>
      <c r="C1008">
        <v>1.23255</v>
      </c>
      <c r="D1008">
        <v>0.110169</v>
      </c>
      <c r="E1008">
        <v>3.5734520000000001</v>
      </c>
      <c r="F1008">
        <v>0.383102</v>
      </c>
    </row>
    <row r="1009" spans="1:6">
      <c r="A1009" s="11">
        <v>1006</v>
      </c>
      <c r="B1009">
        <v>1.2386269999999999</v>
      </c>
      <c r="C1009">
        <v>5.6178189999999999</v>
      </c>
      <c r="D1009">
        <v>1.6959880000000001</v>
      </c>
      <c r="E1009">
        <v>5.3308070000000001</v>
      </c>
      <c r="F1009">
        <v>2.9976419999999999</v>
      </c>
    </row>
    <row r="1010" spans="1:6">
      <c r="A1010" s="11">
        <v>1007</v>
      </c>
      <c r="B1010">
        <v>0.34204400000000001</v>
      </c>
      <c r="C1010">
        <v>0.66046300000000002</v>
      </c>
      <c r="D1010">
        <v>0.33556999999999998</v>
      </c>
      <c r="E1010">
        <v>2.0741849999999999</v>
      </c>
      <c r="F1010">
        <v>1.8817459999999999</v>
      </c>
    </row>
    <row r="1011" spans="1:6">
      <c r="A1011" s="11">
        <v>1008</v>
      </c>
      <c r="B1011">
        <v>0.61572800000000005</v>
      </c>
      <c r="C1011">
        <v>0.33750000000000002</v>
      </c>
      <c r="D1011">
        <v>0.34177299999999999</v>
      </c>
      <c r="E1011">
        <v>0.187332</v>
      </c>
      <c r="F1011">
        <v>1.1245000000000001</v>
      </c>
    </row>
    <row r="1012" spans="1:6">
      <c r="A1012" s="11">
        <v>1009</v>
      </c>
      <c r="B1012">
        <v>0.37109799999999998</v>
      </c>
      <c r="C1012">
        <v>1.4872369999999999</v>
      </c>
      <c r="D1012">
        <v>1.1813959999999999</v>
      </c>
      <c r="E1012">
        <v>1.0153319999999999</v>
      </c>
      <c r="F1012">
        <v>1.2474700000000001</v>
      </c>
    </row>
    <row r="1013" spans="1:6">
      <c r="A1013" s="11">
        <v>1010</v>
      </c>
      <c r="B1013">
        <v>3.3239740000000002</v>
      </c>
      <c r="C1013">
        <v>1.8257300000000001</v>
      </c>
      <c r="D1013">
        <v>3.190286</v>
      </c>
      <c r="E1013">
        <v>29.914459000000001</v>
      </c>
      <c r="F1013">
        <v>10.037208</v>
      </c>
    </row>
    <row r="1014" spans="1:6">
      <c r="A1014" s="11">
        <v>1011</v>
      </c>
      <c r="B1014">
        <v>0.79054000000000002</v>
      </c>
      <c r="C1014">
        <v>7.7443999999999999E-2</v>
      </c>
      <c r="D1014">
        <v>1.9803360000000001</v>
      </c>
      <c r="E1014">
        <v>0.24562500000000001</v>
      </c>
      <c r="F1014">
        <v>5.2047379999999999</v>
      </c>
    </row>
    <row r="1015" spans="1:6">
      <c r="A1015" s="11">
        <v>1012</v>
      </c>
      <c r="B1015">
        <v>7.9053430000000002</v>
      </c>
      <c r="C1015">
        <v>1.182132</v>
      </c>
      <c r="D1015">
        <v>4.1591399999999998</v>
      </c>
      <c r="E1015">
        <v>0.86084799999999995</v>
      </c>
      <c r="F1015">
        <v>6.0678270000000003</v>
      </c>
    </row>
    <row r="1016" spans="1:6">
      <c r="A1016" s="11">
        <v>1013</v>
      </c>
      <c r="B1016">
        <v>2.8649969999999998</v>
      </c>
      <c r="C1016">
        <v>0.40656300000000001</v>
      </c>
      <c r="D1016">
        <v>0.87434900000000004</v>
      </c>
      <c r="E1016">
        <v>4.4456819999999997</v>
      </c>
      <c r="F1016">
        <v>1.496313</v>
      </c>
    </row>
    <row r="1017" spans="1:6">
      <c r="A1017" s="11">
        <v>1014</v>
      </c>
      <c r="B1017">
        <v>1.464745</v>
      </c>
      <c r="C1017">
        <v>0.89326300000000003</v>
      </c>
      <c r="D1017">
        <v>6.0376919999999998</v>
      </c>
      <c r="E1017">
        <v>1.2923899999999999</v>
      </c>
      <c r="F1017">
        <v>0.34775699999999998</v>
      </c>
    </row>
    <row r="1018" spans="1:6">
      <c r="A1018" s="11">
        <v>1015</v>
      </c>
      <c r="B1018">
        <v>0.63316300000000003</v>
      </c>
      <c r="C1018">
        <v>0.27121400000000001</v>
      </c>
      <c r="D1018">
        <v>4.7771350000000004</v>
      </c>
      <c r="E1018">
        <v>1.9104989999999999</v>
      </c>
      <c r="F1018">
        <v>2.503295</v>
      </c>
    </row>
    <row r="1019" spans="1:6">
      <c r="A1019" s="11">
        <v>1016</v>
      </c>
      <c r="B1019">
        <v>0.74666299999999997</v>
      </c>
      <c r="C1019">
        <v>0.20411199999999999</v>
      </c>
      <c r="D1019">
        <v>1.9453929999999999</v>
      </c>
      <c r="E1019">
        <v>0.19702600000000001</v>
      </c>
      <c r="F1019">
        <v>1.5201979999999999</v>
      </c>
    </row>
    <row r="1020" spans="1:6">
      <c r="A1020" s="11">
        <v>1017</v>
      </c>
      <c r="B1020">
        <v>1.002875</v>
      </c>
      <c r="C1020">
        <v>0.42316500000000001</v>
      </c>
      <c r="D1020">
        <v>4.3312000000000003E-2</v>
      </c>
      <c r="E1020">
        <v>2.483206</v>
      </c>
      <c r="F1020">
        <v>3.2609859999999999</v>
      </c>
    </row>
    <row r="1021" spans="1:6">
      <c r="A1021" s="11">
        <v>1018</v>
      </c>
      <c r="B1021">
        <v>0.39447399999999999</v>
      </c>
      <c r="C1021">
        <v>1.149632</v>
      </c>
      <c r="D1021">
        <v>2.1146440000000002</v>
      </c>
      <c r="E1021">
        <v>0.562083</v>
      </c>
      <c r="F1021">
        <v>1.1078049999999999</v>
      </c>
    </row>
    <row r="1022" spans="1:6">
      <c r="A1022" s="11">
        <v>1019</v>
      </c>
      <c r="B1022">
        <v>1.4398150000000001</v>
      </c>
      <c r="C1022">
        <v>1.1788000000000001</v>
      </c>
      <c r="D1022">
        <v>0.311747</v>
      </c>
      <c r="E1022">
        <v>0.56477699999999997</v>
      </c>
      <c r="F1022">
        <v>0.87877899999999998</v>
      </c>
    </row>
    <row r="1023" spans="1:6">
      <c r="A1023" s="11">
        <v>1020</v>
      </c>
      <c r="B1023">
        <v>3.5874929999999998</v>
      </c>
      <c r="C1023">
        <v>2.1594220000000002</v>
      </c>
      <c r="D1023">
        <v>0.29065000000000002</v>
      </c>
      <c r="E1023">
        <v>0.83246100000000001</v>
      </c>
      <c r="F1023">
        <v>1.0853219999999999</v>
      </c>
    </row>
    <row r="1024" spans="1:6">
      <c r="A1024" s="11">
        <v>1021</v>
      </c>
      <c r="B1024">
        <v>1.6546369999999999</v>
      </c>
      <c r="C1024">
        <v>0.29619800000000002</v>
      </c>
      <c r="D1024">
        <v>1.0382849999999999</v>
      </c>
      <c r="E1024">
        <v>1.124576</v>
      </c>
      <c r="F1024">
        <v>9.4376000000000002E-2</v>
      </c>
    </row>
    <row r="1025" spans="1:6">
      <c r="A1025" s="11">
        <v>1022</v>
      </c>
      <c r="B1025">
        <v>0.17932400000000001</v>
      </c>
      <c r="C1025">
        <v>2.7997670000000001</v>
      </c>
      <c r="D1025">
        <v>0.51718900000000001</v>
      </c>
      <c r="E1025">
        <v>0.469356</v>
      </c>
      <c r="F1025">
        <v>2.4108209999999999</v>
      </c>
    </row>
    <row r="1026" spans="1:6">
      <c r="A1026" s="11">
        <v>1023</v>
      </c>
      <c r="B1026">
        <v>1.7795019999999999</v>
      </c>
      <c r="C1026">
        <v>1.7660769999999999</v>
      </c>
      <c r="D1026">
        <v>0.35242299999999999</v>
      </c>
      <c r="E1026">
        <v>0.20990600000000001</v>
      </c>
      <c r="F1026">
        <v>4.8542120000000004</v>
      </c>
    </row>
    <row r="1027" spans="1:6">
      <c r="A1027" s="11">
        <v>1024</v>
      </c>
      <c r="B1027">
        <v>6.5691889999999997</v>
      </c>
      <c r="C1027">
        <v>1.363226</v>
      </c>
      <c r="D1027">
        <v>0.33807300000000001</v>
      </c>
      <c r="E1027">
        <v>2.7486130000000002</v>
      </c>
      <c r="F1027">
        <v>0.60700200000000004</v>
      </c>
    </row>
    <row r="1028" spans="1:6">
      <c r="A1028" s="11">
        <v>1025</v>
      </c>
      <c r="B1028">
        <v>1.7892479999999999</v>
      </c>
      <c r="C1028">
        <v>0.28760999999999998</v>
      </c>
      <c r="D1028">
        <v>2.057871</v>
      </c>
      <c r="E1028">
        <v>0.37138300000000002</v>
      </c>
      <c r="F1028">
        <v>0.22519400000000001</v>
      </c>
    </row>
    <row r="1029" spans="1:6">
      <c r="A1029" s="11">
        <v>1026</v>
      </c>
      <c r="B1029">
        <v>5.5072000000000001</v>
      </c>
      <c r="C1029">
        <v>1.310827</v>
      </c>
      <c r="D1029">
        <v>0.36033100000000001</v>
      </c>
      <c r="E1029">
        <v>1.7238389999999999</v>
      </c>
      <c r="F1029">
        <v>5.8967669999999996</v>
      </c>
    </row>
    <row r="1030" spans="1:6">
      <c r="A1030" s="11">
        <v>1027</v>
      </c>
      <c r="B1030">
        <v>0.51188699999999998</v>
      </c>
      <c r="C1030">
        <v>14.816713</v>
      </c>
      <c r="D1030">
        <v>4.6861100000000002</v>
      </c>
      <c r="E1030">
        <v>0.553929</v>
      </c>
      <c r="F1030">
        <v>2.9775529999999999</v>
      </c>
    </row>
    <row r="1031" spans="1:6">
      <c r="A1031" s="11">
        <v>1028</v>
      </c>
      <c r="B1031">
        <v>0.21685399999999999</v>
      </c>
      <c r="C1031">
        <v>0.96452199999999999</v>
      </c>
      <c r="D1031">
        <v>0.45117499999999999</v>
      </c>
      <c r="E1031">
        <v>0.63446400000000003</v>
      </c>
      <c r="F1031">
        <v>0.160083</v>
      </c>
    </row>
    <row r="1032" spans="1:6">
      <c r="A1032" s="11">
        <v>1029</v>
      </c>
      <c r="B1032">
        <v>0.89553799999999995</v>
      </c>
      <c r="C1032">
        <v>0.41028500000000001</v>
      </c>
      <c r="D1032">
        <v>8.7890999999999997E-2</v>
      </c>
      <c r="E1032">
        <v>6.359267</v>
      </c>
      <c r="F1032">
        <v>2.2972899999999998</v>
      </c>
    </row>
    <row r="1033" spans="1:6">
      <c r="A1033" s="11">
        <v>1030</v>
      </c>
      <c r="B1033">
        <v>0.70095799999999997</v>
      </c>
      <c r="C1033">
        <v>1.3042309999999999</v>
      </c>
      <c r="D1033">
        <v>0.97407100000000002</v>
      </c>
      <c r="E1033">
        <v>1.0892710000000001</v>
      </c>
      <c r="F1033">
        <v>2.6492939999999998</v>
      </c>
    </row>
    <row r="1034" spans="1:6">
      <c r="A1034" s="11">
        <v>1031</v>
      </c>
      <c r="B1034">
        <v>1.976097</v>
      </c>
      <c r="C1034">
        <v>0.69737800000000005</v>
      </c>
      <c r="D1034">
        <v>0.489369</v>
      </c>
      <c r="E1034">
        <v>0.579434</v>
      </c>
      <c r="F1034">
        <v>1.8838349999999999</v>
      </c>
    </row>
    <row r="1035" spans="1:6">
      <c r="A1035" s="11">
        <v>1032</v>
      </c>
      <c r="B1035">
        <v>16.784759999999999</v>
      </c>
      <c r="C1035">
        <v>2.8200539999999998</v>
      </c>
      <c r="D1035">
        <v>1.0478670000000001</v>
      </c>
      <c r="E1035">
        <v>2.0521739999999999</v>
      </c>
      <c r="F1035">
        <v>9.6196959999999994</v>
      </c>
    </row>
    <row r="1036" spans="1:6">
      <c r="A1036" s="11">
        <v>1033</v>
      </c>
      <c r="B1036">
        <v>0.12884699999999999</v>
      </c>
      <c r="C1036">
        <v>1.3538140000000001</v>
      </c>
      <c r="D1036">
        <v>0.33226099999999997</v>
      </c>
      <c r="E1036">
        <v>0.64444500000000005</v>
      </c>
      <c r="F1036">
        <v>1.394981</v>
      </c>
    </row>
    <row r="1037" spans="1:6">
      <c r="A1037" s="11">
        <v>1034</v>
      </c>
      <c r="B1037">
        <v>1.3128709999999999</v>
      </c>
      <c r="C1037">
        <v>0.21496100000000001</v>
      </c>
      <c r="D1037">
        <v>0.74336500000000005</v>
      </c>
      <c r="E1037">
        <v>0.59610399999999997</v>
      </c>
      <c r="F1037">
        <v>0.25415199999999999</v>
      </c>
    </row>
    <row r="1038" spans="1:6">
      <c r="A1038" s="11">
        <v>1035</v>
      </c>
      <c r="B1038">
        <v>0.71706899999999996</v>
      </c>
      <c r="C1038">
        <v>0.18235199999999999</v>
      </c>
      <c r="D1038">
        <v>1.260669</v>
      </c>
      <c r="E1038">
        <v>7.6341130000000001</v>
      </c>
      <c r="F1038">
        <v>0.21073900000000001</v>
      </c>
    </row>
    <row r="1039" spans="1:6">
      <c r="A1039" s="11">
        <v>1036</v>
      </c>
      <c r="B1039">
        <v>0.96568799999999999</v>
      </c>
      <c r="C1039">
        <v>0.57291899999999996</v>
      </c>
      <c r="D1039">
        <v>0.33785399999999999</v>
      </c>
      <c r="E1039">
        <v>3.444477</v>
      </c>
      <c r="F1039">
        <v>0.37234499999999998</v>
      </c>
    </row>
    <row r="1040" spans="1:6">
      <c r="A1040" s="11">
        <v>1037</v>
      </c>
      <c r="B1040">
        <v>0.59321599999999997</v>
      </c>
      <c r="C1040">
        <v>1.0104930000000001</v>
      </c>
      <c r="D1040">
        <v>1.6915180000000001</v>
      </c>
      <c r="E1040">
        <v>0.14788799999999999</v>
      </c>
      <c r="F1040">
        <v>1.099345</v>
      </c>
    </row>
    <row r="1041" spans="1:6">
      <c r="A1041" s="11">
        <v>1038</v>
      </c>
      <c r="B1041">
        <v>0.61977800000000005</v>
      </c>
      <c r="C1041">
        <v>1.679133</v>
      </c>
      <c r="D1041">
        <v>0.76848700000000003</v>
      </c>
      <c r="E1041">
        <v>1.0863350000000001</v>
      </c>
      <c r="F1041">
        <v>1.2573240000000001</v>
      </c>
    </row>
    <row r="1042" spans="1:6">
      <c r="A1042" s="11">
        <v>1039</v>
      </c>
      <c r="B1042">
        <v>1.945978</v>
      </c>
      <c r="C1042">
        <v>0.148336</v>
      </c>
      <c r="D1042">
        <v>0.38849400000000001</v>
      </c>
      <c r="E1042">
        <v>2.1084779999999999</v>
      </c>
      <c r="F1042">
        <v>1.6203259999999999</v>
      </c>
    </row>
    <row r="1043" spans="1:6">
      <c r="A1043" s="11">
        <v>1040</v>
      </c>
      <c r="B1043">
        <v>1.3422130000000001</v>
      </c>
      <c r="C1043">
        <v>0.14212</v>
      </c>
      <c r="D1043">
        <v>2.1646100000000001</v>
      </c>
      <c r="E1043">
        <v>1.482437</v>
      </c>
      <c r="F1043">
        <v>2.9135939999999998</v>
      </c>
    </row>
    <row r="1044" spans="1:6">
      <c r="A1044" s="11">
        <v>1041</v>
      </c>
      <c r="B1044">
        <v>0.74118099999999998</v>
      </c>
      <c r="C1044">
        <v>0.64275599999999999</v>
      </c>
      <c r="D1044">
        <v>0.55257800000000001</v>
      </c>
      <c r="E1044">
        <v>4.1721620000000001</v>
      </c>
      <c r="F1044">
        <v>2.3663370000000001</v>
      </c>
    </row>
    <row r="1045" spans="1:6">
      <c r="A1045" s="11">
        <v>1042</v>
      </c>
      <c r="B1045">
        <v>3.8275619999999999</v>
      </c>
      <c r="C1045">
        <v>0.21902199999999999</v>
      </c>
      <c r="D1045">
        <v>2.610004</v>
      </c>
      <c r="E1045">
        <v>0.60675800000000002</v>
      </c>
      <c r="F1045">
        <v>0.75649699999999998</v>
      </c>
    </row>
    <row r="1046" spans="1:6">
      <c r="A1046" s="11">
        <v>1043</v>
      </c>
      <c r="B1046">
        <v>1.7139599999999999</v>
      </c>
      <c r="C1046">
        <v>2.4114939999999998</v>
      </c>
      <c r="D1046">
        <v>1.0666070000000001</v>
      </c>
      <c r="E1046">
        <v>0.16991200000000001</v>
      </c>
      <c r="F1046">
        <v>0.92847900000000005</v>
      </c>
    </row>
    <row r="1047" spans="1:6">
      <c r="A1047" s="11">
        <v>1044</v>
      </c>
      <c r="B1047">
        <v>0.44951000000000002</v>
      </c>
      <c r="C1047">
        <v>0.23476900000000001</v>
      </c>
      <c r="D1047">
        <v>4.7542960000000001</v>
      </c>
      <c r="E1047">
        <v>0.80513999999999997</v>
      </c>
      <c r="F1047">
        <v>4.6075619999999997</v>
      </c>
    </row>
    <row r="1048" spans="1:6">
      <c r="A1048" s="11">
        <v>1045</v>
      </c>
      <c r="B1048">
        <v>0.71009500000000003</v>
      </c>
      <c r="C1048">
        <v>0.38307000000000002</v>
      </c>
      <c r="D1048">
        <v>2.1102080000000001</v>
      </c>
      <c r="E1048">
        <v>0.778393</v>
      </c>
      <c r="F1048">
        <v>1.5294239999999999</v>
      </c>
    </row>
    <row r="1049" spans="1:6">
      <c r="A1049" s="11">
        <v>1046</v>
      </c>
      <c r="B1049">
        <v>0.37248900000000001</v>
      </c>
      <c r="C1049">
        <v>3.9721419999999998</v>
      </c>
      <c r="D1049">
        <v>2.2508319999999999</v>
      </c>
      <c r="E1049">
        <v>0.69327099999999997</v>
      </c>
      <c r="F1049">
        <v>8.806514</v>
      </c>
    </row>
    <row r="1050" spans="1:6">
      <c r="A1050" s="11">
        <v>1047</v>
      </c>
      <c r="B1050">
        <v>6.1534719999999998</v>
      </c>
      <c r="C1050">
        <v>2.8977710000000001</v>
      </c>
      <c r="D1050">
        <v>1.55467</v>
      </c>
      <c r="E1050">
        <v>0.49868800000000002</v>
      </c>
      <c r="F1050">
        <v>2.4745509999999999</v>
      </c>
    </row>
    <row r="1051" spans="1:6">
      <c r="A1051" s="11">
        <v>1048</v>
      </c>
      <c r="B1051">
        <v>0.723526</v>
      </c>
      <c r="C1051">
        <v>1.2672239999999999</v>
      </c>
      <c r="D1051">
        <v>11.418663</v>
      </c>
      <c r="E1051">
        <v>1.433997</v>
      </c>
      <c r="F1051">
        <v>0.48192400000000002</v>
      </c>
    </row>
    <row r="1052" spans="1:6">
      <c r="A1052" s="11">
        <v>1049</v>
      </c>
      <c r="B1052">
        <v>1.8180780000000001</v>
      </c>
      <c r="C1052">
        <v>1.631724</v>
      </c>
      <c r="D1052">
        <v>9.3200000000000005E-2</v>
      </c>
      <c r="E1052">
        <v>0.48070600000000002</v>
      </c>
      <c r="F1052">
        <v>0.12196899999999999</v>
      </c>
    </row>
    <row r="1053" spans="1:6">
      <c r="A1053" s="11">
        <v>1050</v>
      </c>
      <c r="B1053">
        <v>0.94419699999999995</v>
      </c>
      <c r="C1053">
        <v>6.7918609999999999</v>
      </c>
      <c r="D1053">
        <v>3.443832</v>
      </c>
      <c r="E1053">
        <v>1.40361</v>
      </c>
      <c r="F1053">
        <v>0.46847800000000001</v>
      </c>
    </row>
    <row r="1054" spans="1:6">
      <c r="A1054" s="11">
        <v>1051</v>
      </c>
      <c r="B1054">
        <v>5.3042069999999999</v>
      </c>
      <c r="C1054">
        <v>0.61005799999999999</v>
      </c>
      <c r="D1054">
        <v>1.8069500000000001</v>
      </c>
      <c r="E1054">
        <v>16.953520999999999</v>
      </c>
      <c r="F1054">
        <v>1.8636440000000001</v>
      </c>
    </row>
    <row r="1055" spans="1:6">
      <c r="A1055" s="11">
        <v>1052</v>
      </c>
      <c r="B1055">
        <v>0.50666900000000004</v>
      </c>
      <c r="C1055">
        <v>11.368747000000001</v>
      </c>
      <c r="D1055">
        <v>0.29070600000000002</v>
      </c>
      <c r="E1055">
        <v>3.0329389999999998</v>
      </c>
      <c r="F1055">
        <v>2.6885720000000002</v>
      </c>
    </row>
    <row r="1056" spans="1:6">
      <c r="A1056" s="11">
        <v>1053</v>
      </c>
      <c r="B1056">
        <v>0.33583499999999999</v>
      </c>
      <c r="C1056">
        <v>0.104259</v>
      </c>
      <c r="D1056">
        <v>0.15082200000000001</v>
      </c>
      <c r="E1056">
        <v>1.0575859999999999</v>
      </c>
      <c r="F1056">
        <v>1.9751080000000001</v>
      </c>
    </row>
    <row r="1057" spans="1:6">
      <c r="A1057" s="11">
        <v>1054</v>
      </c>
      <c r="B1057">
        <v>4.8391539999999997</v>
      </c>
      <c r="C1057">
        <v>2.1671450000000001</v>
      </c>
      <c r="D1057">
        <v>0.82611999999999997</v>
      </c>
      <c r="E1057">
        <v>1.611613</v>
      </c>
      <c r="F1057">
        <v>1.1853990000000001</v>
      </c>
    </row>
    <row r="1058" spans="1:6">
      <c r="A1058" s="11">
        <v>1055</v>
      </c>
      <c r="B1058">
        <v>8.5214999999999999E-2</v>
      </c>
      <c r="C1058">
        <v>4.1962780000000004</v>
      </c>
      <c r="D1058">
        <v>0.834372</v>
      </c>
      <c r="E1058">
        <v>0.79987900000000001</v>
      </c>
      <c r="F1058">
        <v>0.38568000000000002</v>
      </c>
    </row>
    <row r="1059" spans="1:6">
      <c r="A1059" s="11">
        <v>1056</v>
      </c>
      <c r="B1059">
        <v>0.221336</v>
      </c>
      <c r="C1059">
        <v>0.306506</v>
      </c>
      <c r="D1059">
        <v>0.84563999999999995</v>
      </c>
      <c r="E1059">
        <v>0.47336800000000001</v>
      </c>
      <c r="F1059">
        <v>0.53286500000000003</v>
      </c>
    </row>
    <row r="1060" spans="1:6">
      <c r="A1060" s="11">
        <v>1057</v>
      </c>
      <c r="B1060">
        <v>2.393913</v>
      </c>
      <c r="C1060">
        <v>0.79683700000000002</v>
      </c>
      <c r="D1060">
        <v>1.6272070000000001</v>
      </c>
      <c r="E1060">
        <v>4.6165330000000004</v>
      </c>
      <c r="F1060">
        <v>0.87750099999999998</v>
      </c>
    </row>
    <row r="1061" spans="1:6">
      <c r="A1061" s="11">
        <v>1058</v>
      </c>
      <c r="B1061">
        <v>3.8095750000000002</v>
      </c>
      <c r="C1061">
        <v>0.97136</v>
      </c>
      <c r="D1061">
        <v>1.1501129999999999</v>
      </c>
      <c r="E1061">
        <v>0.31917299999999998</v>
      </c>
      <c r="F1061">
        <v>0.61825399999999997</v>
      </c>
    </row>
    <row r="1062" spans="1:6">
      <c r="A1062" s="11">
        <v>1059</v>
      </c>
      <c r="B1062">
        <v>0.63055700000000003</v>
      </c>
      <c r="C1062">
        <v>0.27759400000000001</v>
      </c>
      <c r="D1062">
        <v>0.78637400000000002</v>
      </c>
      <c r="E1062">
        <v>1.6250119999999999</v>
      </c>
      <c r="F1062">
        <v>2.0502060000000002</v>
      </c>
    </row>
    <row r="1063" spans="1:6">
      <c r="A1063" s="11">
        <v>1060</v>
      </c>
      <c r="B1063">
        <v>0.57422600000000001</v>
      </c>
      <c r="C1063">
        <v>1.280017</v>
      </c>
      <c r="D1063">
        <v>0.84584599999999999</v>
      </c>
      <c r="E1063">
        <v>1.3855930000000001</v>
      </c>
      <c r="F1063">
        <v>1.416004</v>
      </c>
    </row>
    <row r="1064" spans="1:6">
      <c r="A1064" s="11">
        <v>1061</v>
      </c>
      <c r="B1064">
        <v>4.0887969999999996</v>
      </c>
      <c r="C1064">
        <v>0.90811399999999998</v>
      </c>
      <c r="D1064">
        <v>3.2454510000000001</v>
      </c>
      <c r="E1064">
        <v>0.852437</v>
      </c>
      <c r="F1064">
        <v>1.8023880000000001</v>
      </c>
    </row>
    <row r="1065" spans="1:6">
      <c r="A1065" s="11">
        <v>1062</v>
      </c>
      <c r="B1065">
        <v>1.805083</v>
      </c>
      <c r="C1065">
        <v>0.75507999999999997</v>
      </c>
      <c r="D1065">
        <v>0.199681</v>
      </c>
      <c r="E1065">
        <v>0.138597</v>
      </c>
      <c r="F1065">
        <v>3.4726949999999999</v>
      </c>
    </row>
    <row r="1066" spans="1:6">
      <c r="A1066" s="11">
        <v>1063</v>
      </c>
      <c r="B1066">
        <v>9.3412480000000002</v>
      </c>
      <c r="C1066">
        <v>1.0030509999999999</v>
      </c>
      <c r="D1066">
        <v>6.2321929999999996</v>
      </c>
      <c r="E1066">
        <v>2.0851280000000001</v>
      </c>
      <c r="F1066">
        <v>1.091323</v>
      </c>
    </row>
    <row r="1067" spans="1:6">
      <c r="A1067" s="11">
        <v>1064</v>
      </c>
      <c r="B1067">
        <v>3.4137680000000001</v>
      </c>
      <c r="C1067">
        <v>0.55850500000000003</v>
      </c>
      <c r="D1067">
        <v>0.135854</v>
      </c>
      <c r="E1067">
        <v>0.44402399999999997</v>
      </c>
      <c r="F1067">
        <v>4.2682479999999998</v>
      </c>
    </row>
    <row r="1068" spans="1:6">
      <c r="A1068" s="11">
        <v>1065</v>
      </c>
      <c r="B1068">
        <v>0.46454899999999999</v>
      </c>
      <c r="C1068">
        <v>5.303134</v>
      </c>
      <c r="D1068">
        <v>0.85367400000000004</v>
      </c>
      <c r="E1068">
        <v>3.787636</v>
      </c>
      <c r="F1068">
        <v>2.9596399999999998</v>
      </c>
    </row>
    <row r="1069" spans="1:6">
      <c r="A1069" s="11">
        <v>1066</v>
      </c>
      <c r="B1069">
        <v>2.631599</v>
      </c>
      <c r="C1069">
        <v>0.39658900000000002</v>
      </c>
      <c r="D1069">
        <v>0.94638299999999997</v>
      </c>
      <c r="E1069">
        <v>2.4559799999999998</v>
      </c>
      <c r="F1069">
        <v>1.2007380000000001</v>
      </c>
    </row>
    <row r="1070" spans="1:6">
      <c r="A1070" s="11">
        <v>1067</v>
      </c>
      <c r="B1070">
        <v>3.2244130000000002</v>
      </c>
      <c r="C1070">
        <v>0.536582</v>
      </c>
      <c r="D1070">
        <v>1.8003070000000001</v>
      </c>
      <c r="E1070">
        <v>4.9724190000000004</v>
      </c>
      <c r="F1070">
        <v>1.1463859999999999</v>
      </c>
    </row>
    <row r="1071" spans="1:6">
      <c r="A1071" s="11">
        <v>1068</v>
      </c>
      <c r="B1071">
        <v>0.13101699999999999</v>
      </c>
      <c r="C1071">
        <v>0.87600800000000001</v>
      </c>
      <c r="D1071">
        <v>0.72114400000000001</v>
      </c>
      <c r="E1071">
        <v>3.9195289999999998</v>
      </c>
      <c r="F1071">
        <v>0.346972</v>
      </c>
    </row>
    <row r="1072" spans="1:6">
      <c r="A1072" s="11">
        <v>1069</v>
      </c>
      <c r="B1072">
        <v>0.66964699999999999</v>
      </c>
      <c r="C1072">
        <v>1.4771259999999999</v>
      </c>
      <c r="D1072">
        <v>1.029415</v>
      </c>
      <c r="E1072">
        <v>0.72447899999999998</v>
      </c>
      <c r="F1072">
        <v>0.48962600000000001</v>
      </c>
    </row>
    <row r="1073" spans="1:6">
      <c r="A1073" s="11">
        <v>1070</v>
      </c>
      <c r="B1073">
        <v>5.547771</v>
      </c>
      <c r="C1073">
        <v>2.4070420000000001</v>
      </c>
      <c r="D1073">
        <v>1.733771</v>
      </c>
      <c r="E1073">
        <v>0.54502799999999996</v>
      </c>
      <c r="F1073">
        <v>8.2474000000000006E-2</v>
      </c>
    </row>
    <row r="1074" spans="1:6">
      <c r="A1074" s="11">
        <v>1071</v>
      </c>
      <c r="B1074">
        <v>9.4861000000000001E-2</v>
      </c>
      <c r="C1074">
        <v>1.9657009999999999</v>
      </c>
      <c r="D1074">
        <v>0.69510799999999995</v>
      </c>
      <c r="E1074">
        <v>3.9195709999999999</v>
      </c>
      <c r="F1074">
        <v>0.243228</v>
      </c>
    </row>
    <row r="1075" spans="1:6">
      <c r="A1075" s="11">
        <v>1072</v>
      </c>
      <c r="B1075">
        <v>6.9385500000000002</v>
      </c>
      <c r="C1075">
        <v>0.57605399999999995</v>
      </c>
      <c r="D1075">
        <v>11.393897000000001</v>
      </c>
      <c r="E1075">
        <v>11.707732</v>
      </c>
      <c r="F1075">
        <v>10.587578000000001</v>
      </c>
    </row>
    <row r="1076" spans="1:6">
      <c r="A1076" s="11">
        <v>1073</v>
      </c>
      <c r="B1076">
        <v>1.9534800000000001</v>
      </c>
      <c r="C1076">
        <v>1.1089800000000001</v>
      </c>
      <c r="D1076">
        <v>0.61405699999999996</v>
      </c>
      <c r="E1076">
        <v>4.3330279999999997</v>
      </c>
      <c r="F1076">
        <v>0.69595300000000004</v>
      </c>
    </row>
    <row r="1077" spans="1:6">
      <c r="A1077" s="11">
        <v>1074</v>
      </c>
      <c r="B1077">
        <v>3.099634</v>
      </c>
      <c r="C1077">
        <v>1.4324349999999999</v>
      </c>
      <c r="D1077">
        <v>1.322373</v>
      </c>
      <c r="E1077">
        <v>0.172958</v>
      </c>
      <c r="F1077">
        <v>0.161719</v>
      </c>
    </row>
    <row r="1078" spans="1:6">
      <c r="A1078" s="11">
        <v>1075</v>
      </c>
      <c r="B1078">
        <v>0.85521999999999998</v>
      </c>
      <c r="C1078">
        <v>0.87516099999999997</v>
      </c>
      <c r="D1078">
        <v>0.15907399999999999</v>
      </c>
      <c r="E1078">
        <v>2.0201660000000001</v>
      </c>
      <c r="F1078">
        <v>0.28750300000000001</v>
      </c>
    </row>
    <row r="1079" spans="1:6">
      <c r="A1079" s="11">
        <v>1076</v>
      </c>
      <c r="B1079">
        <v>0.57899599999999996</v>
      </c>
      <c r="C1079">
        <v>0.50545200000000001</v>
      </c>
      <c r="D1079">
        <v>0.51751599999999998</v>
      </c>
      <c r="E1079">
        <v>5.8388450000000001</v>
      </c>
      <c r="F1079">
        <v>17.593828999999999</v>
      </c>
    </row>
    <row r="1080" spans="1:6">
      <c r="A1080" s="11">
        <v>1077</v>
      </c>
      <c r="B1080">
        <v>1.1013219999999999</v>
      </c>
      <c r="C1080">
        <v>0.29622599999999999</v>
      </c>
      <c r="D1080">
        <v>0.63649900000000004</v>
      </c>
      <c r="E1080">
        <v>0.50623600000000002</v>
      </c>
      <c r="F1080">
        <v>0.66432999999999998</v>
      </c>
    </row>
    <row r="1081" spans="1:6">
      <c r="A1081" s="11">
        <v>1078</v>
      </c>
      <c r="B1081">
        <v>0.77500899999999995</v>
      </c>
      <c r="C1081">
        <v>1.281779</v>
      </c>
      <c r="D1081">
        <v>0.50667300000000004</v>
      </c>
      <c r="E1081">
        <v>0.94157000000000002</v>
      </c>
      <c r="F1081">
        <v>0.60304899999999995</v>
      </c>
    </row>
    <row r="1082" spans="1:6">
      <c r="A1082" s="11">
        <v>1079</v>
      </c>
      <c r="B1082">
        <v>2.911</v>
      </c>
      <c r="C1082">
        <v>0.34442600000000001</v>
      </c>
      <c r="D1082">
        <v>2.0279630000000002</v>
      </c>
      <c r="E1082">
        <v>0.63751899999999995</v>
      </c>
      <c r="F1082">
        <v>0.38528099999999998</v>
      </c>
    </row>
    <row r="1083" spans="1:6">
      <c r="A1083" s="11">
        <v>1080</v>
      </c>
      <c r="B1083">
        <v>9.2198399999999996</v>
      </c>
      <c r="C1083">
        <v>4.2282760000000001</v>
      </c>
      <c r="D1083">
        <v>0.71477599999999997</v>
      </c>
      <c r="E1083">
        <v>0.36958299999999999</v>
      </c>
      <c r="F1083">
        <v>0.22733100000000001</v>
      </c>
    </row>
    <row r="1084" spans="1:6">
      <c r="A1084" s="11">
        <v>1081</v>
      </c>
      <c r="B1084">
        <v>1.116935</v>
      </c>
      <c r="C1084">
        <v>0.66098900000000005</v>
      </c>
      <c r="D1084">
        <v>0.50392000000000003</v>
      </c>
      <c r="E1084">
        <v>0.12807499999999999</v>
      </c>
      <c r="F1084">
        <v>7.8703000000000003</v>
      </c>
    </row>
    <row r="1085" spans="1:6">
      <c r="A1085" s="11">
        <v>1082</v>
      </c>
      <c r="B1085">
        <v>1.6546160000000001</v>
      </c>
      <c r="C1085">
        <v>1.041312</v>
      </c>
      <c r="D1085">
        <v>5.8066409999999999</v>
      </c>
      <c r="E1085">
        <v>2.1601119999999998</v>
      </c>
      <c r="F1085">
        <v>3.361961</v>
      </c>
    </row>
    <row r="1086" spans="1:6">
      <c r="A1086" s="11">
        <v>1083</v>
      </c>
      <c r="B1086">
        <v>6.0535259999999997</v>
      </c>
      <c r="C1086">
        <v>2.3760080000000001</v>
      </c>
      <c r="D1086">
        <v>0.89441800000000005</v>
      </c>
      <c r="E1086">
        <v>4.2619350000000003</v>
      </c>
      <c r="F1086">
        <v>1.0384880000000001</v>
      </c>
    </row>
    <row r="1087" spans="1:6">
      <c r="A1087" s="11">
        <v>1084</v>
      </c>
      <c r="B1087">
        <v>0.68386800000000003</v>
      </c>
      <c r="C1087">
        <v>0.92533399999999999</v>
      </c>
      <c r="D1087">
        <v>0.13644800000000001</v>
      </c>
      <c r="E1087">
        <v>0.61214599999999997</v>
      </c>
      <c r="F1087">
        <v>0.167209</v>
      </c>
    </row>
    <row r="1088" spans="1:6">
      <c r="A1088" s="11">
        <v>1085</v>
      </c>
      <c r="B1088">
        <v>0.346715</v>
      </c>
      <c r="C1088">
        <v>0.49297400000000002</v>
      </c>
      <c r="D1088">
        <v>2.2966199999999999</v>
      </c>
      <c r="E1088">
        <v>1.745746</v>
      </c>
      <c r="F1088">
        <v>1.2752699999999999</v>
      </c>
    </row>
    <row r="1089" spans="1:6">
      <c r="A1089" s="11">
        <v>1086</v>
      </c>
      <c r="B1089">
        <v>4.8494270000000004</v>
      </c>
      <c r="C1089">
        <v>0.67786999999999997</v>
      </c>
      <c r="D1089">
        <v>0.212311</v>
      </c>
      <c r="E1089">
        <v>4.0730029999999999</v>
      </c>
      <c r="F1089">
        <v>6.0770939999999998</v>
      </c>
    </row>
    <row r="1090" spans="1:6">
      <c r="A1090" s="11">
        <v>1087</v>
      </c>
      <c r="B1090">
        <v>0.50559900000000002</v>
      </c>
      <c r="C1090">
        <v>0.62058500000000005</v>
      </c>
      <c r="D1090">
        <v>0.36510599999999999</v>
      </c>
      <c r="E1090">
        <v>0.26711499999999999</v>
      </c>
      <c r="F1090">
        <v>2.2610860000000002</v>
      </c>
    </row>
    <row r="1091" spans="1:6">
      <c r="A1091" s="11">
        <v>1088</v>
      </c>
      <c r="B1091">
        <v>1.645921</v>
      </c>
      <c r="C1091">
        <v>1.8122640000000001</v>
      </c>
      <c r="D1091">
        <v>0.27311099999999999</v>
      </c>
      <c r="E1091">
        <v>2.122992</v>
      </c>
      <c r="F1091">
        <v>0.40064100000000002</v>
      </c>
    </row>
    <row r="1092" spans="1:6">
      <c r="A1092" s="11">
        <v>1089</v>
      </c>
      <c r="B1092">
        <v>4.6186720000000001</v>
      </c>
      <c r="C1092">
        <v>0.32506699999999999</v>
      </c>
      <c r="D1092">
        <v>0.29087400000000002</v>
      </c>
      <c r="E1092">
        <v>2.7952349999999999</v>
      </c>
      <c r="F1092">
        <v>0.14962400000000001</v>
      </c>
    </row>
    <row r="1093" spans="1:6">
      <c r="A1093" s="11">
        <v>1090</v>
      </c>
      <c r="B1093">
        <v>1.7483439999999999</v>
      </c>
      <c r="C1093">
        <v>1.3806799999999999</v>
      </c>
      <c r="D1093">
        <v>13.306298999999999</v>
      </c>
      <c r="E1093">
        <v>0.18168500000000001</v>
      </c>
      <c r="F1093">
        <v>0.40645500000000001</v>
      </c>
    </row>
    <row r="1094" spans="1:6">
      <c r="A1094" s="11">
        <v>1091</v>
      </c>
      <c r="B1094">
        <v>0.61827799999999999</v>
      </c>
      <c r="C1094">
        <v>1.2541610000000001</v>
      </c>
      <c r="D1094">
        <v>0.30314400000000002</v>
      </c>
      <c r="E1094">
        <v>0.50763000000000003</v>
      </c>
      <c r="F1094">
        <v>14.190521</v>
      </c>
    </row>
    <row r="1095" spans="1:6">
      <c r="A1095" s="11">
        <v>1092</v>
      </c>
      <c r="B1095">
        <v>0.45589600000000002</v>
      </c>
      <c r="C1095">
        <v>1.635516</v>
      </c>
      <c r="D1095">
        <v>0.77977700000000005</v>
      </c>
      <c r="E1095">
        <v>9.3532000000000004E-2</v>
      </c>
      <c r="F1095">
        <v>0.262822</v>
      </c>
    </row>
    <row r="1096" spans="1:6">
      <c r="A1096" s="11">
        <v>1093</v>
      </c>
      <c r="B1096">
        <v>1.459435</v>
      </c>
      <c r="C1096">
        <v>2.4911699999999999</v>
      </c>
      <c r="D1096">
        <v>0.334866</v>
      </c>
      <c r="E1096">
        <v>9.1702209999999997</v>
      </c>
      <c r="F1096">
        <v>1.201819</v>
      </c>
    </row>
    <row r="1097" spans="1:6">
      <c r="A1097" s="11">
        <v>1094</v>
      </c>
      <c r="B1097">
        <v>5.037547</v>
      </c>
      <c r="C1097">
        <v>0.155056</v>
      </c>
      <c r="D1097">
        <v>2.4864280000000001</v>
      </c>
      <c r="E1097">
        <v>13.676157</v>
      </c>
      <c r="F1097">
        <v>1.4179379999999999</v>
      </c>
    </row>
    <row r="1098" spans="1:6">
      <c r="A1098" s="11">
        <v>1095</v>
      </c>
      <c r="B1098">
        <v>1.3767940000000001</v>
      </c>
      <c r="C1098">
        <v>3.0718130000000001</v>
      </c>
      <c r="D1098">
        <v>0.16861100000000001</v>
      </c>
      <c r="E1098">
        <v>0.37293199999999999</v>
      </c>
      <c r="F1098">
        <v>1.780203</v>
      </c>
    </row>
    <row r="1099" spans="1:6">
      <c r="A1099" s="11">
        <v>1096</v>
      </c>
      <c r="B1099">
        <v>0.61400600000000005</v>
      </c>
      <c r="C1099">
        <v>1.7423169999999999</v>
      </c>
      <c r="D1099">
        <v>6.5149400000000002</v>
      </c>
      <c r="E1099">
        <v>1.1346099999999999</v>
      </c>
      <c r="F1099">
        <v>1.5738620000000001</v>
      </c>
    </row>
    <row r="1100" spans="1:6">
      <c r="A1100" s="11">
        <v>1097</v>
      </c>
      <c r="B1100">
        <v>0.36777199999999999</v>
      </c>
      <c r="C1100">
        <v>1.3538619999999999</v>
      </c>
      <c r="D1100">
        <v>2.909653</v>
      </c>
      <c r="E1100">
        <v>0.28237600000000002</v>
      </c>
      <c r="F1100">
        <v>0.44844299999999998</v>
      </c>
    </row>
    <row r="1101" spans="1:6">
      <c r="A1101" s="11">
        <v>1098</v>
      </c>
      <c r="B1101">
        <v>0.274196</v>
      </c>
      <c r="C1101">
        <v>0.993614</v>
      </c>
      <c r="D1101">
        <v>2.082738</v>
      </c>
      <c r="E1101">
        <v>1.346481</v>
      </c>
      <c r="F1101">
        <v>4.0710709999999999</v>
      </c>
    </row>
    <row r="1102" spans="1:6">
      <c r="A1102" s="11">
        <v>1099</v>
      </c>
      <c r="B1102">
        <v>2.0794350000000001</v>
      </c>
      <c r="C1102">
        <v>0.90390899999999996</v>
      </c>
      <c r="D1102">
        <v>1.0487230000000001</v>
      </c>
      <c r="E1102">
        <v>2.0513050000000002</v>
      </c>
      <c r="F1102">
        <v>0.51890099999999995</v>
      </c>
    </row>
    <row r="1103" spans="1:6">
      <c r="A1103" s="11">
        <v>1100</v>
      </c>
      <c r="B1103">
        <v>1.997444</v>
      </c>
      <c r="C1103">
        <v>0.67099500000000001</v>
      </c>
      <c r="D1103">
        <v>2.6558510000000002</v>
      </c>
      <c r="E1103">
        <v>6.044943</v>
      </c>
      <c r="F1103">
        <v>1.208823</v>
      </c>
    </row>
    <row r="1104" spans="1:6">
      <c r="A1104" s="11">
        <v>1101</v>
      </c>
      <c r="B1104">
        <v>0.18403800000000001</v>
      </c>
      <c r="C1104">
        <v>2.0997669999999999</v>
      </c>
      <c r="D1104">
        <v>1.493652</v>
      </c>
      <c r="E1104">
        <v>6.033188</v>
      </c>
      <c r="F1104">
        <v>0.38665699999999997</v>
      </c>
    </row>
    <row r="1105" spans="1:6">
      <c r="A1105" s="11">
        <v>1102</v>
      </c>
      <c r="B1105">
        <v>0.30541299999999999</v>
      </c>
      <c r="C1105">
        <v>2.4878930000000001</v>
      </c>
      <c r="D1105">
        <v>0.44867600000000002</v>
      </c>
      <c r="E1105">
        <v>3.2309700000000001</v>
      </c>
      <c r="F1105">
        <v>1.0072760000000001</v>
      </c>
    </row>
    <row r="1106" spans="1:6">
      <c r="A1106" s="11">
        <v>1103</v>
      </c>
      <c r="B1106">
        <v>0.3972</v>
      </c>
      <c r="C1106">
        <v>0.17852499999999999</v>
      </c>
      <c r="D1106">
        <v>0.88595199999999996</v>
      </c>
      <c r="E1106">
        <v>0.26921299999999998</v>
      </c>
      <c r="F1106">
        <v>0.90746800000000005</v>
      </c>
    </row>
    <row r="1107" spans="1:6">
      <c r="A1107" s="11">
        <v>1104</v>
      </c>
      <c r="B1107">
        <v>1.091188</v>
      </c>
      <c r="C1107">
        <v>0.54161199999999998</v>
      </c>
      <c r="D1107">
        <v>5.5102409999999997</v>
      </c>
      <c r="E1107">
        <v>17.699714</v>
      </c>
      <c r="F1107">
        <v>4.6575069999999998</v>
      </c>
    </row>
    <row r="1108" spans="1:6">
      <c r="A1108" s="11">
        <v>1105</v>
      </c>
      <c r="B1108">
        <v>0.44151099999999999</v>
      </c>
      <c r="C1108">
        <v>6.8824519999999998</v>
      </c>
      <c r="D1108">
        <v>5.6044669999999996</v>
      </c>
      <c r="E1108">
        <v>1.4565319999999999</v>
      </c>
      <c r="F1108">
        <v>37.105359</v>
      </c>
    </row>
    <row r="1109" spans="1:6">
      <c r="A1109" s="11">
        <v>1106</v>
      </c>
      <c r="B1109">
        <v>0.80140800000000001</v>
      </c>
      <c r="C1109">
        <v>0.338059</v>
      </c>
      <c r="D1109">
        <v>9.8031159999999993</v>
      </c>
      <c r="E1109">
        <v>1.30474</v>
      </c>
      <c r="F1109">
        <v>1.8200259999999999</v>
      </c>
    </row>
    <row r="1110" spans="1:6">
      <c r="A1110" s="11">
        <v>1107</v>
      </c>
      <c r="B1110">
        <v>1.3028439999999999</v>
      </c>
      <c r="C1110">
        <v>1.069672</v>
      </c>
      <c r="D1110">
        <v>0.30785200000000001</v>
      </c>
      <c r="E1110">
        <v>0.43850099999999997</v>
      </c>
      <c r="F1110">
        <v>1.554945</v>
      </c>
    </row>
    <row r="1111" spans="1:6">
      <c r="A1111" s="11">
        <v>1108</v>
      </c>
      <c r="B1111">
        <v>0.62085100000000004</v>
      </c>
      <c r="C1111">
        <v>0.164628</v>
      </c>
      <c r="D1111">
        <v>1.10737</v>
      </c>
      <c r="E1111">
        <v>1.499152</v>
      </c>
      <c r="F1111">
        <v>0.491452</v>
      </c>
    </row>
    <row r="1112" spans="1:6">
      <c r="A1112" s="11">
        <v>1109</v>
      </c>
      <c r="B1112">
        <v>1.3849629999999999</v>
      </c>
      <c r="C1112">
        <v>0.21445700000000001</v>
      </c>
      <c r="D1112">
        <v>1.1874039999999999</v>
      </c>
      <c r="E1112">
        <v>1.1419999999999999</v>
      </c>
      <c r="F1112">
        <v>0.45987</v>
      </c>
    </row>
    <row r="1113" spans="1:6">
      <c r="A1113" s="11">
        <v>1110</v>
      </c>
      <c r="B1113">
        <v>0.40293699999999999</v>
      </c>
      <c r="C1113">
        <v>2.1670240000000001</v>
      </c>
      <c r="D1113">
        <v>0.12834799999999999</v>
      </c>
      <c r="E1113">
        <v>0.91821399999999997</v>
      </c>
      <c r="F1113">
        <v>2.9638659999999999</v>
      </c>
    </row>
    <row r="1114" spans="1:6">
      <c r="A1114" s="11">
        <v>1111</v>
      </c>
      <c r="B1114">
        <v>5.4508650000000003</v>
      </c>
      <c r="C1114">
        <v>0.92961099999999997</v>
      </c>
      <c r="D1114">
        <v>0.517073</v>
      </c>
      <c r="E1114">
        <v>0.77284900000000001</v>
      </c>
      <c r="F1114">
        <v>1.038081</v>
      </c>
    </row>
    <row r="1115" spans="1:6">
      <c r="A1115" s="11">
        <v>1112</v>
      </c>
      <c r="B1115">
        <v>6.8226999999999996E-2</v>
      </c>
      <c r="C1115">
        <v>2.896163</v>
      </c>
      <c r="D1115">
        <v>3.0487769999999998</v>
      </c>
      <c r="E1115">
        <v>1.2025300000000001</v>
      </c>
      <c r="F1115">
        <v>0.287379</v>
      </c>
    </row>
    <row r="1116" spans="1:6">
      <c r="A1116" s="11">
        <v>1113</v>
      </c>
      <c r="B1116">
        <v>0.92110400000000003</v>
      </c>
      <c r="C1116">
        <v>1.7282500000000001</v>
      </c>
      <c r="D1116">
        <v>1.1171260000000001</v>
      </c>
      <c r="E1116">
        <v>0.88349500000000003</v>
      </c>
      <c r="F1116">
        <v>5.0338599999999998</v>
      </c>
    </row>
    <row r="1117" spans="1:6">
      <c r="A1117" s="11">
        <v>1114</v>
      </c>
      <c r="B1117">
        <v>0.25123099999999998</v>
      </c>
      <c r="C1117">
        <v>1.584832</v>
      </c>
      <c r="D1117">
        <v>3.4857269999999998</v>
      </c>
      <c r="E1117">
        <v>2.6302919999999999</v>
      </c>
      <c r="F1117">
        <v>1.142584</v>
      </c>
    </row>
    <row r="1118" spans="1:6">
      <c r="A1118" s="11">
        <v>1115</v>
      </c>
      <c r="B1118">
        <v>0.83767000000000003</v>
      </c>
      <c r="C1118">
        <v>1.458882</v>
      </c>
      <c r="D1118">
        <v>2.852862</v>
      </c>
      <c r="E1118">
        <v>0.61129699999999998</v>
      </c>
      <c r="F1118">
        <v>0.10220899999999999</v>
      </c>
    </row>
    <row r="1119" spans="1:6">
      <c r="A1119" s="11">
        <v>1116</v>
      </c>
      <c r="B1119">
        <v>0.30649500000000002</v>
      </c>
      <c r="C1119">
        <v>2.9745620000000002</v>
      </c>
      <c r="D1119">
        <v>2.1611030000000002</v>
      </c>
      <c r="E1119">
        <v>0.68356899999999998</v>
      </c>
      <c r="F1119">
        <v>0.89651599999999998</v>
      </c>
    </row>
    <row r="1120" spans="1:6">
      <c r="A1120" s="11">
        <v>1117</v>
      </c>
      <c r="B1120">
        <v>1.4093199999999999</v>
      </c>
      <c r="C1120">
        <v>0.65638300000000005</v>
      </c>
      <c r="D1120">
        <v>1.122967</v>
      </c>
      <c r="E1120">
        <v>9.2771699999999999</v>
      </c>
      <c r="F1120">
        <v>0.92018200000000006</v>
      </c>
    </row>
    <row r="1121" spans="1:6">
      <c r="A1121" s="11">
        <v>1118</v>
      </c>
      <c r="B1121">
        <v>6.5808350000000004</v>
      </c>
      <c r="C1121">
        <v>1.152288</v>
      </c>
      <c r="D1121">
        <v>1.2098800000000001</v>
      </c>
      <c r="E1121">
        <v>2.6131470000000001</v>
      </c>
      <c r="F1121">
        <v>1.8972389999999999</v>
      </c>
    </row>
    <row r="1122" spans="1:6">
      <c r="A1122" s="11">
        <v>1119</v>
      </c>
      <c r="B1122">
        <v>11.713177999999999</v>
      </c>
      <c r="C1122">
        <v>0.50510299999999997</v>
      </c>
      <c r="D1122">
        <v>0.90775600000000001</v>
      </c>
      <c r="E1122">
        <v>0.32342599999999999</v>
      </c>
      <c r="F1122">
        <v>0.39079599999999998</v>
      </c>
    </row>
    <row r="1123" spans="1:6">
      <c r="A1123" s="11">
        <v>1120</v>
      </c>
      <c r="B1123">
        <v>0.72920499999999999</v>
      </c>
      <c r="C1123">
        <v>1.168995</v>
      </c>
      <c r="D1123">
        <v>0.708372</v>
      </c>
      <c r="E1123">
        <v>0.49112299999999998</v>
      </c>
      <c r="F1123">
        <v>0.91896500000000003</v>
      </c>
    </row>
    <row r="1124" spans="1:6">
      <c r="A1124" s="11">
        <v>1121</v>
      </c>
      <c r="B1124">
        <v>0.50324500000000005</v>
      </c>
      <c r="C1124">
        <v>6.1501799999999998</v>
      </c>
      <c r="D1124">
        <v>0.34894900000000001</v>
      </c>
      <c r="E1124">
        <v>1.402784</v>
      </c>
      <c r="F1124">
        <v>1.9763310000000001</v>
      </c>
    </row>
    <row r="1125" spans="1:6">
      <c r="A1125" s="11">
        <v>1122</v>
      </c>
      <c r="B1125">
        <v>0.25716699999999998</v>
      </c>
      <c r="C1125">
        <v>0.56137999999999999</v>
      </c>
      <c r="D1125">
        <v>5.3846559999999997</v>
      </c>
      <c r="E1125">
        <v>1.5941149999999999</v>
      </c>
      <c r="F1125">
        <v>0.98366299999999995</v>
      </c>
    </row>
    <row r="1126" spans="1:6">
      <c r="A1126" s="11">
        <v>1123</v>
      </c>
      <c r="B1126">
        <v>1.207257</v>
      </c>
      <c r="C1126">
        <v>5.1401149999999998</v>
      </c>
      <c r="D1126">
        <v>0.69793799999999995</v>
      </c>
      <c r="E1126">
        <v>0.21025199999999999</v>
      </c>
      <c r="F1126">
        <v>4.9953279999999998</v>
      </c>
    </row>
    <row r="1127" spans="1:6">
      <c r="A1127" s="11">
        <v>1124</v>
      </c>
      <c r="B1127">
        <v>0.40931200000000001</v>
      </c>
      <c r="C1127">
        <v>1.1346000000000001</v>
      </c>
      <c r="D1127">
        <v>1.2912220000000001</v>
      </c>
      <c r="E1127">
        <v>0.308583</v>
      </c>
      <c r="F1127">
        <v>4.2046869999999998</v>
      </c>
    </row>
    <row r="1128" spans="1:6">
      <c r="A1128" s="11">
        <v>1125</v>
      </c>
      <c r="B1128">
        <v>0.159439</v>
      </c>
      <c r="C1128">
        <v>1.017954</v>
      </c>
      <c r="D1128">
        <v>2.6486190000000001</v>
      </c>
      <c r="E1128">
        <v>2.3209249999999999</v>
      </c>
      <c r="F1128">
        <v>8.0905470000000008</v>
      </c>
    </row>
    <row r="1129" spans="1:6">
      <c r="A1129" s="11">
        <v>1126</v>
      </c>
      <c r="B1129">
        <v>0.984518</v>
      </c>
      <c r="C1129">
        <v>0.29430699999999999</v>
      </c>
      <c r="D1129">
        <v>0.57910099999999998</v>
      </c>
      <c r="E1129">
        <v>4.1258210000000002</v>
      </c>
      <c r="F1129">
        <v>1.930016</v>
      </c>
    </row>
    <row r="1130" spans="1:6">
      <c r="A1130" s="11">
        <v>1127</v>
      </c>
      <c r="B1130">
        <v>7.920147</v>
      </c>
      <c r="C1130">
        <v>1.5375479999999999</v>
      </c>
      <c r="D1130">
        <v>0.40804800000000002</v>
      </c>
      <c r="E1130">
        <v>1.8363719999999999</v>
      </c>
      <c r="F1130">
        <v>2.4393919999999998</v>
      </c>
    </row>
    <row r="1131" spans="1:6">
      <c r="A1131" s="11">
        <v>1128</v>
      </c>
      <c r="B1131">
        <v>7.6879609999999996</v>
      </c>
      <c r="C1131">
        <v>0.464862</v>
      </c>
      <c r="D1131">
        <v>1.604719</v>
      </c>
      <c r="E1131">
        <v>0.31711499999999998</v>
      </c>
      <c r="F1131">
        <v>0.44208500000000001</v>
      </c>
    </row>
    <row r="1132" spans="1:6">
      <c r="A1132" s="11">
        <v>1129</v>
      </c>
      <c r="B1132">
        <v>1.6654279999999999</v>
      </c>
      <c r="C1132">
        <v>1.318058</v>
      </c>
      <c r="D1132">
        <v>1.869124</v>
      </c>
      <c r="E1132">
        <v>1.292387</v>
      </c>
      <c r="F1132">
        <v>0.30115700000000001</v>
      </c>
    </row>
    <row r="1133" spans="1:6">
      <c r="A1133" s="11">
        <v>1130</v>
      </c>
      <c r="B1133">
        <v>0.89116399999999996</v>
      </c>
      <c r="C1133">
        <v>0.66786299999999998</v>
      </c>
      <c r="D1133">
        <v>2.6867999999999999</v>
      </c>
      <c r="E1133">
        <v>0.21959300000000001</v>
      </c>
      <c r="F1133">
        <v>2.747795</v>
      </c>
    </row>
    <row r="1134" spans="1:6">
      <c r="A1134" s="11">
        <v>1131</v>
      </c>
      <c r="B1134">
        <v>1.419081</v>
      </c>
      <c r="C1134">
        <v>3.12453</v>
      </c>
      <c r="D1134">
        <v>1.3589469999999999</v>
      </c>
      <c r="E1134">
        <v>1.377046</v>
      </c>
      <c r="F1134">
        <v>0.69225099999999995</v>
      </c>
    </row>
    <row r="1135" spans="1:6">
      <c r="A1135" s="11">
        <v>1132</v>
      </c>
      <c r="B1135">
        <v>0.53725100000000003</v>
      </c>
      <c r="C1135">
        <v>7.3459589999999997</v>
      </c>
      <c r="D1135">
        <v>1.566568</v>
      </c>
      <c r="E1135">
        <v>0.108392</v>
      </c>
      <c r="F1135">
        <v>0.24815499999999999</v>
      </c>
    </row>
    <row r="1136" spans="1:6">
      <c r="A1136" s="11">
        <v>1133</v>
      </c>
      <c r="B1136">
        <v>2.843334</v>
      </c>
      <c r="C1136">
        <v>5.5093249999999996</v>
      </c>
      <c r="D1136">
        <v>0.91344099999999995</v>
      </c>
      <c r="E1136">
        <v>0.84164600000000001</v>
      </c>
      <c r="F1136">
        <v>0.24018600000000001</v>
      </c>
    </row>
    <row r="1137" spans="1:6">
      <c r="A1137" s="11">
        <v>1134</v>
      </c>
      <c r="B1137">
        <v>0.16262599999999999</v>
      </c>
      <c r="C1137">
        <v>1.5821259999999999</v>
      </c>
      <c r="D1137">
        <v>2.1886290000000002</v>
      </c>
      <c r="E1137">
        <v>0.88502400000000003</v>
      </c>
      <c r="F1137">
        <v>0.89802199999999999</v>
      </c>
    </row>
    <row r="1138" spans="1:6">
      <c r="A1138" s="11">
        <v>1135</v>
      </c>
      <c r="B1138">
        <v>1.3486860000000001</v>
      </c>
      <c r="C1138">
        <v>1.0362579999999999</v>
      </c>
      <c r="D1138">
        <v>0.30864599999999998</v>
      </c>
      <c r="E1138">
        <v>0.63352399999999998</v>
      </c>
      <c r="F1138">
        <v>0.89302599999999999</v>
      </c>
    </row>
    <row r="1139" spans="1:6">
      <c r="A1139" s="11">
        <v>1136</v>
      </c>
      <c r="B1139">
        <v>1.6509720000000001</v>
      </c>
      <c r="C1139">
        <v>1.169891</v>
      </c>
      <c r="D1139">
        <v>4.441128</v>
      </c>
      <c r="E1139">
        <v>0.61968599999999996</v>
      </c>
      <c r="F1139">
        <v>0.15271199999999999</v>
      </c>
    </row>
    <row r="1140" spans="1:6">
      <c r="A1140" s="11">
        <v>1137</v>
      </c>
      <c r="B1140">
        <v>3.06237</v>
      </c>
      <c r="C1140">
        <v>0.48194999999999999</v>
      </c>
      <c r="D1140">
        <v>6.1238770000000002</v>
      </c>
      <c r="E1140">
        <v>6.756119</v>
      </c>
      <c r="F1140">
        <v>3.9280759999999999</v>
      </c>
    </row>
    <row r="1141" spans="1:6">
      <c r="A1141" s="11">
        <v>1138</v>
      </c>
      <c r="B1141">
        <v>0.91958399999999996</v>
      </c>
      <c r="C1141">
        <v>9.7748000000000002E-2</v>
      </c>
      <c r="D1141">
        <v>0.47411799999999998</v>
      </c>
      <c r="E1141">
        <v>2.2516430000000001</v>
      </c>
      <c r="F1141">
        <v>3.2051020000000001</v>
      </c>
    </row>
    <row r="1142" spans="1:6">
      <c r="A1142" s="11">
        <v>1139</v>
      </c>
      <c r="B1142">
        <v>0.74843800000000005</v>
      </c>
      <c r="C1142">
        <v>0.84191300000000002</v>
      </c>
      <c r="D1142">
        <v>0.31451600000000002</v>
      </c>
      <c r="E1142">
        <v>0.62356299999999998</v>
      </c>
      <c r="F1142">
        <v>1.077609</v>
      </c>
    </row>
    <row r="1143" spans="1:6">
      <c r="A1143" s="11">
        <v>1140</v>
      </c>
      <c r="B1143">
        <v>0.54316799999999998</v>
      </c>
      <c r="C1143">
        <v>0.37645000000000001</v>
      </c>
      <c r="D1143">
        <v>0.112405</v>
      </c>
      <c r="E1143">
        <v>4.951257</v>
      </c>
      <c r="F1143">
        <v>0.37505500000000003</v>
      </c>
    </row>
    <row r="1144" spans="1:6">
      <c r="A1144" s="11">
        <v>1141</v>
      </c>
      <c r="B1144">
        <v>0.80355699999999997</v>
      </c>
      <c r="C1144">
        <v>1.1451549999999999</v>
      </c>
      <c r="D1144">
        <v>0.17483899999999999</v>
      </c>
      <c r="E1144">
        <v>6.4094999999999999E-2</v>
      </c>
      <c r="F1144">
        <v>0.93634700000000004</v>
      </c>
    </row>
    <row r="1145" spans="1:6">
      <c r="A1145" s="11">
        <v>1142</v>
      </c>
      <c r="B1145">
        <v>0.53261999999999998</v>
      </c>
      <c r="C1145">
        <v>8.1480580000000007</v>
      </c>
      <c r="D1145">
        <v>2.776742</v>
      </c>
      <c r="E1145">
        <v>0.50051400000000001</v>
      </c>
      <c r="F1145">
        <v>0.129524</v>
      </c>
    </row>
    <row r="1146" spans="1:6">
      <c r="A1146" s="11">
        <v>1143</v>
      </c>
      <c r="B1146">
        <v>1.3144089999999999</v>
      </c>
      <c r="C1146">
        <v>0.489068</v>
      </c>
      <c r="D1146">
        <v>0.28966799999999998</v>
      </c>
      <c r="E1146">
        <v>0.99306799999999995</v>
      </c>
      <c r="F1146">
        <v>0.86982800000000005</v>
      </c>
    </row>
    <row r="1147" spans="1:6">
      <c r="A1147" s="11">
        <v>1144</v>
      </c>
      <c r="B1147">
        <v>1.2009000000000001</v>
      </c>
      <c r="C1147">
        <v>0.69569300000000001</v>
      </c>
      <c r="D1147">
        <v>2.924957</v>
      </c>
      <c r="E1147">
        <v>0.25083299999999997</v>
      </c>
      <c r="F1147">
        <v>0.68898999999999999</v>
      </c>
    </row>
    <row r="1148" spans="1:6">
      <c r="A1148" s="11">
        <v>1145</v>
      </c>
      <c r="B1148">
        <v>3.4505029999999999</v>
      </c>
      <c r="C1148">
        <v>1.981808</v>
      </c>
      <c r="D1148">
        <v>3.878072</v>
      </c>
      <c r="E1148">
        <v>1.792848</v>
      </c>
      <c r="F1148">
        <v>3.0202</v>
      </c>
    </row>
    <row r="1149" spans="1:6">
      <c r="A1149" s="11">
        <v>1146</v>
      </c>
      <c r="B1149">
        <v>1.679705</v>
      </c>
      <c r="C1149">
        <v>3.3588119999999999</v>
      </c>
      <c r="D1149">
        <v>0.60698099999999999</v>
      </c>
      <c r="E1149">
        <v>18.488322</v>
      </c>
      <c r="F1149">
        <v>39.90269</v>
      </c>
    </row>
    <row r="1150" spans="1:6">
      <c r="A1150" s="11">
        <v>1147</v>
      </c>
      <c r="B1150">
        <v>0.38265399999999999</v>
      </c>
      <c r="C1150">
        <v>0.33654699999999999</v>
      </c>
      <c r="D1150">
        <v>1.1644410000000001</v>
      </c>
      <c r="E1150">
        <v>0.15349499999999999</v>
      </c>
      <c r="F1150">
        <v>1.9556549999999999</v>
      </c>
    </row>
    <row r="1151" spans="1:6">
      <c r="A1151" s="11">
        <v>1148</v>
      </c>
      <c r="B1151">
        <v>1.2003699999999999</v>
      </c>
      <c r="C1151">
        <v>2.002637</v>
      </c>
      <c r="D1151">
        <v>0.43860100000000002</v>
      </c>
      <c r="E1151">
        <v>2.9564319999999999</v>
      </c>
      <c r="F1151">
        <v>0.53892799999999996</v>
      </c>
    </row>
    <row r="1152" spans="1:6">
      <c r="A1152" s="11">
        <v>1149</v>
      </c>
      <c r="B1152">
        <v>0.968059</v>
      </c>
      <c r="C1152">
        <v>1.086317</v>
      </c>
      <c r="D1152">
        <v>5.9189730000000003</v>
      </c>
      <c r="E1152">
        <v>0.29805599999999999</v>
      </c>
      <c r="F1152">
        <v>0.50080800000000003</v>
      </c>
    </row>
    <row r="1153" spans="1:6">
      <c r="A1153" s="11">
        <v>1150</v>
      </c>
      <c r="B1153">
        <v>4.1278759999999997</v>
      </c>
      <c r="C1153">
        <v>1.53339</v>
      </c>
      <c r="D1153">
        <v>1.638436</v>
      </c>
      <c r="E1153">
        <v>0.90266900000000005</v>
      </c>
      <c r="F1153">
        <v>0.96367999999999998</v>
      </c>
    </row>
    <row r="1154" spans="1:6">
      <c r="A1154" s="11">
        <v>1151</v>
      </c>
      <c r="B1154">
        <v>2.542135</v>
      </c>
      <c r="C1154">
        <v>6.4014629999999997</v>
      </c>
      <c r="D1154">
        <v>0.17718100000000001</v>
      </c>
      <c r="E1154">
        <v>2.8440379999999998</v>
      </c>
      <c r="F1154">
        <v>1.170587</v>
      </c>
    </row>
    <row r="1155" spans="1:6">
      <c r="A1155" s="11">
        <v>1152</v>
      </c>
      <c r="B1155">
        <v>1.9638230000000001</v>
      </c>
      <c r="C1155">
        <v>0.49850699999999998</v>
      </c>
      <c r="D1155">
        <v>2.5248400000000002</v>
      </c>
      <c r="E1155">
        <v>0.224635</v>
      </c>
      <c r="F1155">
        <v>1.062179</v>
      </c>
    </row>
    <row r="1156" spans="1:6">
      <c r="A1156" s="11">
        <v>1153</v>
      </c>
      <c r="B1156">
        <v>0.59565199999999996</v>
      </c>
      <c r="C1156">
        <v>0.46648499999999998</v>
      </c>
      <c r="D1156">
        <v>0.64256000000000002</v>
      </c>
      <c r="E1156">
        <v>2.2163369999999998</v>
      </c>
      <c r="F1156">
        <v>1.1391519999999999</v>
      </c>
    </row>
    <row r="1157" spans="1:6">
      <c r="A1157" s="11">
        <v>1154</v>
      </c>
      <c r="B1157">
        <v>0.34767300000000001</v>
      </c>
      <c r="C1157">
        <v>0.67233100000000001</v>
      </c>
      <c r="D1157">
        <v>1.318913</v>
      </c>
      <c r="E1157">
        <v>0.55127199999999998</v>
      </c>
      <c r="F1157">
        <v>5.4070419999999997</v>
      </c>
    </row>
    <row r="1158" spans="1:6">
      <c r="A1158" s="11">
        <v>1155</v>
      </c>
      <c r="B1158">
        <v>0.82729699999999995</v>
      </c>
      <c r="C1158">
        <v>3.4616090000000002</v>
      </c>
      <c r="D1158">
        <v>2.5711650000000001</v>
      </c>
      <c r="E1158">
        <v>2.1637569999999999</v>
      </c>
      <c r="F1158">
        <v>2.0310190000000001</v>
      </c>
    </row>
    <row r="1159" spans="1:6">
      <c r="A1159" s="11">
        <v>1156</v>
      </c>
      <c r="B1159">
        <v>0.56806400000000001</v>
      </c>
      <c r="C1159">
        <v>3.7012330000000002</v>
      </c>
      <c r="D1159">
        <v>0.97157499999999997</v>
      </c>
      <c r="E1159">
        <v>1.096457</v>
      </c>
      <c r="F1159">
        <v>2.377332</v>
      </c>
    </row>
    <row r="1160" spans="1:6">
      <c r="A1160" s="11">
        <v>1157</v>
      </c>
      <c r="B1160">
        <v>0.71888700000000005</v>
      </c>
      <c r="C1160">
        <v>0.394706</v>
      </c>
      <c r="D1160">
        <v>0.83396700000000001</v>
      </c>
      <c r="E1160">
        <v>0.23841699999999999</v>
      </c>
      <c r="F1160">
        <v>0.34696900000000003</v>
      </c>
    </row>
    <row r="1161" spans="1:6">
      <c r="A1161" s="11">
        <v>1158</v>
      </c>
      <c r="B1161">
        <v>0.460231</v>
      </c>
      <c r="C1161">
        <v>5.1040979999999996</v>
      </c>
      <c r="D1161">
        <v>27.057894000000001</v>
      </c>
      <c r="E1161">
        <v>0.62706300000000004</v>
      </c>
      <c r="F1161">
        <v>0.31003599999999998</v>
      </c>
    </row>
    <row r="1162" spans="1:6">
      <c r="A1162" s="11">
        <v>1159</v>
      </c>
      <c r="B1162">
        <v>1.5426139999999999</v>
      </c>
      <c r="C1162">
        <v>1.447222</v>
      </c>
      <c r="D1162">
        <v>0.33221899999999999</v>
      </c>
      <c r="E1162">
        <v>4.3581989999999999</v>
      </c>
      <c r="F1162">
        <v>2.0672709999999999</v>
      </c>
    </row>
    <row r="1163" spans="1:6">
      <c r="A1163" s="11">
        <v>1160</v>
      </c>
      <c r="B1163">
        <v>5.9067000000000001E-2</v>
      </c>
      <c r="C1163">
        <v>6.7627430000000004</v>
      </c>
      <c r="D1163">
        <v>5.7689019999999998</v>
      </c>
      <c r="E1163">
        <v>2.5213220000000001</v>
      </c>
      <c r="F1163">
        <v>1.4923120000000001</v>
      </c>
    </row>
    <row r="1164" spans="1:6">
      <c r="A1164" s="11">
        <v>1161</v>
      </c>
      <c r="B1164">
        <v>0.74150199999999999</v>
      </c>
      <c r="C1164">
        <v>0.47072999999999998</v>
      </c>
      <c r="D1164">
        <v>3.3877079999999999</v>
      </c>
      <c r="E1164">
        <v>1.9549890000000001</v>
      </c>
      <c r="F1164">
        <v>0.39742</v>
      </c>
    </row>
    <row r="1165" spans="1:6">
      <c r="A1165" s="11">
        <v>1162</v>
      </c>
      <c r="B1165">
        <v>0.43372100000000002</v>
      </c>
      <c r="C1165">
        <v>1.5542640000000001</v>
      </c>
      <c r="D1165">
        <v>1.787412</v>
      </c>
      <c r="E1165">
        <v>4.3499920000000003</v>
      </c>
      <c r="F1165">
        <v>0.64252699999999996</v>
      </c>
    </row>
    <row r="1166" spans="1:6">
      <c r="A1166" s="11">
        <v>1163</v>
      </c>
      <c r="B1166">
        <v>0.90823699999999996</v>
      </c>
      <c r="C1166">
        <v>5.3915199999999999</v>
      </c>
      <c r="D1166">
        <v>2.9321100000000002</v>
      </c>
      <c r="E1166">
        <v>1.0642670000000001</v>
      </c>
      <c r="F1166">
        <v>0.73999599999999999</v>
      </c>
    </row>
    <row r="1167" spans="1:6">
      <c r="A1167" s="11">
        <v>1164</v>
      </c>
      <c r="B1167">
        <v>0.99604599999999999</v>
      </c>
      <c r="C1167">
        <v>1.4760930000000001</v>
      </c>
      <c r="D1167">
        <v>3.2542</v>
      </c>
      <c r="E1167">
        <v>1.3125739999999999</v>
      </c>
      <c r="F1167">
        <v>0.178198</v>
      </c>
    </row>
    <row r="1168" spans="1:6">
      <c r="A1168" s="11">
        <v>1165</v>
      </c>
      <c r="B1168">
        <v>5.0410810000000001</v>
      </c>
      <c r="C1168">
        <v>0.87373299999999998</v>
      </c>
      <c r="D1168">
        <v>1.5696619999999999</v>
      </c>
      <c r="E1168">
        <v>0.90114300000000003</v>
      </c>
      <c r="F1168">
        <v>3.325002</v>
      </c>
    </row>
    <row r="1169" spans="1:6">
      <c r="A1169" s="11">
        <v>1166</v>
      </c>
      <c r="B1169">
        <v>10.172662000000001</v>
      </c>
      <c r="C1169">
        <v>1.4641690000000001</v>
      </c>
      <c r="D1169">
        <v>1.4001950000000001</v>
      </c>
      <c r="E1169">
        <v>4.1602750000000004</v>
      </c>
      <c r="F1169">
        <v>0.20989099999999999</v>
      </c>
    </row>
    <row r="1170" spans="1:6">
      <c r="A1170" s="11">
        <v>1167</v>
      </c>
      <c r="B1170">
        <v>2.5961080000000001</v>
      </c>
      <c r="C1170">
        <v>0.80612799999999996</v>
      </c>
      <c r="D1170">
        <v>0.743981</v>
      </c>
      <c r="E1170">
        <v>0.27615600000000001</v>
      </c>
      <c r="F1170">
        <v>0.68412899999999999</v>
      </c>
    </row>
    <row r="1171" spans="1:6">
      <c r="A1171" s="11">
        <v>1168</v>
      </c>
      <c r="B1171">
        <v>4.2903440000000002</v>
      </c>
      <c r="C1171">
        <v>10.511725</v>
      </c>
      <c r="D1171">
        <v>0.26031799999999999</v>
      </c>
      <c r="E1171">
        <v>8.6462889999999994</v>
      </c>
      <c r="F1171">
        <v>1.4656670000000001</v>
      </c>
    </row>
    <row r="1172" spans="1:6">
      <c r="A1172" s="11">
        <v>1169</v>
      </c>
      <c r="B1172">
        <v>1.047949</v>
      </c>
      <c r="C1172">
        <v>0.226961</v>
      </c>
      <c r="D1172">
        <v>18.243746000000002</v>
      </c>
      <c r="E1172">
        <v>0.95583300000000004</v>
      </c>
      <c r="F1172">
        <v>1.0572569999999999</v>
      </c>
    </row>
    <row r="1173" spans="1:6">
      <c r="A1173" s="11">
        <v>1170</v>
      </c>
      <c r="B1173">
        <v>0.376807</v>
      </c>
      <c r="C1173">
        <v>3.4344869999999998</v>
      </c>
      <c r="D1173">
        <v>2.1764019999999999</v>
      </c>
      <c r="E1173">
        <v>0.69416599999999995</v>
      </c>
      <c r="F1173">
        <v>2.5125799999999998</v>
      </c>
    </row>
    <row r="1174" spans="1:6">
      <c r="A1174" s="11">
        <v>1171</v>
      </c>
      <c r="B1174">
        <v>2.3675359999999999</v>
      </c>
      <c r="C1174">
        <v>3.2671929999999998</v>
      </c>
      <c r="D1174">
        <v>2.8758010000000001</v>
      </c>
      <c r="E1174">
        <v>1.7253210000000001</v>
      </c>
      <c r="F1174">
        <v>0.85275199999999995</v>
      </c>
    </row>
    <row r="1175" spans="1:6">
      <c r="A1175" s="11">
        <v>1172</v>
      </c>
      <c r="B1175">
        <v>7.7459E-2</v>
      </c>
      <c r="C1175">
        <v>0.45727600000000002</v>
      </c>
      <c r="D1175">
        <v>1.156412</v>
      </c>
      <c r="E1175">
        <v>5.0526330000000002</v>
      </c>
      <c r="F1175">
        <v>3.604911</v>
      </c>
    </row>
    <row r="1176" spans="1:6">
      <c r="A1176" s="11">
        <v>1173</v>
      </c>
      <c r="B1176">
        <v>0.11482199999999999</v>
      </c>
      <c r="C1176">
        <v>0.50892300000000001</v>
      </c>
      <c r="D1176">
        <v>3.405122</v>
      </c>
      <c r="E1176">
        <v>11.221245</v>
      </c>
      <c r="F1176">
        <v>2.7918340000000001</v>
      </c>
    </row>
    <row r="1177" spans="1:6">
      <c r="A1177" s="11">
        <v>1174</v>
      </c>
      <c r="B1177">
        <v>2.6055860000000002</v>
      </c>
      <c r="C1177">
        <v>0.82686499999999996</v>
      </c>
      <c r="D1177">
        <v>0.251191</v>
      </c>
      <c r="E1177">
        <v>0.155916</v>
      </c>
      <c r="F1177">
        <v>0.23819399999999999</v>
      </c>
    </row>
    <row r="1178" spans="1:6">
      <c r="A1178" s="11">
        <v>1175</v>
      </c>
      <c r="B1178">
        <v>1.117937</v>
      </c>
      <c r="C1178">
        <v>0.80896299999999999</v>
      </c>
      <c r="D1178">
        <v>0.91604200000000002</v>
      </c>
      <c r="E1178">
        <v>8.5897059999999996</v>
      </c>
      <c r="F1178">
        <v>0.13603399999999999</v>
      </c>
    </row>
    <row r="1179" spans="1:6">
      <c r="A1179" s="11">
        <v>1176</v>
      </c>
      <c r="B1179">
        <v>1.7629520000000001</v>
      </c>
      <c r="C1179">
        <v>3.2380239999999998</v>
      </c>
      <c r="D1179">
        <v>1.3928970000000001</v>
      </c>
      <c r="E1179">
        <v>0.67424300000000004</v>
      </c>
      <c r="F1179">
        <v>4.7161220000000004</v>
      </c>
    </row>
    <row r="1180" spans="1:6">
      <c r="A1180" s="11">
        <v>1177</v>
      </c>
      <c r="B1180">
        <v>0.57849700000000004</v>
      </c>
      <c r="C1180">
        <v>1.228289</v>
      </c>
      <c r="D1180">
        <v>1.9111480000000001</v>
      </c>
      <c r="E1180">
        <v>4.2610590000000004</v>
      </c>
      <c r="F1180">
        <v>0.34162700000000001</v>
      </c>
    </row>
    <row r="1181" spans="1:6">
      <c r="A1181" s="11">
        <v>1178</v>
      </c>
      <c r="B1181">
        <v>3.063825</v>
      </c>
      <c r="C1181">
        <v>0.45534799999999997</v>
      </c>
      <c r="D1181">
        <v>0.26487300000000003</v>
      </c>
      <c r="E1181">
        <v>1.594217</v>
      </c>
      <c r="F1181">
        <v>2.7110259999999999</v>
      </c>
    </row>
    <row r="1182" spans="1:6">
      <c r="A1182" s="11">
        <v>1179</v>
      </c>
      <c r="B1182">
        <v>0.88075599999999998</v>
      </c>
      <c r="C1182">
        <v>5.3327989999999996</v>
      </c>
      <c r="D1182">
        <v>4.3639150000000004</v>
      </c>
      <c r="E1182">
        <v>3.0933310000000001</v>
      </c>
      <c r="F1182">
        <v>1.0269189999999999</v>
      </c>
    </row>
    <row r="1183" spans="1:6">
      <c r="A1183" s="11">
        <v>1180</v>
      </c>
      <c r="B1183">
        <v>0.67781899999999995</v>
      </c>
      <c r="C1183">
        <v>2.3619249999999998</v>
      </c>
      <c r="D1183">
        <v>0.987846</v>
      </c>
      <c r="E1183">
        <v>1.714029</v>
      </c>
      <c r="F1183">
        <v>1.2114929999999999</v>
      </c>
    </row>
    <row r="1184" spans="1:6">
      <c r="A1184" s="11">
        <v>1181</v>
      </c>
      <c r="B1184">
        <v>0.61666600000000005</v>
      </c>
      <c r="C1184">
        <v>3.950615</v>
      </c>
      <c r="D1184">
        <v>1.073118</v>
      </c>
      <c r="E1184">
        <v>4.1562789999999996</v>
      </c>
      <c r="F1184">
        <v>1.204196</v>
      </c>
    </row>
    <row r="1185" spans="1:6">
      <c r="A1185" s="11">
        <v>1182</v>
      </c>
      <c r="B1185">
        <v>1.517398</v>
      </c>
      <c r="C1185">
        <v>1.872986</v>
      </c>
      <c r="D1185">
        <v>0.17396300000000001</v>
      </c>
      <c r="E1185">
        <v>2.6766220000000001</v>
      </c>
      <c r="F1185">
        <v>1.5130189999999999</v>
      </c>
    </row>
    <row r="1186" spans="1:6">
      <c r="A1186" s="11">
        <v>1183</v>
      </c>
      <c r="B1186">
        <v>1.392007</v>
      </c>
      <c r="C1186">
        <v>1.4793480000000001</v>
      </c>
      <c r="D1186">
        <v>0.94082200000000005</v>
      </c>
      <c r="E1186">
        <v>0.30415399999999998</v>
      </c>
      <c r="F1186">
        <v>2.3833959999999998</v>
      </c>
    </row>
    <row r="1187" spans="1:6">
      <c r="A1187" s="11">
        <v>1184</v>
      </c>
      <c r="B1187">
        <v>1.30369</v>
      </c>
      <c r="C1187">
        <v>0.45193</v>
      </c>
      <c r="D1187">
        <v>0.54000800000000004</v>
      </c>
      <c r="E1187">
        <v>0.31400600000000001</v>
      </c>
      <c r="F1187">
        <v>0.43564399999999998</v>
      </c>
    </row>
    <row r="1188" spans="1:6">
      <c r="A1188" s="11">
        <v>1185</v>
      </c>
      <c r="B1188">
        <v>2.1659470000000001</v>
      </c>
      <c r="C1188">
        <v>3.5000529999999999</v>
      </c>
      <c r="D1188">
        <v>4.4367349999999997</v>
      </c>
      <c r="E1188">
        <v>1.165484</v>
      </c>
      <c r="F1188">
        <v>1.7967569999999999</v>
      </c>
    </row>
    <row r="1189" spans="1:6">
      <c r="A1189" s="11">
        <v>1186</v>
      </c>
      <c r="B1189">
        <v>0.86005600000000004</v>
      </c>
      <c r="C1189">
        <v>8.8082550000000008</v>
      </c>
      <c r="D1189">
        <v>1.0099309999999999</v>
      </c>
      <c r="E1189">
        <v>6.2323170000000001</v>
      </c>
      <c r="F1189">
        <v>1.0648409999999999</v>
      </c>
    </row>
    <row r="1190" spans="1:6">
      <c r="A1190" s="11">
        <v>1187</v>
      </c>
      <c r="B1190">
        <v>1.87554</v>
      </c>
      <c r="C1190">
        <v>0.48049799999999998</v>
      </c>
      <c r="D1190">
        <v>0.24879100000000001</v>
      </c>
      <c r="E1190">
        <v>0.29293599999999997</v>
      </c>
      <c r="F1190">
        <v>2.5780249999999998</v>
      </c>
    </row>
    <row r="1191" spans="1:6">
      <c r="A1191" s="11">
        <v>1188</v>
      </c>
      <c r="B1191">
        <v>1.2984579999999999</v>
      </c>
      <c r="C1191">
        <v>3.549852</v>
      </c>
      <c r="D1191">
        <v>5.2961000000000001E-2</v>
      </c>
      <c r="E1191">
        <v>0.537103</v>
      </c>
      <c r="F1191">
        <v>2.0918320000000001</v>
      </c>
    </row>
    <row r="1192" spans="1:6">
      <c r="A1192" s="11">
        <v>1189</v>
      </c>
      <c r="B1192">
        <v>0.62944299999999997</v>
      </c>
      <c r="C1192">
        <v>0.51779900000000001</v>
      </c>
      <c r="D1192">
        <v>0.41754799999999997</v>
      </c>
      <c r="E1192">
        <v>0.39846999999999999</v>
      </c>
      <c r="F1192">
        <v>0.60786399999999996</v>
      </c>
    </row>
    <row r="1193" spans="1:6">
      <c r="A1193" s="11">
        <v>1190</v>
      </c>
      <c r="B1193">
        <v>0.69023000000000001</v>
      </c>
      <c r="C1193">
        <v>1.077164</v>
      </c>
      <c r="D1193">
        <v>2.071396</v>
      </c>
      <c r="E1193">
        <v>0.110794</v>
      </c>
      <c r="F1193">
        <v>1.1891700000000001</v>
      </c>
    </row>
    <row r="1194" spans="1:6">
      <c r="A1194" s="11">
        <v>1191</v>
      </c>
      <c r="B1194">
        <v>0.52812199999999998</v>
      </c>
      <c r="C1194">
        <v>0.49065999999999999</v>
      </c>
      <c r="D1194">
        <v>0.55388400000000004</v>
      </c>
      <c r="E1194">
        <v>2.6271740000000001</v>
      </c>
      <c r="F1194">
        <v>3.543803</v>
      </c>
    </row>
    <row r="1195" spans="1:6">
      <c r="A1195" s="11">
        <v>1192</v>
      </c>
      <c r="B1195">
        <v>0.159556</v>
      </c>
      <c r="C1195">
        <v>2.1170879999999999</v>
      </c>
      <c r="D1195">
        <v>0.197766</v>
      </c>
      <c r="E1195">
        <v>1.8884920000000001</v>
      </c>
      <c r="F1195">
        <v>4.0878319999999997</v>
      </c>
    </row>
    <row r="1196" spans="1:6">
      <c r="A1196" s="11">
        <v>1193</v>
      </c>
      <c r="B1196">
        <v>0.82266300000000003</v>
      </c>
      <c r="C1196">
        <v>0.27249499999999999</v>
      </c>
      <c r="D1196">
        <v>2.7458290000000001</v>
      </c>
      <c r="E1196">
        <v>1.25847</v>
      </c>
      <c r="F1196">
        <v>4.4836749999999999</v>
      </c>
    </row>
    <row r="1197" spans="1:6">
      <c r="A1197" s="11">
        <v>1194</v>
      </c>
      <c r="B1197">
        <v>1.8658319999999999</v>
      </c>
      <c r="C1197">
        <v>0.86087999999999998</v>
      </c>
      <c r="D1197">
        <v>1.013585</v>
      </c>
      <c r="E1197">
        <v>13.211104000000001</v>
      </c>
      <c r="F1197">
        <v>1.5895630000000001</v>
      </c>
    </row>
    <row r="1198" spans="1:6">
      <c r="A1198" s="11">
        <v>1195</v>
      </c>
      <c r="B1198">
        <v>5.7020949999999999</v>
      </c>
      <c r="C1198">
        <v>0.91988700000000001</v>
      </c>
      <c r="D1198">
        <v>1.5681639999999999</v>
      </c>
      <c r="E1198">
        <v>0.39262799999999998</v>
      </c>
      <c r="F1198">
        <v>0.39516299999999999</v>
      </c>
    </row>
    <row r="1199" spans="1:6">
      <c r="A1199" s="11">
        <v>1196</v>
      </c>
      <c r="B1199">
        <v>0.61907599999999996</v>
      </c>
      <c r="C1199">
        <v>8.5780999999999996E-2</v>
      </c>
      <c r="D1199">
        <v>1.1243209999999999</v>
      </c>
      <c r="E1199">
        <v>3.966202</v>
      </c>
      <c r="F1199">
        <v>0.28264899999999998</v>
      </c>
    </row>
    <row r="1200" spans="1:6">
      <c r="A1200" s="11">
        <v>1197</v>
      </c>
      <c r="B1200">
        <v>0.247389</v>
      </c>
      <c r="C1200">
        <v>1.207328</v>
      </c>
      <c r="D1200">
        <v>1.6809000000000001</v>
      </c>
      <c r="E1200">
        <v>0.24299399999999999</v>
      </c>
      <c r="F1200">
        <v>10.313568999999999</v>
      </c>
    </row>
    <row r="1201" spans="1:6">
      <c r="A1201" s="11">
        <v>1198</v>
      </c>
      <c r="B1201">
        <v>0.75125500000000001</v>
      </c>
      <c r="C1201">
        <v>1.5910599999999999</v>
      </c>
      <c r="D1201">
        <v>7.9751570000000003</v>
      </c>
      <c r="E1201">
        <v>1.96878</v>
      </c>
      <c r="F1201">
        <v>4.8148790000000004</v>
      </c>
    </row>
    <row r="1202" spans="1:6">
      <c r="A1202" s="11">
        <v>1199</v>
      </c>
      <c r="B1202">
        <v>1.0643089999999999</v>
      </c>
      <c r="C1202">
        <v>0.50863499999999995</v>
      </c>
      <c r="D1202">
        <v>8.7008270000000003</v>
      </c>
      <c r="E1202">
        <v>0.119353</v>
      </c>
      <c r="F1202">
        <v>0.44744899999999999</v>
      </c>
    </row>
    <row r="1203" spans="1:6">
      <c r="A1203" s="11">
        <v>1200</v>
      </c>
      <c r="B1203">
        <v>7.2266149999999998</v>
      </c>
      <c r="C1203">
        <v>0.260019</v>
      </c>
      <c r="D1203">
        <v>0.34065499999999999</v>
      </c>
      <c r="E1203">
        <v>3.338622</v>
      </c>
      <c r="F1203">
        <v>1.1617230000000001</v>
      </c>
    </row>
    <row r="1204" spans="1:6">
      <c r="A1204" s="11">
        <v>1201</v>
      </c>
      <c r="B1204">
        <v>0.95150299999999999</v>
      </c>
      <c r="C1204">
        <v>1.1806890000000001</v>
      </c>
      <c r="D1204">
        <v>3.7242899999999999</v>
      </c>
      <c r="E1204">
        <v>0.70634399999999997</v>
      </c>
      <c r="F1204">
        <v>1.4627460000000001</v>
      </c>
    </row>
    <row r="1205" spans="1:6">
      <c r="A1205" s="11">
        <v>1202</v>
      </c>
      <c r="B1205">
        <v>0.102059</v>
      </c>
      <c r="C1205">
        <v>2.3687040000000001</v>
      </c>
      <c r="D1205">
        <v>4.5746120000000001</v>
      </c>
      <c r="E1205">
        <v>2.7627660000000001</v>
      </c>
      <c r="F1205">
        <v>3.5436740000000002</v>
      </c>
    </row>
    <row r="1206" spans="1:6">
      <c r="A1206" s="11">
        <v>1203</v>
      </c>
      <c r="B1206">
        <v>1.6202179999999999</v>
      </c>
      <c r="C1206">
        <v>1.493692</v>
      </c>
      <c r="D1206">
        <v>0.29691299999999998</v>
      </c>
      <c r="E1206">
        <v>4.1885300000000001</v>
      </c>
      <c r="F1206">
        <v>0.57136299999999995</v>
      </c>
    </row>
    <row r="1207" spans="1:6">
      <c r="A1207" s="11">
        <v>1204</v>
      </c>
      <c r="B1207">
        <v>3.1254040000000001</v>
      </c>
      <c r="C1207">
        <v>0.85773999999999995</v>
      </c>
      <c r="D1207">
        <v>0.81862100000000004</v>
      </c>
      <c r="E1207">
        <v>1.5788770000000001</v>
      </c>
      <c r="F1207">
        <v>0.79593499999999995</v>
      </c>
    </row>
    <row r="1208" spans="1:6">
      <c r="A1208" s="11">
        <v>1205</v>
      </c>
      <c r="B1208">
        <v>1.1767270000000001</v>
      </c>
      <c r="C1208">
        <v>0.34565699999999999</v>
      </c>
      <c r="D1208">
        <v>9.4122999999999998E-2</v>
      </c>
      <c r="E1208">
        <v>0.12621199999999999</v>
      </c>
      <c r="F1208">
        <v>5.4803899999999999</v>
      </c>
    </row>
    <row r="1209" spans="1:6">
      <c r="A1209" s="11">
        <v>1206</v>
      </c>
      <c r="B1209">
        <v>1.095782</v>
      </c>
      <c r="C1209">
        <v>0.34001500000000001</v>
      </c>
      <c r="D1209">
        <v>0.93133999999999995</v>
      </c>
      <c r="E1209">
        <v>3.805374</v>
      </c>
      <c r="F1209">
        <v>6.7469939999999999</v>
      </c>
    </row>
    <row r="1210" spans="1:6">
      <c r="A1210" s="11">
        <v>1207</v>
      </c>
      <c r="B1210">
        <v>0.44628499999999999</v>
      </c>
      <c r="C1210">
        <v>0.144618</v>
      </c>
      <c r="D1210">
        <v>11.135541</v>
      </c>
      <c r="E1210">
        <v>0.23522699999999999</v>
      </c>
      <c r="F1210">
        <v>1.090247</v>
      </c>
    </row>
    <row r="1211" spans="1:6">
      <c r="A1211" s="11">
        <v>1208</v>
      </c>
      <c r="B1211">
        <v>2.0436700000000001</v>
      </c>
      <c r="C1211">
        <v>9.3021940000000001</v>
      </c>
      <c r="D1211">
        <v>0.20096700000000001</v>
      </c>
      <c r="E1211">
        <v>1.3919790000000001</v>
      </c>
      <c r="F1211">
        <v>1.068808</v>
      </c>
    </row>
    <row r="1212" spans="1:6">
      <c r="A1212" s="11">
        <v>1209</v>
      </c>
      <c r="B1212">
        <v>0.71624500000000002</v>
      </c>
      <c r="C1212">
        <v>0.79507300000000003</v>
      </c>
      <c r="D1212">
        <v>0.65314399999999995</v>
      </c>
      <c r="E1212">
        <v>1.588428</v>
      </c>
      <c r="F1212">
        <v>1.0797410000000001</v>
      </c>
    </row>
    <row r="1213" spans="1:6">
      <c r="A1213" s="11">
        <v>1210</v>
      </c>
      <c r="B1213">
        <v>0.77877200000000002</v>
      </c>
      <c r="C1213">
        <v>0.66941700000000004</v>
      </c>
      <c r="D1213">
        <v>0.54928100000000002</v>
      </c>
      <c r="E1213">
        <v>2.2041490000000001</v>
      </c>
      <c r="F1213">
        <v>5.1909280000000004</v>
      </c>
    </row>
    <row r="1214" spans="1:6">
      <c r="A1214" s="11">
        <v>1211</v>
      </c>
      <c r="B1214">
        <v>0.29846499999999998</v>
      </c>
      <c r="C1214">
        <v>1.024413</v>
      </c>
      <c r="D1214">
        <v>2.3642129999999999</v>
      </c>
      <c r="E1214">
        <v>0.15035799999999999</v>
      </c>
      <c r="F1214">
        <v>0.19572300000000001</v>
      </c>
    </row>
    <row r="1215" spans="1:6">
      <c r="A1215" s="11">
        <v>1212</v>
      </c>
      <c r="B1215">
        <v>0.97799000000000003</v>
      </c>
      <c r="C1215">
        <v>4.6608309999999999</v>
      </c>
      <c r="D1215">
        <v>0.53713</v>
      </c>
      <c r="E1215">
        <v>0.51659299999999997</v>
      </c>
      <c r="F1215">
        <v>5.7166990000000002</v>
      </c>
    </row>
    <row r="1216" spans="1:6">
      <c r="A1216" s="11">
        <v>1213</v>
      </c>
      <c r="B1216">
        <v>14.177294</v>
      </c>
      <c r="C1216">
        <v>1.2521249999999999</v>
      </c>
      <c r="D1216">
        <v>0.70172599999999996</v>
      </c>
      <c r="E1216">
        <v>0.75065099999999996</v>
      </c>
      <c r="F1216">
        <v>0.37700699999999998</v>
      </c>
    </row>
    <row r="1217" spans="1:6">
      <c r="A1217" s="11">
        <v>1214</v>
      </c>
      <c r="B1217">
        <v>0.55874199999999996</v>
      </c>
      <c r="C1217">
        <v>1.079715</v>
      </c>
      <c r="D1217">
        <v>0.63774500000000001</v>
      </c>
      <c r="E1217">
        <v>1.6638550000000001</v>
      </c>
      <c r="F1217">
        <v>0.33154499999999998</v>
      </c>
    </row>
    <row r="1218" spans="1:6">
      <c r="A1218" s="11">
        <v>1215</v>
      </c>
      <c r="B1218">
        <v>0.102837</v>
      </c>
      <c r="C1218">
        <v>1.150946</v>
      </c>
      <c r="D1218">
        <v>0.49301600000000001</v>
      </c>
      <c r="E1218">
        <v>0.72014699999999998</v>
      </c>
      <c r="F1218">
        <v>1.007029</v>
      </c>
    </row>
    <row r="1219" spans="1:6">
      <c r="A1219" s="11">
        <v>1216</v>
      </c>
      <c r="B1219">
        <v>0.537323</v>
      </c>
      <c r="C1219">
        <v>0.299402</v>
      </c>
      <c r="D1219">
        <v>1.95377</v>
      </c>
      <c r="E1219">
        <v>2.008864</v>
      </c>
      <c r="F1219">
        <v>0.71851200000000004</v>
      </c>
    </row>
    <row r="1220" spans="1:6">
      <c r="A1220" s="11">
        <v>1217</v>
      </c>
      <c r="B1220">
        <v>0.90129099999999995</v>
      </c>
      <c r="C1220">
        <v>0.12167500000000001</v>
      </c>
      <c r="D1220">
        <v>1.6903360000000001</v>
      </c>
      <c r="E1220">
        <v>2.8512110000000002</v>
      </c>
      <c r="F1220">
        <v>2.8240989999999999</v>
      </c>
    </row>
    <row r="1221" spans="1:6">
      <c r="A1221" s="11">
        <v>1218</v>
      </c>
      <c r="B1221">
        <v>0.21441299999999999</v>
      </c>
      <c r="C1221">
        <v>1.7143139999999999</v>
      </c>
      <c r="D1221">
        <v>1.1909110000000001</v>
      </c>
      <c r="E1221">
        <v>0.160636</v>
      </c>
      <c r="F1221">
        <v>1.0673269999999999</v>
      </c>
    </row>
    <row r="1222" spans="1:6">
      <c r="A1222" s="11">
        <v>1219</v>
      </c>
      <c r="B1222">
        <v>2.2762009999999999</v>
      </c>
      <c r="C1222">
        <v>1.115202</v>
      </c>
      <c r="D1222">
        <v>2.6747670000000001</v>
      </c>
      <c r="E1222">
        <v>0.25885000000000002</v>
      </c>
      <c r="F1222">
        <v>0.231126</v>
      </c>
    </row>
    <row r="1223" spans="1:6">
      <c r="A1223" s="11">
        <v>1220</v>
      </c>
      <c r="B1223">
        <v>4.3610110000000004</v>
      </c>
      <c r="C1223">
        <v>2.1998169999999999</v>
      </c>
      <c r="D1223">
        <v>0.224826</v>
      </c>
      <c r="E1223">
        <v>7.4632009999999998</v>
      </c>
      <c r="F1223">
        <v>0.46382800000000002</v>
      </c>
    </row>
    <row r="1224" spans="1:6">
      <c r="A1224" s="11">
        <v>1221</v>
      </c>
      <c r="B1224">
        <v>1.717649</v>
      </c>
      <c r="C1224">
        <v>0.39197799999999999</v>
      </c>
      <c r="D1224">
        <v>1.280078</v>
      </c>
      <c r="E1224">
        <v>1.9500379999999999</v>
      </c>
      <c r="F1224">
        <v>0.23802100000000001</v>
      </c>
    </row>
    <row r="1225" spans="1:6">
      <c r="A1225" s="11">
        <v>1222</v>
      </c>
      <c r="B1225">
        <v>0.72563200000000005</v>
      </c>
      <c r="C1225">
        <v>0.49992799999999998</v>
      </c>
      <c r="D1225">
        <v>1.727633</v>
      </c>
      <c r="E1225">
        <v>1.235592</v>
      </c>
      <c r="F1225">
        <v>2.5639240000000001</v>
      </c>
    </row>
    <row r="1226" spans="1:6">
      <c r="A1226" s="11">
        <v>1223</v>
      </c>
      <c r="B1226">
        <v>0.77904300000000004</v>
      </c>
      <c r="C1226">
        <v>3.7009280000000002</v>
      </c>
      <c r="D1226">
        <v>0.40315899999999999</v>
      </c>
      <c r="E1226">
        <v>1.687859</v>
      </c>
      <c r="F1226">
        <v>0.399034</v>
      </c>
    </row>
    <row r="1227" spans="1:6">
      <c r="A1227" s="11">
        <v>1224</v>
      </c>
      <c r="B1227">
        <v>2.7557360000000002</v>
      </c>
      <c r="C1227">
        <v>3.001458</v>
      </c>
      <c r="D1227">
        <v>2.842997</v>
      </c>
      <c r="E1227">
        <v>0.96928800000000004</v>
      </c>
      <c r="F1227">
        <v>0.40346300000000002</v>
      </c>
    </row>
    <row r="1228" spans="1:6">
      <c r="A1228" s="11">
        <v>1225</v>
      </c>
      <c r="B1228">
        <v>0.193747</v>
      </c>
      <c r="C1228">
        <v>11.546956</v>
      </c>
      <c r="D1228">
        <v>4.7027239999999999</v>
      </c>
      <c r="E1228">
        <v>1.2513110000000001</v>
      </c>
      <c r="F1228">
        <v>0.89564600000000005</v>
      </c>
    </row>
    <row r="1229" spans="1:6">
      <c r="A1229" s="11">
        <v>1226</v>
      </c>
      <c r="B1229">
        <v>1.5272300000000001</v>
      </c>
      <c r="C1229">
        <v>0.73232900000000001</v>
      </c>
      <c r="D1229">
        <v>0.74784300000000004</v>
      </c>
      <c r="E1229">
        <v>1.465157</v>
      </c>
      <c r="F1229">
        <v>0.95549600000000001</v>
      </c>
    </row>
    <row r="1230" spans="1:6">
      <c r="A1230" s="11">
        <v>1227</v>
      </c>
      <c r="B1230">
        <v>6.0686980000000004</v>
      </c>
      <c r="C1230">
        <v>0.90898599999999996</v>
      </c>
      <c r="D1230">
        <v>10.361703</v>
      </c>
      <c r="E1230">
        <v>0.42461199999999999</v>
      </c>
      <c r="F1230">
        <v>0.103259</v>
      </c>
    </row>
    <row r="1231" spans="1:6">
      <c r="A1231" s="11">
        <v>1228</v>
      </c>
      <c r="B1231">
        <v>2.128336</v>
      </c>
      <c r="C1231">
        <v>0.30474400000000001</v>
      </c>
      <c r="D1231">
        <v>0.24387500000000001</v>
      </c>
      <c r="E1231">
        <v>0.297759</v>
      </c>
      <c r="F1231">
        <v>1.7220260000000001</v>
      </c>
    </row>
    <row r="1232" spans="1:6">
      <c r="A1232" s="11">
        <v>1229</v>
      </c>
      <c r="B1232">
        <v>0.77322199999999996</v>
      </c>
      <c r="C1232">
        <v>4.2106500000000002</v>
      </c>
      <c r="D1232">
        <v>0.92542999999999997</v>
      </c>
      <c r="E1232">
        <v>0.30215799999999998</v>
      </c>
      <c r="F1232">
        <v>3.3311890000000002</v>
      </c>
    </row>
    <row r="1233" spans="1:6">
      <c r="A1233" s="11">
        <v>1230</v>
      </c>
      <c r="B1233">
        <v>3.079161</v>
      </c>
      <c r="C1233">
        <v>0.177008</v>
      </c>
      <c r="D1233">
        <v>3.5437080000000001</v>
      </c>
      <c r="E1233">
        <v>0.92666700000000002</v>
      </c>
      <c r="F1233">
        <v>0.63761599999999996</v>
      </c>
    </row>
    <row r="1234" spans="1:6">
      <c r="A1234" s="11">
        <v>1231</v>
      </c>
      <c r="B1234">
        <v>2.1357390000000001</v>
      </c>
      <c r="C1234">
        <v>1.4735879999999999</v>
      </c>
      <c r="D1234">
        <v>6.4586860000000001</v>
      </c>
      <c r="E1234">
        <v>5.1723549999999996</v>
      </c>
      <c r="F1234">
        <v>1.833753</v>
      </c>
    </row>
    <row r="1235" spans="1:6">
      <c r="A1235" s="11">
        <v>1232</v>
      </c>
      <c r="B1235">
        <v>3.9177590000000002</v>
      </c>
      <c r="C1235">
        <v>0.14043800000000001</v>
      </c>
      <c r="D1235">
        <v>0.38349899999999998</v>
      </c>
      <c r="E1235">
        <v>1.8742589999999999</v>
      </c>
      <c r="F1235">
        <v>0.60158699999999998</v>
      </c>
    </row>
    <row r="1236" spans="1:6">
      <c r="A1236" s="11">
        <v>1233</v>
      </c>
      <c r="B1236">
        <v>7.3378680000000003</v>
      </c>
      <c r="C1236">
        <v>0.59836999999999996</v>
      </c>
      <c r="D1236">
        <v>1.2878769999999999</v>
      </c>
      <c r="E1236">
        <v>0.44975999999999999</v>
      </c>
      <c r="F1236">
        <v>0.91979299999999997</v>
      </c>
    </row>
    <row r="1237" spans="1:6">
      <c r="A1237" s="11">
        <v>1234</v>
      </c>
      <c r="B1237">
        <v>2.4893260000000001</v>
      </c>
      <c r="C1237">
        <v>4.6436809999999999</v>
      </c>
      <c r="D1237">
        <v>7.4757000000000004E-2</v>
      </c>
      <c r="E1237">
        <v>2.6400389999999998</v>
      </c>
      <c r="F1237">
        <v>0.456623</v>
      </c>
    </row>
    <row r="1238" spans="1:6">
      <c r="A1238" s="11">
        <v>1235</v>
      </c>
      <c r="B1238">
        <v>0.782694</v>
      </c>
      <c r="C1238">
        <v>1.291342</v>
      </c>
      <c r="D1238">
        <v>0.338202</v>
      </c>
      <c r="E1238">
        <v>0.65727400000000002</v>
      </c>
      <c r="F1238">
        <v>9.6535700000000002</v>
      </c>
    </row>
    <row r="1239" spans="1:6">
      <c r="A1239" s="11">
        <v>1236</v>
      </c>
      <c r="B1239">
        <v>2.9270719999999999</v>
      </c>
      <c r="C1239">
        <v>0.88322900000000004</v>
      </c>
      <c r="D1239">
        <v>0.67426399999999997</v>
      </c>
      <c r="E1239">
        <v>0.78782200000000002</v>
      </c>
      <c r="F1239">
        <v>3.2837100000000001</v>
      </c>
    </row>
    <row r="1240" spans="1:6">
      <c r="A1240" s="11">
        <v>1237</v>
      </c>
      <c r="B1240">
        <v>0.28929500000000002</v>
      </c>
      <c r="C1240">
        <v>4.3111879999999996</v>
      </c>
      <c r="D1240">
        <v>4.3327999999999998E-2</v>
      </c>
      <c r="E1240">
        <v>0.81631500000000001</v>
      </c>
      <c r="F1240">
        <v>2.0953529999999998</v>
      </c>
    </row>
    <row r="1241" spans="1:6">
      <c r="A1241" s="11">
        <v>1238</v>
      </c>
      <c r="B1241">
        <v>1.0766070000000001</v>
      </c>
      <c r="C1241">
        <v>2.522624</v>
      </c>
      <c r="D1241">
        <v>4.5625619999999998</v>
      </c>
      <c r="E1241">
        <v>5.4557399999999996</v>
      </c>
      <c r="F1241">
        <v>0.33560099999999998</v>
      </c>
    </row>
    <row r="1242" spans="1:6">
      <c r="A1242" s="11">
        <v>1239</v>
      </c>
      <c r="B1242">
        <v>4.7740159999999996</v>
      </c>
      <c r="C1242">
        <v>0.57530499999999996</v>
      </c>
      <c r="D1242">
        <v>7.7415190000000003</v>
      </c>
      <c r="E1242">
        <v>0.55640400000000001</v>
      </c>
      <c r="F1242">
        <v>0.86302900000000005</v>
      </c>
    </row>
    <row r="1243" spans="1:6">
      <c r="A1243" s="11">
        <v>1240</v>
      </c>
      <c r="B1243">
        <v>0.36707800000000002</v>
      </c>
      <c r="C1243">
        <v>0.27552300000000002</v>
      </c>
      <c r="D1243">
        <v>0.53836600000000001</v>
      </c>
      <c r="E1243">
        <v>0.69084699999999999</v>
      </c>
      <c r="F1243">
        <v>9.0964000000000003E-2</v>
      </c>
    </row>
    <row r="1244" spans="1:6">
      <c r="A1244" s="11">
        <v>1241</v>
      </c>
      <c r="B1244">
        <v>0.30981199999999998</v>
      </c>
      <c r="C1244">
        <v>1.6490469999999999</v>
      </c>
      <c r="D1244">
        <v>0.74217100000000003</v>
      </c>
      <c r="E1244">
        <v>6.1463929999999998</v>
      </c>
      <c r="F1244">
        <v>3.3408039999999999</v>
      </c>
    </row>
    <row r="1245" spans="1:6">
      <c r="A1245" s="11">
        <v>1242</v>
      </c>
      <c r="B1245">
        <v>0.331617</v>
      </c>
      <c r="C1245">
        <v>3.5450699999999999</v>
      </c>
      <c r="D1245">
        <v>0.28087299999999998</v>
      </c>
      <c r="E1245">
        <v>0.86226400000000003</v>
      </c>
      <c r="F1245">
        <v>0.56392500000000001</v>
      </c>
    </row>
    <row r="1246" spans="1:6">
      <c r="A1246" s="11">
        <v>1243</v>
      </c>
      <c r="B1246">
        <v>0.49985800000000002</v>
      </c>
      <c r="C1246">
        <v>9.1651100000000003</v>
      </c>
      <c r="D1246">
        <v>4.4479509999999998</v>
      </c>
      <c r="E1246">
        <v>2.8072900000000001</v>
      </c>
      <c r="F1246">
        <v>0.88380999999999998</v>
      </c>
    </row>
    <row r="1247" spans="1:6">
      <c r="A1247" s="11">
        <v>1244</v>
      </c>
      <c r="B1247">
        <v>0.55322800000000005</v>
      </c>
      <c r="C1247">
        <v>9.1163819999999998</v>
      </c>
      <c r="D1247">
        <v>4.5534489999999996</v>
      </c>
      <c r="E1247">
        <v>11.616946</v>
      </c>
      <c r="F1247">
        <v>1.3236399999999999</v>
      </c>
    </row>
    <row r="1248" spans="1:6">
      <c r="A1248" s="11">
        <v>1245</v>
      </c>
      <c r="B1248">
        <v>2.0451440000000001</v>
      </c>
      <c r="C1248">
        <v>3.1920000000000002</v>
      </c>
      <c r="D1248">
        <v>0.698681</v>
      </c>
      <c r="E1248">
        <v>30.138984000000001</v>
      </c>
      <c r="F1248">
        <v>0.231242</v>
      </c>
    </row>
    <row r="1249" spans="1:6">
      <c r="A1249" s="11">
        <v>1246</v>
      </c>
      <c r="B1249">
        <v>1.091545</v>
      </c>
      <c r="C1249">
        <v>2.4000279999999998</v>
      </c>
      <c r="D1249">
        <v>9.5148650000000004</v>
      </c>
      <c r="E1249">
        <v>2.1544859999999999</v>
      </c>
      <c r="F1249">
        <v>0.26746500000000001</v>
      </c>
    </row>
    <row r="1250" spans="1:6">
      <c r="A1250" s="11">
        <v>1247</v>
      </c>
      <c r="B1250">
        <v>0.61183900000000002</v>
      </c>
      <c r="C1250">
        <v>0.43174499999999999</v>
      </c>
      <c r="D1250">
        <v>0.64399700000000004</v>
      </c>
      <c r="E1250">
        <v>1.734197</v>
      </c>
      <c r="F1250">
        <v>0.59410399999999997</v>
      </c>
    </row>
    <row r="1251" spans="1:6">
      <c r="A1251" s="11">
        <v>1248</v>
      </c>
      <c r="B1251">
        <v>0.201788</v>
      </c>
      <c r="C1251">
        <v>5.3592009999999997</v>
      </c>
      <c r="D1251">
        <v>1.2699389999999999</v>
      </c>
      <c r="E1251">
        <v>1.6538060000000001</v>
      </c>
      <c r="F1251">
        <v>0.80473700000000004</v>
      </c>
    </row>
    <row r="1252" spans="1:6">
      <c r="A1252" s="11">
        <v>1249</v>
      </c>
      <c r="B1252">
        <v>27.91629</v>
      </c>
      <c r="C1252">
        <v>0.88953700000000002</v>
      </c>
      <c r="D1252">
        <v>0.56495799999999996</v>
      </c>
      <c r="E1252">
        <v>2.9047489999999998</v>
      </c>
      <c r="F1252">
        <v>4.5187809999999997</v>
      </c>
    </row>
    <row r="1253" spans="1:6">
      <c r="A1253" s="11">
        <v>1250</v>
      </c>
      <c r="B1253">
        <v>0.99055400000000005</v>
      </c>
      <c r="C1253">
        <v>0.39831100000000003</v>
      </c>
      <c r="D1253">
        <v>0.69071300000000002</v>
      </c>
      <c r="E1253">
        <v>0.415574</v>
      </c>
      <c r="F1253">
        <v>4.2860899999999997</v>
      </c>
    </row>
    <row r="1254" spans="1:6">
      <c r="A1254" s="11">
        <v>1251</v>
      </c>
      <c r="B1254">
        <v>0.84652899999999998</v>
      </c>
      <c r="C1254">
        <v>2.3375149999999998</v>
      </c>
      <c r="D1254">
        <v>1.0630850000000001</v>
      </c>
      <c r="E1254">
        <v>6.2713650000000003</v>
      </c>
      <c r="F1254">
        <v>2.3148040000000001</v>
      </c>
    </row>
    <row r="1255" spans="1:6">
      <c r="A1255" s="11">
        <v>1252</v>
      </c>
      <c r="B1255">
        <v>9.6421999999999994E-2</v>
      </c>
      <c r="C1255">
        <v>0.77282499999999998</v>
      </c>
      <c r="D1255">
        <v>2.4649730000000001</v>
      </c>
      <c r="E1255">
        <v>0.171622</v>
      </c>
      <c r="F1255">
        <v>5.1879179999999998</v>
      </c>
    </row>
    <row r="1256" spans="1:6">
      <c r="A1256" s="11">
        <v>1253</v>
      </c>
      <c r="B1256">
        <v>5.6591250000000004</v>
      </c>
      <c r="C1256">
        <v>0.57572400000000001</v>
      </c>
      <c r="D1256">
        <v>0.86759299999999995</v>
      </c>
      <c r="E1256">
        <v>27.231885999999999</v>
      </c>
      <c r="F1256">
        <v>0.54105899999999996</v>
      </c>
    </row>
    <row r="1257" spans="1:6">
      <c r="A1257" s="11">
        <v>1254</v>
      </c>
      <c r="B1257">
        <v>1.667948</v>
      </c>
      <c r="C1257">
        <v>4.1451419999999999</v>
      </c>
      <c r="D1257">
        <v>3.204653</v>
      </c>
      <c r="E1257">
        <v>1.0142139999999999</v>
      </c>
      <c r="F1257">
        <v>0.42770000000000002</v>
      </c>
    </row>
    <row r="1258" spans="1:6">
      <c r="A1258" s="11">
        <v>1255</v>
      </c>
      <c r="B1258">
        <v>0.81735899999999995</v>
      </c>
      <c r="C1258">
        <v>0.32425399999999999</v>
      </c>
      <c r="D1258">
        <v>0.28869299999999998</v>
      </c>
      <c r="E1258">
        <v>3.6025040000000002</v>
      </c>
      <c r="F1258">
        <v>1.2640960000000001</v>
      </c>
    </row>
    <row r="1259" spans="1:6">
      <c r="A1259" s="11">
        <v>1256</v>
      </c>
      <c r="B1259">
        <v>3.3066930000000001</v>
      </c>
      <c r="C1259">
        <v>1.7138679999999999</v>
      </c>
      <c r="D1259">
        <v>2.0125130000000002</v>
      </c>
      <c r="E1259">
        <v>2.5810740000000001</v>
      </c>
      <c r="F1259">
        <v>2.1691419999999999</v>
      </c>
    </row>
    <row r="1260" spans="1:6">
      <c r="A1260" s="11">
        <v>1257</v>
      </c>
      <c r="B1260">
        <v>14.057569000000001</v>
      </c>
      <c r="C1260">
        <v>1.113211</v>
      </c>
      <c r="D1260">
        <v>3.1849370000000001</v>
      </c>
      <c r="E1260">
        <v>0.66337800000000002</v>
      </c>
      <c r="F1260">
        <v>0.208699</v>
      </c>
    </row>
    <row r="1261" spans="1:6">
      <c r="A1261" s="11">
        <v>1258</v>
      </c>
      <c r="B1261">
        <v>8.5383949999999995</v>
      </c>
      <c r="C1261">
        <v>5.9783819999999999</v>
      </c>
      <c r="D1261">
        <v>1.1862820000000001</v>
      </c>
      <c r="E1261">
        <v>0.85303799999999996</v>
      </c>
      <c r="F1261">
        <v>0.44495299999999999</v>
      </c>
    </row>
    <row r="1262" spans="1:6">
      <c r="A1262" s="11">
        <v>1259</v>
      </c>
      <c r="B1262">
        <v>3.9681769999999998</v>
      </c>
      <c r="C1262">
        <v>0.847858</v>
      </c>
      <c r="D1262">
        <v>5.9587399999999997</v>
      </c>
      <c r="E1262">
        <v>0.99540799999999996</v>
      </c>
      <c r="F1262">
        <v>0.77910800000000002</v>
      </c>
    </row>
    <row r="1263" spans="1:6">
      <c r="A1263" s="11">
        <v>1260</v>
      </c>
      <c r="B1263">
        <v>2.0868769999999999</v>
      </c>
      <c r="C1263">
        <v>0.76337200000000005</v>
      </c>
      <c r="D1263">
        <v>3.8720430000000001</v>
      </c>
      <c r="E1263">
        <v>1.750928</v>
      </c>
      <c r="F1263">
        <v>4.9362510000000004</v>
      </c>
    </row>
    <row r="1264" spans="1:6">
      <c r="A1264" s="11">
        <v>1261</v>
      </c>
      <c r="B1264">
        <v>3.0515629999999998</v>
      </c>
      <c r="C1264">
        <v>1.051633</v>
      </c>
      <c r="D1264">
        <v>3.3561399999999999</v>
      </c>
      <c r="E1264">
        <v>2.097321</v>
      </c>
      <c r="F1264">
        <v>1.8760479999999999</v>
      </c>
    </row>
    <row r="1265" spans="1:6">
      <c r="A1265" s="11">
        <v>1262</v>
      </c>
      <c r="B1265">
        <v>2.8209140000000001</v>
      </c>
      <c r="C1265">
        <v>0.76706799999999997</v>
      </c>
      <c r="D1265">
        <v>4.3648600000000002</v>
      </c>
      <c r="E1265">
        <v>2.2927749999999998</v>
      </c>
      <c r="F1265">
        <v>3.301355</v>
      </c>
    </row>
    <row r="1266" spans="1:6">
      <c r="A1266" s="11">
        <v>1263</v>
      </c>
      <c r="B1266">
        <v>0.23987900000000001</v>
      </c>
      <c r="C1266">
        <v>0.13738</v>
      </c>
      <c r="D1266">
        <v>1.7450330000000001</v>
      </c>
      <c r="E1266">
        <v>1.611958</v>
      </c>
      <c r="F1266">
        <v>0.78478300000000001</v>
      </c>
    </row>
    <row r="1267" spans="1:6">
      <c r="A1267" s="11">
        <v>1264</v>
      </c>
      <c r="B1267">
        <v>7.0573940000000004</v>
      </c>
      <c r="C1267">
        <v>0.96465699999999999</v>
      </c>
      <c r="D1267">
        <v>0.20357800000000001</v>
      </c>
      <c r="E1267">
        <v>0.51508100000000001</v>
      </c>
      <c r="F1267">
        <v>0.349325</v>
      </c>
    </row>
    <row r="1268" spans="1:6">
      <c r="A1268" s="11">
        <v>1265</v>
      </c>
      <c r="B1268">
        <v>1.2911950000000001</v>
      </c>
      <c r="C1268">
        <v>1.65103</v>
      </c>
      <c r="D1268">
        <v>1.600916</v>
      </c>
      <c r="E1268">
        <v>1.6830320000000001</v>
      </c>
      <c r="F1268">
        <v>5.7234319999999999</v>
      </c>
    </row>
    <row r="1269" spans="1:6">
      <c r="A1269" s="11">
        <v>1266</v>
      </c>
      <c r="B1269">
        <v>0.87576900000000002</v>
      </c>
      <c r="C1269">
        <v>1.7821119999999999</v>
      </c>
      <c r="D1269">
        <v>5.3814500000000001</v>
      </c>
      <c r="E1269">
        <v>0.41275099999999998</v>
      </c>
      <c r="F1269">
        <v>2.1874509999999998</v>
      </c>
    </row>
    <row r="1270" spans="1:6">
      <c r="A1270" s="11">
        <v>1267</v>
      </c>
      <c r="B1270">
        <v>0.39519300000000002</v>
      </c>
      <c r="C1270">
        <v>2.6256119999999998</v>
      </c>
      <c r="D1270">
        <v>0.29857499999999998</v>
      </c>
      <c r="E1270">
        <v>1.1613100000000001</v>
      </c>
      <c r="F1270">
        <v>4.455635</v>
      </c>
    </row>
    <row r="1271" spans="1:6">
      <c r="A1271" s="11">
        <v>1268</v>
      </c>
      <c r="B1271">
        <v>3.4672740000000002</v>
      </c>
      <c r="C1271">
        <v>1.0276780000000001</v>
      </c>
      <c r="D1271">
        <v>2.631259</v>
      </c>
      <c r="E1271">
        <v>0.15185499999999999</v>
      </c>
      <c r="F1271">
        <v>0.62619800000000003</v>
      </c>
    </row>
    <row r="1272" spans="1:6">
      <c r="A1272" s="11">
        <v>1269</v>
      </c>
      <c r="B1272">
        <v>3.1809820000000002</v>
      </c>
      <c r="C1272">
        <v>2.617086</v>
      </c>
      <c r="D1272">
        <v>1.3506579999999999</v>
      </c>
      <c r="E1272">
        <v>1.8481700000000001</v>
      </c>
      <c r="F1272">
        <v>1.8377239999999999</v>
      </c>
    </row>
    <row r="1273" spans="1:6">
      <c r="A1273" s="11">
        <v>1270</v>
      </c>
      <c r="B1273">
        <v>0.62826300000000002</v>
      </c>
      <c r="C1273">
        <v>0.68665799999999999</v>
      </c>
      <c r="D1273">
        <v>6.9067230000000004</v>
      </c>
      <c r="E1273">
        <v>0.79533299999999996</v>
      </c>
      <c r="F1273">
        <v>7.6453199999999999</v>
      </c>
    </row>
    <row r="1274" spans="1:6">
      <c r="A1274" s="11">
        <v>1271</v>
      </c>
      <c r="B1274">
        <v>6.5402000000000002E-2</v>
      </c>
      <c r="C1274">
        <v>0.62938700000000003</v>
      </c>
      <c r="D1274">
        <v>2.8397649999999999</v>
      </c>
      <c r="E1274">
        <v>0.78926099999999999</v>
      </c>
      <c r="F1274">
        <v>0.41772599999999999</v>
      </c>
    </row>
    <row r="1275" spans="1:6">
      <c r="A1275" s="11">
        <v>1272</v>
      </c>
      <c r="B1275">
        <v>1.470194</v>
      </c>
      <c r="C1275">
        <v>1.533396</v>
      </c>
      <c r="D1275">
        <v>1.7638180000000001</v>
      </c>
      <c r="E1275">
        <v>1.4725980000000001</v>
      </c>
      <c r="F1275">
        <v>1.088155</v>
      </c>
    </row>
    <row r="1276" spans="1:6">
      <c r="A1276" s="11">
        <v>1273</v>
      </c>
      <c r="B1276">
        <v>0.74980500000000005</v>
      </c>
      <c r="C1276">
        <v>1.8561160000000001</v>
      </c>
      <c r="D1276">
        <v>1.1360730000000001</v>
      </c>
      <c r="E1276">
        <v>0.24346000000000001</v>
      </c>
      <c r="F1276">
        <v>0.61278100000000002</v>
      </c>
    </row>
    <row r="1277" spans="1:6">
      <c r="A1277" s="11">
        <v>1274</v>
      </c>
      <c r="B1277">
        <v>0.89262799999999998</v>
      </c>
      <c r="C1277">
        <v>0.90035600000000005</v>
      </c>
      <c r="D1277">
        <v>0.74757600000000002</v>
      </c>
      <c r="E1277">
        <v>4.740056</v>
      </c>
      <c r="F1277">
        <v>2.2296170000000002</v>
      </c>
    </row>
    <row r="1278" spans="1:6">
      <c r="A1278" s="11">
        <v>1275</v>
      </c>
      <c r="B1278">
        <v>0.97861399999999998</v>
      </c>
      <c r="C1278">
        <v>5.7462160000000004</v>
      </c>
      <c r="D1278">
        <v>0.71987900000000005</v>
      </c>
      <c r="E1278">
        <v>5.6045530000000001</v>
      </c>
      <c r="F1278">
        <v>1.753231</v>
      </c>
    </row>
    <row r="1279" spans="1:6">
      <c r="A1279" s="11">
        <v>1276</v>
      </c>
      <c r="B1279">
        <v>0.95703400000000005</v>
      </c>
      <c r="C1279">
        <v>0.63973500000000005</v>
      </c>
      <c r="D1279">
        <v>9.8853530000000003</v>
      </c>
      <c r="E1279">
        <v>3.1901929999999998</v>
      </c>
      <c r="F1279">
        <v>0.65525900000000004</v>
      </c>
    </row>
    <row r="1280" spans="1:6">
      <c r="A1280" s="11">
        <v>1277</v>
      </c>
      <c r="B1280">
        <v>0.82181499999999996</v>
      </c>
      <c r="C1280">
        <v>1.832357</v>
      </c>
      <c r="D1280">
        <v>0.66934300000000002</v>
      </c>
      <c r="E1280">
        <v>0.26999099999999998</v>
      </c>
      <c r="F1280">
        <v>2.2319979999999999</v>
      </c>
    </row>
    <row r="1281" spans="1:6">
      <c r="A1281" s="11">
        <v>1278</v>
      </c>
      <c r="B1281">
        <v>1.0744629999999999</v>
      </c>
      <c r="C1281">
        <v>0.56189599999999995</v>
      </c>
      <c r="D1281">
        <v>0.54587600000000003</v>
      </c>
      <c r="E1281">
        <v>1.069591</v>
      </c>
      <c r="F1281">
        <v>0.13245000000000001</v>
      </c>
    </row>
    <row r="1282" spans="1:6">
      <c r="A1282" s="11">
        <v>1279</v>
      </c>
      <c r="B1282">
        <v>1.895508</v>
      </c>
      <c r="C1282">
        <v>0.87243099999999996</v>
      </c>
      <c r="D1282">
        <v>3.0744340000000001</v>
      </c>
      <c r="E1282">
        <v>0.77890300000000001</v>
      </c>
      <c r="F1282">
        <v>0.397509</v>
      </c>
    </row>
    <row r="1283" spans="1:6">
      <c r="A1283" s="11">
        <v>1280</v>
      </c>
      <c r="B1283">
        <v>3.1545230000000002</v>
      </c>
      <c r="C1283">
        <v>0.17874999999999999</v>
      </c>
      <c r="D1283">
        <v>4.6877969999999998</v>
      </c>
      <c r="E1283">
        <v>1.2589840000000001</v>
      </c>
      <c r="F1283">
        <v>0.51633799999999996</v>
      </c>
    </row>
    <row r="1284" spans="1:6">
      <c r="A1284" s="11">
        <v>1281</v>
      </c>
      <c r="B1284">
        <v>12.623056999999999</v>
      </c>
      <c r="C1284">
        <v>3.4810819999999998</v>
      </c>
      <c r="D1284">
        <v>0.26355400000000001</v>
      </c>
      <c r="E1284">
        <v>1.6177809999999999</v>
      </c>
      <c r="F1284">
        <v>0.53720400000000001</v>
      </c>
    </row>
    <row r="1285" spans="1:6">
      <c r="A1285" s="11">
        <v>1282</v>
      </c>
      <c r="B1285">
        <v>1.4160330000000001</v>
      </c>
      <c r="C1285">
        <v>3.1156359999999999</v>
      </c>
      <c r="D1285">
        <v>0.677284</v>
      </c>
      <c r="E1285">
        <v>2.6801179999999998</v>
      </c>
      <c r="F1285">
        <v>0.81765600000000005</v>
      </c>
    </row>
    <row r="1286" spans="1:6">
      <c r="A1286" s="11">
        <v>1283</v>
      </c>
      <c r="B1286">
        <v>0.273868</v>
      </c>
      <c r="C1286">
        <v>0.43105900000000003</v>
      </c>
      <c r="D1286">
        <v>0.20215900000000001</v>
      </c>
      <c r="E1286">
        <v>1.812279</v>
      </c>
      <c r="F1286">
        <v>1.8571580000000001</v>
      </c>
    </row>
    <row r="1287" spans="1:6">
      <c r="A1287" s="11">
        <v>1284</v>
      </c>
      <c r="B1287">
        <v>0.530559</v>
      </c>
      <c r="C1287">
        <v>9.0419009999999993</v>
      </c>
      <c r="D1287">
        <v>0.13033900000000001</v>
      </c>
      <c r="E1287">
        <v>0.76525299999999996</v>
      </c>
      <c r="F1287">
        <v>2.4794619999999998</v>
      </c>
    </row>
    <row r="1288" spans="1:6">
      <c r="A1288" s="11">
        <v>1285</v>
      </c>
      <c r="B1288">
        <v>0.41295799999999999</v>
      </c>
      <c r="C1288">
        <v>2.8163079999999998</v>
      </c>
      <c r="D1288">
        <v>1.1517120000000001</v>
      </c>
      <c r="E1288">
        <v>2.960931</v>
      </c>
      <c r="F1288">
        <v>0.58596199999999998</v>
      </c>
    </row>
    <row r="1289" spans="1:6">
      <c r="A1289" s="11">
        <v>1286</v>
      </c>
      <c r="B1289">
        <v>0.67661099999999996</v>
      </c>
      <c r="C1289">
        <v>9.5594319999999993</v>
      </c>
      <c r="D1289">
        <v>0.16809299999999999</v>
      </c>
      <c r="E1289">
        <v>0.95162199999999997</v>
      </c>
      <c r="F1289">
        <v>3.543679</v>
      </c>
    </row>
    <row r="1290" spans="1:6">
      <c r="A1290" s="11">
        <v>1287</v>
      </c>
      <c r="B1290">
        <v>0.49602400000000002</v>
      </c>
      <c r="C1290">
        <v>2.0270709999999998</v>
      </c>
      <c r="D1290">
        <v>1.3688229999999999</v>
      </c>
      <c r="E1290">
        <v>0.231905</v>
      </c>
      <c r="F1290">
        <v>0.289302</v>
      </c>
    </row>
    <row r="1291" spans="1:6">
      <c r="A1291" s="11">
        <v>1288</v>
      </c>
      <c r="B1291">
        <v>12.779631999999999</v>
      </c>
      <c r="C1291">
        <v>0.42113299999999998</v>
      </c>
      <c r="D1291">
        <v>2.397176</v>
      </c>
      <c r="E1291">
        <v>1.8547260000000001</v>
      </c>
      <c r="F1291">
        <v>0.36205300000000001</v>
      </c>
    </row>
    <row r="1292" spans="1:6">
      <c r="A1292" s="11">
        <v>1289</v>
      </c>
      <c r="B1292">
        <v>11.471622999999999</v>
      </c>
      <c r="C1292">
        <v>2.617753</v>
      </c>
      <c r="D1292">
        <v>4.3154120000000002</v>
      </c>
      <c r="E1292">
        <v>1.0764370000000001</v>
      </c>
      <c r="F1292">
        <v>2.0861900000000002</v>
      </c>
    </row>
    <row r="1293" spans="1:6">
      <c r="A1293" s="11">
        <v>1290</v>
      </c>
      <c r="B1293">
        <v>3.3331360000000001</v>
      </c>
      <c r="C1293">
        <v>1.4586220000000001</v>
      </c>
      <c r="D1293">
        <v>0.20378499999999999</v>
      </c>
      <c r="E1293">
        <v>0.269316</v>
      </c>
      <c r="F1293">
        <v>2.2712729999999999</v>
      </c>
    </row>
    <row r="1294" spans="1:6">
      <c r="A1294" s="11">
        <v>1291</v>
      </c>
      <c r="B1294">
        <v>8.0588499999999996</v>
      </c>
      <c r="C1294">
        <v>1.0928800000000001</v>
      </c>
      <c r="D1294">
        <v>1.669815</v>
      </c>
      <c r="E1294">
        <v>0.61437799999999998</v>
      </c>
      <c r="F1294">
        <v>2.8698929999999998</v>
      </c>
    </row>
    <row r="1295" spans="1:6">
      <c r="A1295" s="11">
        <v>1292</v>
      </c>
      <c r="B1295">
        <v>1.2367900000000001</v>
      </c>
      <c r="C1295">
        <v>1.6244259999999999</v>
      </c>
      <c r="D1295">
        <v>0.22739400000000001</v>
      </c>
      <c r="E1295">
        <v>1.35791</v>
      </c>
      <c r="F1295">
        <v>1.6796009999999999</v>
      </c>
    </row>
    <row r="1296" spans="1:6">
      <c r="A1296" s="11">
        <v>1293</v>
      </c>
      <c r="B1296">
        <v>0.705592</v>
      </c>
      <c r="C1296">
        <v>2.8374419999999998</v>
      </c>
      <c r="D1296">
        <v>0.97033999999999998</v>
      </c>
      <c r="E1296">
        <v>0.409945</v>
      </c>
      <c r="F1296">
        <v>0.78716900000000001</v>
      </c>
    </row>
    <row r="1297" spans="1:6">
      <c r="A1297" s="11">
        <v>1294</v>
      </c>
      <c r="B1297">
        <v>1.2878909999999999</v>
      </c>
      <c r="C1297">
        <v>4.5223360000000001</v>
      </c>
      <c r="D1297">
        <v>0.36835000000000001</v>
      </c>
      <c r="E1297">
        <v>6.3484600000000002</v>
      </c>
      <c r="F1297">
        <v>0.61672000000000005</v>
      </c>
    </row>
    <row r="1298" spans="1:6">
      <c r="A1298" s="11">
        <v>1295</v>
      </c>
      <c r="B1298">
        <v>1.5174110000000001</v>
      </c>
      <c r="C1298">
        <v>1.7598499999999999</v>
      </c>
      <c r="D1298">
        <v>1.594549</v>
      </c>
      <c r="E1298">
        <v>1.2275100000000001</v>
      </c>
      <c r="F1298">
        <v>1.6140760000000001</v>
      </c>
    </row>
    <row r="1299" spans="1:6">
      <c r="A1299" s="11">
        <v>1296</v>
      </c>
      <c r="B1299">
        <v>0.80950800000000001</v>
      </c>
      <c r="C1299">
        <v>0.672346</v>
      </c>
      <c r="D1299">
        <v>1.1728860000000001</v>
      </c>
      <c r="E1299">
        <v>3.036985</v>
      </c>
      <c r="F1299">
        <v>0.52150700000000005</v>
      </c>
    </row>
    <row r="1300" spans="1:6">
      <c r="A1300" s="11">
        <v>1297</v>
      </c>
      <c r="B1300">
        <v>0.42986099999999999</v>
      </c>
      <c r="C1300">
        <v>4.8846959999999999</v>
      </c>
      <c r="D1300">
        <v>3.5738270000000001</v>
      </c>
      <c r="E1300">
        <v>0.35270400000000002</v>
      </c>
      <c r="F1300">
        <v>1.732577</v>
      </c>
    </row>
    <row r="1301" spans="1:6">
      <c r="A1301" s="11">
        <v>1298</v>
      </c>
      <c r="B1301">
        <v>3.507431</v>
      </c>
      <c r="C1301">
        <v>2.6032850000000001</v>
      </c>
      <c r="D1301">
        <v>6.2711079999999999</v>
      </c>
      <c r="E1301">
        <v>1.6042689999999999</v>
      </c>
      <c r="F1301">
        <v>0.104351</v>
      </c>
    </row>
    <row r="1302" spans="1:6">
      <c r="A1302" s="11">
        <v>1299</v>
      </c>
      <c r="B1302">
        <v>8.1582709999999992</v>
      </c>
      <c r="C1302">
        <v>0.46859200000000001</v>
      </c>
      <c r="D1302">
        <v>0.695102</v>
      </c>
      <c r="E1302">
        <v>11.38829</v>
      </c>
      <c r="F1302">
        <v>0.59379199999999999</v>
      </c>
    </row>
    <row r="1303" spans="1:6">
      <c r="A1303" s="11">
        <v>1300</v>
      </c>
      <c r="B1303">
        <v>1.1397200000000001</v>
      </c>
      <c r="C1303">
        <v>2.1536770000000001</v>
      </c>
      <c r="D1303">
        <v>1.11104</v>
      </c>
      <c r="E1303">
        <v>1.2493259999999999</v>
      </c>
      <c r="F1303">
        <v>0.90362500000000001</v>
      </c>
    </row>
    <row r="1304" spans="1:6">
      <c r="A1304" s="11">
        <v>1301</v>
      </c>
      <c r="B1304">
        <v>0.89789200000000002</v>
      </c>
      <c r="C1304">
        <v>1.3748469999999999</v>
      </c>
      <c r="D1304">
        <v>1.958663</v>
      </c>
      <c r="E1304">
        <v>2.0574949999999999</v>
      </c>
      <c r="F1304">
        <v>0.98627500000000001</v>
      </c>
    </row>
    <row r="1305" spans="1:6">
      <c r="A1305" s="11">
        <v>1302</v>
      </c>
      <c r="B1305">
        <v>1.782745</v>
      </c>
      <c r="C1305">
        <v>0.24480399999999999</v>
      </c>
      <c r="D1305">
        <v>3.1956730000000002</v>
      </c>
      <c r="E1305">
        <v>1.1953260000000001</v>
      </c>
      <c r="F1305">
        <v>5.9306380000000001</v>
      </c>
    </row>
    <row r="1306" spans="1:6">
      <c r="A1306" s="11">
        <v>1303</v>
      </c>
      <c r="B1306">
        <v>1.4688030000000001</v>
      </c>
      <c r="C1306">
        <v>11.207941</v>
      </c>
      <c r="D1306">
        <v>0.62092700000000001</v>
      </c>
      <c r="E1306">
        <v>0.89400100000000005</v>
      </c>
      <c r="F1306">
        <v>0.295655</v>
      </c>
    </row>
    <row r="1307" spans="1:6">
      <c r="A1307" s="11">
        <v>1304</v>
      </c>
      <c r="B1307">
        <v>0.46710099999999999</v>
      </c>
      <c r="C1307">
        <v>6.5755090000000003</v>
      </c>
      <c r="D1307">
        <v>3.8708749999999998</v>
      </c>
      <c r="E1307">
        <v>0.14214299999999999</v>
      </c>
      <c r="F1307">
        <v>1.594827</v>
      </c>
    </row>
    <row r="1308" spans="1:6">
      <c r="A1308" s="11">
        <v>1305</v>
      </c>
      <c r="B1308">
        <v>0.72813000000000005</v>
      </c>
      <c r="C1308">
        <v>5.2942489999999998</v>
      </c>
      <c r="D1308">
        <v>10.394754000000001</v>
      </c>
      <c r="E1308">
        <v>2.8628390000000001</v>
      </c>
      <c r="F1308">
        <v>1.5201499999999999</v>
      </c>
    </row>
    <row r="1309" spans="1:6">
      <c r="A1309" s="11">
        <v>1306</v>
      </c>
      <c r="B1309">
        <v>1.698218</v>
      </c>
      <c r="C1309">
        <v>0.30673400000000001</v>
      </c>
      <c r="D1309">
        <v>4.3127579999999996</v>
      </c>
      <c r="E1309">
        <v>0.49439499999999997</v>
      </c>
      <c r="F1309">
        <v>2.9821840000000002</v>
      </c>
    </row>
    <row r="1310" spans="1:6">
      <c r="A1310" s="11">
        <v>1307</v>
      </c>
      <c r="B1310">
        <v>1.045636</v>
      </c>
      <c r="C1310">
        <v>2.9966680000000001</v>
      </c>
      <c r="D1310">
        <v>0.19061900000000001</v>
      </c>
      <c r="E1310">
        <v>0.16400200000000001</v>
      </c>
      <c r="F1310">
        <v>3.8197709999999998</v>
      </c>
    </row>
    <row r="1311" spans="1:6">
      <c r="A1311" s="11">
        <v>1308</v>
      </c>
      <c r="B1311">
        <v>1.4374089999999999</v>
      </c>
      <c r="C1311">
        <v>2.7509079999999999</v>
      </c>
      <c r="D1311">
        <v>0.39359499999999997</v>
      </c>
      <c r="E1311">
        <v>0.87541000000000002</v>
      </c>
      <c r="F1311">
        <v>0.55263899999999999</v>
      </c>
    </row>
    <row r="1312" spans="1:6">
      <c r="A1312" s="11">
        <v>1309</v>
      </c>
      <c r="B1312">
        <v>1.318127</v>
      </c>
      <c r="C1312">
        <v>11.555852</v>
      </c>
      <c r="D1312">
        <v>4.1662319999999999</v>
      </c>
      <c r="E1312">
        <v>3.3328500000000001</v>
      </c>
      <c r="F1312">
        <v>24.573333999999999</v>
      </c>
    </row>
    <row r="1313" spans="1:6">
      <c r="A1313" s="11">
        <v>1310</v>
      </c>
      <c r="B1313">
        <v>0.93199799999999999</v>
      </c>
      <c r="C1313">
        <v>1.813148</v>
      </c>
      <c r="D1313">
        <v>0.46951399999999999</v>
      </c>
      <c r="E1313">
        <v>1.380917</v>
      </c>
      <c r="F1313">
        <v>2.8330150000000001</v>
      </c>
    </row>
    <row r="1314" spans="1:6">
      <c r="A1314" s="11">
        <v>1311</v>
      </c>
      <c r="B1314">
        <v>1.518286</v>
      </c>
      <c r="C1314">
        <v>1.660954</v>
      </c>
      <c r="D1314">
        <v>2.0715710000000001</v>
      </c>
      <c r="E1314">
        <v>1.4961260000000001</v>
      </c>
      <c r="F1314">
        <v>4.4977309999999999</v>
      </c>
    </row>
    <row r="1315" spans="1:6">
      <c r="A1315" s="11">
        <v>1312</v>
      </c>
      <c r="B1315">
        <v>6.7921870000000002</v>
      </c>
      <c r="C1315">
        <v>0.60873500000000003</v>
      </c>
      <c r="D1315">
        <v>0.508768</v>
      </c>
      <c r="E1315">
        <v>0.10154000000000001</v>
      </c>
      <c r="F1315">
        <v>0.90179100000000001</v>
      </c>
    </row>
    <row r="1316" spans="1:6">
      <c r="A1316" s="11">
        <v>1313</v>
      </c>
      <c r="B1316">
        <v>1.3810210000000001</v>
      </c>
      <c r="C1316">
        <v>5.5961150000000002</v>
      </c>
      <c r="D1316">
        <v>0.67438900000000002</v>
      </c>
      <c r="E1316">
        <v>1.9196850000000001</v>
      </c>
      <c r="F1316">
        <v>0.44800000000000001</v>
      </c>
    </row>
    <row r="1317" spans="1:6">
      <c r="A1317" s="11">
        <v>1314</v>
      </c>
      <c r="B1317">
        <v>3.552724</v>
      </c>
      <c r="C1317">
        <v>5.8924989999999999</v>
      </c>
      <c r="D1317">
        <v>6.2926950000000001</v>
      </c>
      <c r="E1317">
        <v>1.5832029999999999</v>
      </c>
      <c r="F1317">
        <v>2.2362280000000001</v>
      </c>
    </row>
    <row r="1318" spans="1:6">
      <c r="A1318" s="11">
        <v>1315</v>
      </c>
      <c r="B1318">
        <v>0.44976699999999997</v>
      </c>
      <c r="C1318">
        <v>1.0461879999999999</v>
      </c>
      <c r="D1318">
        <v>0.75580800000000004</v>
      </c>
      <c r="E1318">
        <v>0.89744999999999997</v>
      </c>
      <c r="F1318">
        <v>2.6778620000000002</v>
      </c>
    </row>
    <row r="1319" spans="1:6">
      <c r="A1319" s="11">
        <v>1316</v>
      </c>
      <c r="B1319">
        <v>1.2978149999999999</v>
      </c>
      <c r="C1319">
        <v>0.20558299999999999</v>
      </c>
      <c r="D1319">
        <v>1.0509679999999999</v>
      </c>
      <c r="E1319">
        <v>0.67641200000000001</v>
      </c>
      <c r="F1319">
        <v>2.5296970000000001</v>
      </c>
    </row>
    <row r="1320" spans="1:6">
      <c r="A1320" s="11">
        <v>1317</v>
      </c>
      <c r="B1320">
        <v>0.555307</v>
      </c>
      <c r="C1320">
        <v>0.58730499999999997</v>
      </c>
      <c r="D1320">
        <v>1.019234</v>
      </c>
      <c r="E1320">
        <v>0.22245999999999999</v>
      </c>
      <c r="F1320">
        <v>1.3284229999999999</v>
      </c>
    </row>
    <row r="1321" spans="1:6">
      <c r="A1321" s="11">
        <v>1318</v>
      </c>
      <c r="B1321">
        <v>14.08506</v>
      </c>
      <c r="C1321">
        <v>1.32436</v>
      </c>
      <c r="D1321">
        <v>0.44647900000000001</v>
      </c>
      <c r="E1321">
        <v>2.5796600000000001</v>
      </c>
      <c r="F1321">
        <v>0.35567100000000001</v>
      </c>
    </row>
    <row r="1322" spans="1:6">
      <c r="A1322" s="11">
        <v>1319</v>
      </c>
      <c r="B1322">
        <v>8.96922</v>
      </c>
      <c r="C1322">
        <v>0.77838399999999996</v>
      </c>
      <c r="D1322">
        <v>3.2146810000000001</v>
      </c>
      <c r="E1322">
        <v>8.0512139999999999</v>
      </c>
      <c r="F1322">
        <v>0.33488699999999999</v>
      </c>
    </row>
    <row r="1323" spans="1:6">
      <c r="A1323" s="11">
        <v>1320</v>
      </c>
      <c r="B1323">
        <v>0.427456</v>
      </c>
      <c r="C1323">
        <v>6.6662749999999997</v>
      </c>
      <c r="D1323">
        <v>0.279667</v>
      </c>
      <c r="E1323">
        <v>0.66571899999999995</v>
      </c>
      <c r="F1323">
        <v>0.73415699999999995</v>
      </c>
    </row>
    <row r="1324" spans="1:6">
      <c r="A1324" s="11">
        <v>1321</v>
      </c>
      <c r="B1324">
        <v>1.6911259999999999</v>
      </c>
      <c r="C1324">
        <v>0.89054599999999995</v>
      </c>
      <c r="D1324">
        <v>1.5225789999999999</v>
      </c>
      <c r="E1324">
        <v>0.22853299999999999</v>
      </c>
      <c r="F1324">
        <v>0.26191399999999998</v>
      </c>
    </row>
    <row r="1325" spans="1:6">
      <c r="A1325" s="11">
        <v>1322</v>
      </c>
      <c r="B1325">
        <v>3.7307570000000001</v>
      </c>
      <c r="C1325">
        <v>0.78487899999999999</v>
      </c>
      <c r="D1325">
        <v>1.3681509999999999</v>
      </c>
      <c r="E1325">
        <v>0.525084</v>
      </c>
      <c r="F1325">
        <v>1.990157</v>
      </c>
    </row>
    <row r="1326" spans="1:6">
      <c r="A1326" s="11">
        <v>1323</v>
      </c>
      <c r="B1326">
        <v>1.5620259999999999</v>
      </c>
      <c r="C1326">
        <v>0.52350600000000003</v>
      </c>
      <c r="D1326">
        <v>2.0907079999999998</v>
      </c>
      <c r="E1326">
        <v>1.7622089999999999</v>
      </c>
      <c r="F1326">
        <v>0.30556299999999997</v>
      </c>
    </row>
    <row r="1327" spans="1:6">
      <c r="A1327" s="11">
        <v>1324</v>
      </c>
      <c r="B1327">
        <v>6.1924479999999997</v>
      </c>
      <c r="C1327">
        <v>0.27551300000000001</v>
      </c>
      <c r="D1327">
        <v>1.13809</v>
      </c>
      <c r="E1327">
        <v>0.127411</v>
      </c>
      <c r="F1327">
        <v>1.403705</v>
      </c>
    </row>
    <row r="1328" spans="1:6">
      <c r="A1328" s="11">
        <v>1325</v>
      </c>
      <c r="B1328">
        <v>0.47098299999999998</v>
      </c>
      <c r="C1328">
        <v>0.92730900000000005</v>
      </c>
      <c r="D1328">
        <v>6.1617660000000001</v>
      </c>
      <c r="E1328">
        <v>1.34101</v>
      </c>
      <c r="F1328">
        <v>0.63060899999999998</v>
      </c>
    </row>
    <row r="1329" spans="1:6">
      <c r="A1329" s="11">
        <v>1326</v>
      </c>
      <c r="B1329">
        <v>4.5093800000000002</v>
      </c>
      <c r="C1329">
        <v>4.4177949999999999</v>
      </c>
      <c r="D1329">
        <v>1.636037</v>
      </c>
      <c r="E1329">
        <v>1.338684</v>
      </c>
      <c r="F1329">
        <v>5.0143420000000001</v>
      </c>
    </row>
    <row r="1330" spans="1:6">
      <c r="A1330" s="11">
        <v>1327</v>
      </c>
      <c r="B1330">
        <v>1.2605839999999999</v>
      </c>
      <c r="C1330">
        <v>0.56199100000000002</v>
      </c>
      <c r="D1330">
        <v>6.9712230000000002</v>
      </c>
      <c r="E1330">
        <v>0.97085500000000002</v>
      </c>
      <c r="F1330">
        <v>2.0697580000000002</v>
      </c>
    </row>
    <row r="1331" spans="1:6">
      <c r="A1331" s="11">
        <v>1328</v>
      </c>
      <c r="B1331">
        <v>0.72331800000000002</v>
      </c>
      <c r="C1331">
        <v>0.52394700000000005</v>
      </c>
      <c r="D1331">
        <v>2.2327620000000001</v>
      </c>
      <c r="E1331">
        <v>1.9783409999999999</v>
      </c>
      <c r="F1331">
        <v>0.479744</v>
      </c>
    </row>
    <row r="1332" spans="1:6">
      <c r="A1332" s="11">
        <v>1329</v>
      </c>
      <c r="B1332">
        <v>0.84744799999999998</v>
      </c>
      <c r="C1332">
        <v>1.183743</v>
      </c>
      <c r="D1332">
        <v>1.6679330000000001</v>
      </c>
      <c r="E1332">
        <v>29.761286999999999</v>
      </c>
      <c r="F1332">
        <v>1.736111</v>
      </c>
    </row>
    <row r="1333" spans="1:6">
      <c r="A1333" s="11">
        <v>1330</v>
      </c>
      <c r="B1333">
        <v>0.10782</v>
      </c>
      <c r="C1333">
        <v>1.247147</v>
      </c>
      <c r="D1333">
        <v>1.471392</v>
      </c>
      <c r="E1333">
        <v>1.743679</v>
      </c>
      <c r="F1333">
        <v>1.4469129999999999</v>
      </c>
    </row>
    <row r="1334" spans="1:6">
      <c r="A1334" s="11">
        <v>1331</v>
      </c>
      <c r="B1334">
        <v>1.6586209999999999</v>
      </c>
      <c r="C1334">
        <v>1.4250689999999999</v>
      </c>
      <c r="D1334">
        <v>2.3133400000000002</v>
      </c>
      <c r="E1334">
        <v>0.88385199999999997</v>
      </c>
      <c r="F1334">
        <v>1.23889</v>
      </c>
    </row>
    <row r="1335" spans="1:6">
      <c r="A1335" s="11">
        <v>1332</v>
      </c>
      <c r="B1335">
        <v>2.1772469999999999</v>
      </c>
      <c r="C1335">
        <v>1.5931709999999999</v>
      </c>
      <c r="D1335">
        <v>0.95381700000000003</v>
      </c>
      <c r="E1335">
        <v>6.7886139999999999</v>
      </c>
      <c r="F1335">
        <v>3.1696979999999999</v>
      </c>
    </row>
    <row r="1336" spans="1:6">
      <c r="A1336" s="11">
        <v>1333</v>
      </c>
      <c r="B1336">
        <v>0.40149099999999999</v>
      </c>
      <c r="C1336">
        <v>0.82991499999999996</v>
      </c>
      <c r="D1336">
        <v>1.2886439999999999</v>
      </c>
      <c r="E1336">
        <v>0.76886600000000005</v>
      </c>
      <c r="F1336">
        <v>0.56502200000000002</v>
      </c>
    </row>
    <row r="1337" spans="1:6">
      <c r="A1337" s="11">
        <v>1334</v>
      </c>
      <c r="B1337">
        <v>1.0697449999999999</v>
      </c>
      <c r="C1337">
        <v>0.96861600000000003</v>
      </c>
      <c r="D1337">
        <v>6.0880510000000001</v>
      </c>
      <c r="E1337">
        <v>3.4732289999999999</v>
      </c>
      <c r="F1337">
        <v>0.61073699999999997</v>
      </c>
    </row>
    <row r="1338" spans="1:6">
      <c r="A1338" s="11">
        <v>1335</v>
      </c>
      <c r="B1338">
        <v>3.229781</v>
      </c>
      <c r="C1338">
        <v>0.38719700000000001</v>
      </c>
      <c r="D1338">
        <v>0.84007699999999996</v>
      </c>
      <c r="E1338">
        <v>0.91561300000000001</v>
      </c>
      <c r="F1338">
        <v>1.22597</v>
      </c>
    </row>
    <row r="1339" spans="1:6">
      <c r="A1339" s="11">
        <v>1336</v>
      </c>
      <c r="B1339">
        <v>2.7314180000000001</v>
      </c>
      <c r="C1339">
        <v>1.1533420000000001</v>
      </c>
      <c r="D1339">
        <v>6.265485</v>
      </c>
      <c r="E1339">
        <v>0.93340800000000002</v>
      </c>
      <c r="F1339">
        <v>0.54161700000000002</v>
      </c>
    </row>
    <row r="1340" spans="1:6">
      <c r="A1340" s="11">
        <v>1337</v>
      </c>
      <c r="B1340">
        <v>0.69523900000000005</v>
      </c>
      <c r="C1340">
        <v>0.231516</v>
      </c>
      <c r="D1340">
        <v>0.94799999999999995</v>
      </c>
      <c r="E1340">
        <v>3.0295350000000001</v>
      </c>
      <c r="F1340">
        <v>0.63817199999999996</v>
      </c>
    </row>
    <row r="1341" spans="1:6">
      <c r="A1341" s="11">
        <v>1338</v>
      </c>
      <c r="B1341">
        <v>2.22356</v>
      </c>
      <c r="C1341">
        <v>1.5370649999999999</v>
      </c>
      <c r="D1341">
        <v>1.3143549999999999</v>
      </c>
      <c r="E1341">
        <v>3.0767540000000002</v>
      </c>
      <c r="F1341">
        <v>0.72650000000000003</v>
      </c>
    </row>
    <row r="1342" spans="1:6">
      <c r="A1342" s="11">
        <v>1339</v>
      </c>
      <c r="B1342">
        <v>2.071294</v>
      </c>
      <c r="C1342">
        <v>1.0694509999999999</v>
      </c>
      <c r="D1342">
        <v>2.1872310000000001</v>
      </c>
      <c r="E1342">
        <v>1.012397</v>
      </c>
      <c r="F1342">
        <v>1.718593</v>
      </c>
    </row>
    <row r="1343" spans="1:6">
      <c r="A1343" s="11">
        <v>1340</v>
      </c>
      <c r="B1343">
        <v>2.5613670000000002</v>
      </c>
      <c r="C1343">
        <v>2.0808499999999999</v>
      </c>
      <c r="D1343">
        <v>0.13853099999999999</v>
      </c>
      <c r="E1343">
        <v>0.79541600000000001</v>
      </c>
      <c r="F1343">
        <v>0.23181599999999999</v>
      </c>
    </row>
    <row r="1344" spans="1:6">
      <c r="A1344" s="11">
        <v>1341</v>
      </c>
      <c r="B1344">
        <v>0.40778700000000001</v>
      </c>
      <c r="C1344">
        <v>1.743711</v>
      </c>
      <c r="D1344">
        <v>1.2891699999999999</v>
      </c>
      <c r="E1344">
        <v>1.0289779999999999</v>
      </c>
      <c r="F1344">
        <v>5.1166000000000003E-2</v>
      </c>
    </row>
    <row r="1345" spans="1:6">
      <c r="A1345" s="11">
        <v>1342</v>
      </c>
      <c r="B1345">
        <v>1.607202</v>
      </c>
      <c r="C1345">
        <v>2.219697</v>
      </c>
      <c r="D1345">
        <v>4.0205880000000001</v>
      </c>
      <c r="E1345">
        <v>0.36612299999999998</v>
      </c>
      <c r="F1345">
        <v>3.941964</v>
      </c>
    </row>
    <row r="1346" spans="1:6">
      <c r="A1346" s="11">
        <v>1343</v>
      </c>
      <c r="B1346">
        <v>8.9221389999999996</v>
      </c>
      <c r="C1346">
        <v>0.29883799999999999</v>
      </c>
      <c r="D1346">
        <v>0.22198899999999999</v>
      </c>
      <c r="E1346">
        <v>0.34788400000000003</v>
      </c>
      <c r="F1346">
        <v>2.8059609999999999</v>
      </c>
    </row>
    <row r="1347" spans="1:6">
      <c r="A1347" s="11">
        <v>1344</v>
      </c>
      <c r="B1347">
        <v>0.15179400000000001</v>
      </c>
      <c r="C1347">
        <v>0.97294999999999998</v>
      </c>
      <c r="D1347">
        <v>1.4569909999999999</v>
      </c>
      <c r="E1347">
        <v>2.7780140000000002</v>
      </c>
      <c r="F1347">
        <v>0.269395</v>
      </c>
    </row>
    <row r="1348" spans="1:6">
      <c r="A1348" s="11">
        <v>1345</v>
      </c>
      <c r="B1348">
        <v>13.694027999999999</v>
      </c>
      <c r="C1348">
        <v>1.218879</v>
      </c>
      <c r="D1348">
        <v>1.984235</v>
      </c>
      <c r="E1348">
        <v>0.31847900000000001</v>
      </c>
      <c r="F1348">
        <v>1.979522</v>
      </c>
    </row>
    <row r="1349" spans="1:6">
      <c r="A1349" s="11">
        <v>1346</v>
      </c>
      <c r="B1349">
        <v>0.31837300000000002</v>
      </c>
      <c r="C1349">
        <v>1.1473640000000001</v>
      </c>
      <c r="D1349">
        <v>7.4225050000000001</v>
      </c>
      <c r="E1349">
        <v>1.24732</v>
      </c>
      <c r="F1349">
        <v>15.152279</v>
      </c>
    </row>
    <row r="1350" spans="1:6">
      <c r="A1350" s="11">
        <v>1347</v>
      </c>
      <c r="B1350">
        <v>0.92913500000000004</v>
      </c>
      <c r="C1350">
        <v>0.868726</v>
      </c>
      <c r="D1350">
        <v>0.53602300000000003</v>
      </c>
      <c r="E1350">
        <v>0.39566600000000002</v>
      </c>
      <c r="F1350">
        <v>0.36889300000000003</v>
      </c>
    </row>
    <row r="1351" spans="1:6">
      <c r="A1351" s="11">
        <v>1348</v>
      </c>
      <c r="B1351">
        <v>0.12917699999999999</v>
      </c>
      <c r="C1351">
        <v>15.617067</v>
      </c>
      <c r="D1351">
        <v>0.41980499999999998</v>
      </c>
      <c r="E1351">
        <v>1.6965680000000001</v>
      </c>
      <c r="F1351">
        <v>1.1687019999999999</v>
      </c>
    </row>
    <row r="1352" spans="1:6">
      <c r="A1352" s="11">
        <v>1349</v>
      </c>
      <c r="B1352">
        <v>6.7215939999999996</v>
      </c>
      <c r="C1352">
        <v>1.1363570000000001</v>
      </c>
      <c r="D1352">
        <v>1.1072850000000001</v>
      </c>
      <c r="E1352">
        <v>1.437289</v>
      </c>
      <c r="F1352">
        <v>0.23626800000000001</v>
      </c>
    </row>
    <row r="1353" spans="1:6">
      <c r="A1353" s="11">
        <v>1350</v>
      </c>
      <c r="B1353">
        <v>2.5737770000000002</v>
      </c>
      <c r="C1353">
        <v>0.47731699999999999</v>
      </c>
      <c r="D1353">
        <v>1.859426</v>
      </c>
      <c r="E1353">
        <v>1.2023759999999999</v>
      </c>
      <c r="F1353">
        <v>3.2915830000000001</v>
      </c>
    </row>
    <row r="1354" spans="1:6">
      <c r="A1354" s="11">
        <v>1351</v>
      </c>
      <c r="B1354">
        <v>0.42130200000000001</v>
      </c>
      <c r="C1354">
        <v>0.66911399999999999</v>
      </c>
      <c r="D1354">
        <v>1.335634</v>
      </c>
      <c r="E1354">
        <v>0.45975899999999997</v>
      </c>
      <c r="F1354">
        <v>0.30307099999999998</v>
      </c>
    </row>
    <row r="1355" spans="1:6">
      <c r="A1355" s="11">
        <v>1352</v>
      </c>
      <c r="B1355">
        <v>2.442488</v>
      </c>
      <c r="C1355">
        <v>0.47817700000000002</v>
      </c>
      <c r="D1355">
        <v>1.1911910000000001</v>
      </c>
      <c r="E1355">
        <v>2.831941</v>
      </c>
      <c r="F1355">
        <v>1.308886</v>
      </c>
    </row>
    <row r="1356" spans="1:6">
      <c r="A1356" s="11">
        <v>1353</v>
      </c>
      <c r="B1356">
        <v>0.64840699999999996</v>
      </c>
      <c r="C1356">
        <v>0.61634800000000001</v>
      </c>
      <c r="D1356">
        <v>1.5257719999999999</v>
      </c>
      <c r="E1356">
        <v>1.738639</v>
      </c>
      <c r="F1356">
        <v>3.9576340000000001</v>
      </c>
    </row>
    <row r="1357" spans="1:6">
      <c r="A1357" s="11">
        <v>1354</v>
      </c>
      <c r="B1357">
        <v>0.60400100000000001</v>
      </c>
      <c r="C1357">
        <v>0.45211800000000002</v>
      </c>
      <c r="D1357">
        <v>0.88979799999999998</v>
      </c>
      <c r="E1357">
        <v>4.0199769999999999</v>
      </c>
      <c r="F1357">
        <v>0.69277599999999995</v>
      </c>
    </row>
    <row r="1358" spans="1:6">
      <c r="A1358" s="11">
        <v>1355</v>
      </c>
      <c r="B1358">
        <v>0.86129</v>
      </c>
      <c r="C1358">
        <v>0.70550000000000002</v>
      </c>
      <c r="D1358">
        <v>0.39239200000000002</v>
      </c>
      <c r="E1358">
        <v>2.0252620000000001</v>
      </c>
      <c r="F1358">
        <v>0.58210099999999998</v>
      </c>
    </row>
    <row r="1359" spans="1:6">
      <c r="A1359" s="11">
        <v>1356</v>
      </c>
      <c r="B1359">
        <v>0.33357500000000001</v>
      </c>
      <c r="C1359">
        <v>6.1029730000000004</v>
      </c>
      <c r="D1359">
        <v>2.389132</v>
      </c>
      <c r="E1359">
        <v>1.8456980000000001</v>
      </c>
      <c r="F1359">
        <v>1.3047519999999999</v>
      </c>
    </row>
    <row r="1360" spans="1:6">
      <c r="A1360" s="11">
        <v>1357</v>
      </c>
      <c r="B1360">
        <v>4.4955749999999997</v>
      </c>
      <c r="C1360">
        <v>6.1634169999999999</v>
      </c>
      <c r="D1360">
        <v>1.2733859999999999</v>
      </c>
      <c r="E1360">
        <v>1.4039900000000001</v>
      </c>
      <c r="F1360">
        <v>1.2763119999999999</v>
      </c>
    </row>
    <row r="1361" spans="1:6">
      <c r="A1361" s="11">
        <v>1358</v>
      </c>
      <c r="B1361">
        <v>0.73072899999999996</v>
      </c>
      <c r="C1361">
        <v>3.467616</v>
      </c>
      <c r="D1361">
        <v>4.0036069999999997</v>
      </c>
      <c r="E1361">
        <v>2.1445650000000001</v>
      </c>
      <c r="F1361">
        <v>6.7482179999999996</v>
      </c>
    </row>
    <row r="1362" spans="1:6">
      <c r="A1362" s="11">
        <v>1359</v>
      </c>
      <c r="B1362">
        <v>4.3335990000000004</v>
      </c>
      <c r="C1362">
        <v>5.9866999999999997E-2</v>
      </c>
      <c r="D1362">
        <v>5.5696440000000003</v>
      </c>
      <c r="E1362">
        <v>0.57926999999999995</v>
      </c>
      <c r="F1362">
        <v>12.310181999999999</v>
      </c>
    </row>
    <row r="1363" spans="1:6">
      <c r="A1363" s="11">
        <v>1360</v>
      </c>
      <c r="B1363">
        <v>0.74411499999999997</v>
      </c>
      <c r="C1363">
        <v>1.9413959999999999</v>
      </c>
      <c r="D1363">
        <v>0.25468800000000003</v>
      </c>
      <c r="E1363">
        <v>0.31434499999999999</v>
      </c>
      <c r="F1363">
        <v>1.3899090000000001</v>
      </c>
    </row>
    <row r="1364" spans="1:6">
      <c r="A1364" s="11">
        <v>1361</v>
      </c>
      <c r="B1364">
        <v>0.87781600000000004</v>
      </c>
      <c r="C1364">
        <v>2.4235340000000001</v>
      </c>
      <c r="D1364">
        <v>0.60424999999999995</v>
      </c>
      <c r="E1364">
        <v>1.746936</v>
      </c>
      <c r="F1364">
        <v>4.2550489999999996</v>
      </c>
    </row>
    <row r="1365" spans="1:6">
      <c r="A1365" s="11">
        <v>1362</v>
      </c>
      <c r="B1365">
        <v>1.1694040000000001</v>
      </c>
      <c r="C1365">
        <v>0.21917500000000001</v>
      </c>
      <c r="D1365">
        <v>0.51709300000000002</v>
      </c>
      <c r="E1365">
        <v>7.9954980000000004</v>
      </c>
      <c r="F1365">
        <v>15.792948000000001</v>
      </c>
    </row>
    <row r="1366" spans="1:6">
      <c r="A1366" s="11">
        <v>1363</v>
      </c>
      <c r="B1366">
        <v>0.93066099999999996</v>
      </c>
      <c r="C1366">
        <v>0.53663700000000003</v>
      </c>
      <c r="D1366">
        <v>0.42799100000000001</v>
      </c>
      <c r="E1366">
        <v>0.67313900000000004</v>
      </c>
      <c r="F1366">
        <v>0.888015</v>
      </c>
    </row>
    <row r="1367" spans="1:6">
      <c r="A1367" s="11">
        <v>1364</v>
      </c>
      <c r="B1367">
        <v>2.803213</v>
      </c>
      <c r="C1367">
        <v>0.36531599999999997</v>
      </c>
      <c r="D1367">
        <v>4.0563840000000004</v>
      </c>
      <c r="E1367">
        <v>1.3912100000000001</v>
      </c>
      <c r="F1367">
        <v>0.99544999999999995</v>
      </c>
    </row>
    <row r="1368" spans="1:6">
      <c r="A1368" s="11">
        <v>1365</v>
      </c>
      <c r="B1368">
        <v>1.9364600000000001</v>
      </c>
      <c r="C1368">
        <v>0.51461500000000004</v>
      </c>
      <c r="D1368">
        <v>0.232463</v>
      </c>
      <c r="E1368">
        <v>0.64848700000000004</v>
      </c>
      <c r="F1368">
        <v>1.7648520000000001</v>
      </c>
    </row>
    <row r="1369" spans="1:6">
      <c r="A1369" s="11">
        <v>1366</v>
      </c>
      <c r="B1369">
        <v>1.5691250000000001</v>
      </c>
      <c r="C1369">
        <v>3.0904430000000001</v>
      </c>
      <c r="D1369">
        <v>2.2842190000000002</v>
      </c>
      <c r="E1369">
        <v>1.067337</v>
      </c>
      <c r="F1369">
        <v>1.1832560000000001</v>
      </c>
    </row>
    <row r="1370" spans="1:6">
      <c r="A1370" s="11">
        <v>1367</v>
      </c>
      <c r="B1370">
        <v>9.3234999999999998E-2</v>
      </c>
      <c r="C1370">
        <v>0.496782</v>
      </c>
      <c r="D1370">
        <v>0.69486199999999998</v>
      </c>
      <c r="E1370">
        <v>0.68486599999999997</v>
      </c>
      <c r="F1370">
        <v>1.6478159999999999</v>
      </c>
    </row>
    <row r="1371" spans="1:6">
      <c r="A1371" s="11">
        <v>1368</v>
      </c>
      <c r="B1371">
        <v>0.46834700000000001</v>
      </c>
      <c r="C1371">
        <v>1.07409</v>
      </c>
      <c r="D1371">
        <v>4.5786369999999996</v>
      </c>
      <c r="E1371">
        <v>2.6282199999999998</v>
      </c>
      <c r="F1371">
        <v>2.2556280000000002</v>
      </c>
    </row>
    <row r="1372" spans="1:6">
      <c r="A1372" s="11">
        <v>1369</v>
      </c>
      <c r="B1372">
        <v>1.4632719999999999</v>
      </c>
      <c r="C1372">
        <v>0.61880400000000002</v>
      </c>
      <c r="D1372">
        <v>0.97356399999999998</v>
      </c>
      <c r="E1372">
        <v>0.970526</v>
      </c>
      <c r="F1372">
        <v>1.346589</v>
      </c>
    </row>
    <row r="1373" spans="1:6">
      <c r="A1373" s="11">
        <v>1370</v>
      </c>
      <c r="B1373">
        <v>0.545099</v>
      </c>
      <c r="C1373">
        <v>0.58953800000000001</v>
      </c>
      <c r="D1373">
        <v>2.4572250000000002</v>
      </c>
      <c r="E1373">
        <v>0.68536399999999997</v>
      </c>
      <c r="F1373">
        <v>2.9327830000000001</v>
      </c>
    </row>
    <row r="1374" spans="1:6">
      <c r="A1374" s="11">
        <v>1371</v>
      </c>
      <c r="B1374">
        <v>2.8660169999999998</v>
      </c>
      <c r="C1374">
        <v>1.16743</v>
      </c>
      <c r="D1374">
        <v>1.3977839999999999</v>
      </c>
      <c r="E1374">
        <v>6.105817</v>
      </c>
      <c r="F1374">
        <v>4.9927200000000003</v>
      </c>
    </row>
    <row r="1375" spans="1:6">
      <c r="A1375" s="11">
        <v>1372</v>
      </c>
      <c r="B1375">
        <v>0.85363900000000004</v>
      </c>
      <c r="C1375">
        <v>0.24033499999999999</v>
      </c>
      <c r="D1375">
        <v>0.44927400000000001</v>
      </c>
      <c r="E1375">
        <v>0.79588300000000001</v>
      </c>
      <c r="F1375">
        <v>1.2582089999999999</v>
      </c>
    </row>
    <row r="1376" spans="1:6">
      <c r="A1376" s="11">
        <v>1373</v>
      </c>
      <c r="B1376">
        <v>3.626582</v>
      </c>
      <c r="C1376">
        <v>1.5835870000000001</v>
      </c>
      <c r="D1376">
        <v>3.1899510000000002</v>
      </c>
      <c r="E1376">
        <v>0.78628900000000002</v>
      </c>
      <c r="F1376">
        <v>1.454013</v>
      </c>
    </row>
    <row r="1377" spans="1:6">
      <c r="A1377" s="11">
        <v>1374</v>
      </c>
      <c r="B1377">
        <v>7.429996</v>
      </c>
      <c r="C1377">
        <v>2.3518680000000001</v>
      </c>
      <c r="D1377">
        <v>1.1048990000000001</v>
      </c>
      <c r="E1377">
        <v>3.0929220000000002</v>
      </c>
      <c r="F1377">
        <v>2.9659430000000002</v>
      </c>
    </row>
    <row r="1378" spans="1:6">
      <c r="A1378" s="11">
        <v>1375</v>
      </c>
      <c r="B1378">
        <v>1.0577110000000001</v>
      </c>
      <c r="C1378">
        <v>0.27974300000000002</v>
      </c>
      <c r="D1378">
        <v>0.93978200000000001</v>
      </c>
      <c r="E1378">
        <v>9.2931340000000002</v>
      </c>
      <c r="F1378">
        <v>1.15568</v>
      </c>
    </row>
    <row r="1379" spans="1:6">
      <c r="A1379" s="11">
        <v>1376</v>
      </c>
      <c r="B1379">
        <v>6.1129550000000004</v>
      </c>
      <c r="C1379">
        <v>1.2093469999999999</v>
      </c>
      <c r="D1379">
        <v>2.3679730000000001</v>
      </c>
      <c r="E1379">
        <v>3.413716</v>
      </c>
      <c r="F1379">
        <v>2.5884070000000001</v>
      </c>
    </row>
    <row r="1380" spans="1:6">
      <c r="A1380" s="11">
        <v>1377</v>
      </c>
      <c r="B1380">
        <v>0.47890300000000002</v>
      </c>
      <c r="C1380">
        <v>0.89624700000000002</v>
      </c>
      <c r="D1380">
        <v>2.079107</v>
      </c>
      <c r="E1380">
        <v>0.92095800000000005</v>
      </c>
      <c r="F1380">
        <v>0.56398400000000004</v>
      </c>
    </row>
    <row r="1381" spans="1:6">
      <c r="A1381" s="11">
        <v>1378</v>
      </c>
      <c r="B1381">
        <v>0.72662000000000004</v>
      </c>
      <c r="C1381">
        <v>0.562079</v>
      </c>
      <c r="D1381">
        <v>2.0963289999999999</v>
      </c>
      <c r="E1381">
        <v>0.43703799999999998</v>
      </c>
      <c r="F1381">
        <v>7.171468</v>
      </c>
    </row>
    <row r="1382" spans="1:6">
      <c r="A1382" s="11">
        <v>1379</v>
      </c>
      <c r="B1382">
        <v>1.208277</v>
      </c>
      <c r="C1382">
        <v>0.17047599999999999</v>
      </c>
      <c r="D1382">
        <v>1.762062</v>
      </c>
      <c r="E1382">
        <v>1.4753529999999999</v>
      </c>
      <c r="F1382">
        <v>4.9376030000000002</v>
      </c>
    </row>
    <row r="1383" spans="1:6">
      <c r="A1383" s="11">
        <v>1380</v>
      </c>
      <c r="B1383">
        <v>0.70923499999999995</v>
      </c>
      <c r="C1383">
        <v>2.487193</v>
      </c>
      <c r="D1383">
        <v>1.639697</v>
      </c>
      <c r="E1383">
        <v>0.357076</v>
      </c>
      <c r="F1383">
        <v>0.30908999999999998</v>
      </c>
    </row>
    <row r="1384" spans="1:6">
      <c r="A1384" s="11">
        <v>1381</v>
      </c>
      <c r="B1384">
        <v>3.46313</v>
      </c>
      <c r="C1384">
        <v>0.19689499999999999</v>
      </c>
      <c r="D1384">
        <v>5.6942870000000001</v>
      </c>
      <c r="E1384">
        <v>2.9171490000000002</v>
      </c>
      <c r="F1384">
        <v>1.1778770000000001</v>
      </c>
    </row>
    <row r="1385" spans="1:6">
      <c r="A1385" s="11">
        <v>1382</v>
      </c>
      <c r="B1385">
        <v>1.390776</v>
      </c>
      <c r="C1385">
        <v>7.8536169999999998</v>
      </c>
      <c r="D1385">
        <v>5.560848</v>
      </c>
      <c r="E1385">
        <v>1.537528</v>
      </c>
      <c r="F1385">
        <v>0.67398199999999997</v>
      </c>
    </row>
    <row r="1386" spans="1:6">
      <c r="A1386" s="11">
        <v>1383</v>
      </c>
      <c r="B1386">
        <v>8.8106000000000004E-2</v>
      </c>
      <c r="C1386">
        <v>1.3824289999999999</v>
      </c>
      <c r="D1386">
        <v>1.7462629999999999</v>
      </c>
      <c r="E1386">
        <v>3.6929850000000002</v>
      </c>
      <c r="F1386">
        <v>0.80008500000000005</v>
      </c>
    </row>
    <row r="1387" spans="1:6">
      <c r="A1387" s="11">
        <v>1384</v>
      </c>
      <c r="B1387">
        <v>0.68382699999999996</v>
      </c>
      <c r="C1387">
        <v>0.51815199999999995</v>
      </c>
      <c r="D1387">
        <v>2.9182090000000001</v>
      </c>
      <c r="E1387">
        <v>1.9849429999999999</v>
      </c>
      <c r="F1387">
        <v>1.1582589999999999</v>
      </c>
    </row>
    <row r="1388" spans="1:6">
      <c r="A1388" s="11">
        <v>1385</v>
      </c>
      <c r="B1388">
        <v>0.97360400000000002</v>
      </c>
      <c r="C1388">
        <v>1.2332689999999999</v>
      </c>
      <c r="D1388">
        <v>9.4930979999999998</v>
      </c>
      <c r="E1388">
        <v>11.052070000000001</v>
      </c>
      <c r="F1388">
        <v>2.736526</v>
      </c>
    </row>
    <row r="1389" spans="1:6">
      <c r="A1389" s="11">
        <v>1386</v>
      </c>
      <c r="B1389">
        <v>3.0457450000000001</v>
      </c>
      <c r="C1389">
        <v>2.4873249999999998</v>
      </c>
      <c r="D1389">
        <v>1.5026250000000001</v>
      </c>
      <c r="E1389">
        <v>1.872876</v>
      </c>
      <c r="F1389">
        <v>11.816057000000001</v>
      </c>
    </row>
    <row r="1390" spans="1:6">
      <c r="A1390" s="11">
        <v>1387</v>
      </c>
      <c r="B1390">
        <v>2.3580209999999999</v>
      </c>
      <c r="C1390">
        <v>0.35123900000000002</v>
      </c>
      <c r="D1390">
        <v>0.74568400000000001</v>
      </c>
      <c r="E1390">
        <v>1.1920790000000001</v>
      </c>
      <c r="F1390">
        <v>1.8552569999999999</v>
      </c>
    </row>
    <row r="1391" spans="1:6">
      <c r="A1391" s="11">
        <v>1388</v>
      </c>
      <c r="B1391">
        <v>1.1530119999999999</v>
      </c>
      <c r="C1391">
        <v>1.1972970000000001</v>
      </c>
      <c r="D1391">
        <v>10.651873999999999</v>
      </c>
      <c r="E1391">
        <v>0.73752399999999996</v>
      </c>
      <c r="F1391">
        <v>1.297582</v>
      </c>
    </row>
    <row r="1392" spans="1:6">
      <c r="A1392" s="11">
        <v>1389</v>
      </c>
      <c r="B1392">
        <v>9.4301469999999998</v>
      </c>
      <c r="C1392">
        <v>7.5603800000000003</v>
      </c>
      <c r="D1392">
        <v>1.5866290000000001</v>
      </c>
      <c r="E1392">
        <v>4.3978950000000001</v>
      </c>
      <c r="F1392">
        <v>7.0738560000000001</v>
      </c>
    </row>
    <row r="1393" spans="1:6">
      <c r="A1393" s="11">
        <v>1390</v>
      </c>
      <c r="B1393">
        <v>0.60560700000000001</v>
      </c>
      <c r="C1393">
        <v>6.4953240000000001</v>
      </c>
      <c r="D1393">
        <v>1.3247310000000001</v>
      </c>
      <c r="E1393">
        <v>0.59987699999999999</v>
      </c>
      <c r="F1393">
        <v>0.88289399999999996</v>
      </c>
    </row>
    <row r="1394" spans="1:6">
      <c r="A1394" s="11">
        <v>1391</v>
      </c>
      <c r="B1394">
        <v>0.52725699999999998</v>
      </c>
      <c r="C1394">
        <v>3.6145</v>
      </c>
      <c r="D1394">
        <v>3.8681350000000001</v>
      </c>
      <c r="E1394">
        <v>0.22852800000000001</v>
      </c>
      <c r="F1394">
        <v>1.8932720000000001</v>
      </c>
    </row>
    <row r="1395" spans="1:6">
      <c r="A1395" s="11">
        <v>1392</v>
      </c>
      <c r="B1395">
        <v>0.24815000000000001</v>
      </c>
      <c r="C1395">
        <v>0.22498699999999999</v>
      </c>
      <c r="D1395">
        <v>0.33927499999999999</v>
      </c>
      <c r="E1395">
        <v>2.0148739999999998</v>
      </c>
      <c r="F1395">
        <v>0.327154</v>
      </c>
    </row>
    <row r="1396" spans="1:6">
      <c r="A1396" s="11">
        <v>1393</v>
      </c>
      <c r="B1396">
        <v>1.94293</v>
      </c>
      <c r="C1396">
        <v>0.47831400000000002</v>
      </c>
      <c r="D1396">
        <v>18.545439999999999</v>
      </c>
      <c r="E1396">
        <v>11.517951999999999</v>
      </c>
      <c r="F1396">
        <v>0.98446699999999998</v>
      </c>
    </row>
    <row r="1397" spans="1:6">
      <c r="A1397" s="11">
        <v>1394</v>
      </c>
      <c r="B1397">
        <v>0.72304900000000005</v>
      </c>
      <c r="C1397">
        <v>1.231427</v>
      </c>
      <c r="D1397">
        <v>4.9451520000000002</v>
      </c>
      <c r="E1397">
        <v>8.9747999999999994E-2</v>
      </c>
      <c r="F1397">
        <v>0.127691</v>
      </c>
    </row>
    <row r="1398" spans="1:6">
      <c r="A1398" s="11">
        <v>1395</v>
      </c>
      <c r="B1398">
        <v>1.434952</v>
      </c>
      <c r="C1398">
        <v>2.2288619999999999</v>
      </c>
      <c r="D1398">
        <v>0.87097000000000002</v>
      </c>
      <c r="E1398">
        <v>1.2855460000000001</v>
      </c>
      <c r="F1398">
        <v>2.8546459999999998</v>
      </c>
    </row>
    <row r="1399" spans="1:6">
      <c r="A1399" s="11">
        <v>1396</v>
      </c>
      <c r="B1399">
        <v>34.710706000000002</v>
      </c>
      <c r="C1399">
        <v>0.12693499999999999</v>
      </c>
      <c r="D1399">
        <v>0.128969</v>
      </c>
      <c r="E1399">
        <v>0.45465299999999997</v>
      </c>
      <c r="F1399">
        <v>0.82173799999999997</v>
      </c>
    </row>
    <row r="1400" spans="1:6">
      <c r="A1400" s="11">
        <v>1397</v>
      </c>
      <c r="B1400">
        <v>0.78710599999999997</v>
      </c>
      <c r="C1400">
        <v>7.8402250000000002</v>
      </c>
      <c r="D1400">
        <v>0.38301499999999999</v>
      </c>
      <c r="E1400">
        <v>0.42285899999999998</v>
      </c>
      <c r="F1400">
        <v>3.0179680000000002</v>
      </c>
    </row>
    <row r="1401" spans="1:6">
      <c r="A1401" s="11">
        <v>1398</v>
      </c>
      <c r="B1401">
        <v>8.5114319999999992</v>
      </c>
      <c r="C1401">
        <v>1.955978</v>
      </c>
      <c r="D1401">
        <v>0.44814799999999999</v>
      </c>
      <c r="E1401">
        <v>1.7692559999999999</v>
      </c>
      <c r="F1401">
        <v>4.5539310000000004</v>
      </c>
    </row>
    <row r="1402" spans="1:6">
      <c r="A1402" s="11">
        <v>1399</v>
      </c>
      <c r="B1402">
        <v>0.47559800000000002</v>
      </c>
      <c r="C1402">
        <v>0.77951300000000001</v>
      </c>
      <c r="D1402">
        <v>1.668393</v>
      </c>
      <c r="E1402">
        <v>0.28022900000000001</v>
      </c>
      <c r="F1402">
        <v>2.1360749999999999</v>
      </c>
    </row>
    <row r="1403" spans="1:6">
      <c r="A1403" s="11">
        <v>1400</v>
      </c>
      <c r="B1403">
        <v>3.5519310000000002</v>
      </c>
      <c r="C1403">
        <v>1.270975</v>
      </c>
      <c r="D1403">
        <v>1.0611409999999999</v>
      </c>
      <c r="E1403">
        <v>0.55793700000000002</v>
      </c>
      <c r="F1403">
        <v>1.308594</v>
      </c>
    </row>
    <row r="1404" spans="1:6">
      <c r="A1404" s="11">
        <v>1401</v>
      </c>
      <c r="B1404">
        <v>0.37766899999999998</v>
      </c>
      <c r="C1404">
        <v>2.4645589999999999</v>
      </c>
      <c r="D1404">
        <v>0.42392000000000002</v>
      </c>
      <c r="E1404">
        <v>1.96959</v>
      </c>
      <c r="F1404">
        <v>0.98124199999999995</v>
      </c>
    </row>
    <row r="1405" spans="1:6">
      <c r="A1405" s="11">
        <v>1402</v>
      </c>
      <c r="B1405">
        <v>0.98459700000000006</v>
      </c>
      <c r="C1405">
        <v>0.32617699999999999</v>
      </c>
      <c r="D1405">
        <v>0.86024100000000003</v>
      </c>
      <c r="E1405">
        <v>0.27085799999999999</v>
      </c>
      <c r="F1405">
        <v>0.507969</v>
      </c>
    </row>
    <row r="1406" spans="1:6">
      <c r="A1406" s="11">
        <v>1403</v>
      </c>
      <c r="B1406">
        <v>0.15728</v>
      </c>
      <c r="C1406">
        <v>2.6543040000000002</v>
      </c>
      <c r="D1406">
        <v>0.57527300000000003</v>
      </c>
      <c r="E1406">
        <v>0.27335900000000002</v>
      </c>
      <c r="F1406">
        <v>1.262683</v>
      </c>
    </row>
    <row r="1407" spans="1:6">
      <c r="A1407" s="11">
        <v>1404</v>
      </c>
      <c r="B1407">
        <v>0.27518999999999999</v>
      </c>
      <c r="C1407">
        <v>0.67335500000000004</v>
      </c>
      <c r="D1407">
        <v>0.85224699999999998</v>
      </c>
      <c r="E1407">
        <v>3.1301000000000002E-2</v>
      </c>
      <c r="F1407">
        <v>4.2827529999999996</v>
      </c>
    </row>
    <row r="1408" spans="1:6">
      <c r="A1408" s="11">
        <v>1405</v>
      </c>
      <c r="B1408">
        <v>4.5642100000000001</v>
      </c>
      <c r="C1408">
        <v>1.463395</v>
      </c>
      <c r="D1408">
        <v>0.79100000000000004</v>
      </c>
      <c r="E1408">
        <v>3.5999569999999999</v>
      </c>
      <c r="F1408">
        <v>0.52234100000000006</v>
      </c>
    </row>
    <row r="1409" spans="1:6">
      <c r="A1409" s="11">
        <v>1406</v>
      </c>
      <c r="B1409">
        <v>3.8696640000000002</v>
      </c>
      <c r="C1409">
        <v>0.26477299999999998</v>
      </c>
      <c r="D1409">
        <v>0.48770599999999997</v>
      </c>
      <c r="E1409">
        <v>0.90157200000000004</v>
      </c>
      <c r="F1409">
        <v>8.2217999999999999E-2</v>
      </c>
    </row>
    <row r="1410" spans="1:6">
      <c r="A1410" s="11">
        <v>1407</v>
      </c>
      <c r="B1410">
        <v>1.6583060000000001</v>
      </c>
      <c r="C1410">
        <v>0.41508099999999998</v>
      </c>
      <c r="D1410">
        <v>2.3721030000000001</v>
      </c>
      <c r="E1410">
        <v>0.93922499999999998</v>
      </c>
      <c r="F1410">
        <v>1.40561</v>
      </c>
    </row>
    <row r="1411" spans="1:6">
      <c r="A1411" s="11">
        <v>1408</v>
      </c>
      <c r="B1411">
        <v>10.785354</v>
      </c>
      <c r="C1411">
        <v>4.6550099999999999</v>
      </c>
      <c r="D1411">
        <v>0.92361800000000005</v>
      </c>
      <c r="E1411">
        <v>1.9298219999999999</v>
      </c>
      <c r="F1411">
        <v>1.4246799999999999</v>
      </c>
    </row>
    <row r="1412" spans="1:6">
      <c r="A1412" s="11">
        <v>1409</v>
      </c>
      <c r="B1412">
        <v>1.7491490000000001</v>
      </c>
      <c r="C1412">
        <v>1.5446690000000001</v>
      </c>
      <c r="D1412">
        <v>10.218646</v>
      </c>
      <c r="E1412">
        <v>1.697565</v>
      </c>
      <c r="F1412">
        <v>1.7721370000000001</v>
      </c>
    </row>
    <row r="1413" spans="1:6">
      <c r="A1413" s="11">
        <v>1410</v>
      </c>
      <c r="B1413">
        <v>0.52329000000000003</v>
      </c>
      <c r="C1413">
        <v>0.42740400000000001</v>
      </c>
      <c r="D1413">
        <v>0.84174599999999999</v>
      </c>
      <c r="E1413">
        <v>0.25647500000000001</v>
      </c>
      <c r="F1413">
        <v>0.49042799999999998</v>
      </c>
    </row>
    <row r="1414" spans="1:6">
      <c r="A1414" s="11">
        <v>1411</v>
      </c>
      <c r="B1414">
        <v>2.55383</v>
      </c>
      <c r="C1414">
        <v>0.18616199999999999</v>
      </c>
      <c r="D1414">
        <v>1.39209</v>
      </c>
      <c r="E1414">
        <v>3.5601039999999999</v>
      </c>
      <c r="F1414">
        <v>5.7389359999999998</v>
      </c>
    </row>
    <row r="1415" spans="1:6">
      <c r="A1415" s="11">
        <v>1412</v>
      </c>
      <c r="B1415">
        <v>0.28283000000000003</v>
      </c>
      <c r="C1415">
        <v>2.57355</v>
      </c>
      <c r="D1415">
        <v>0.64386200000000005</v>
      </c>
      <c r="E1415">
        <v>1.197621</v>
      </c>
      <c r="F1415">
        <v>1.367977</v>
      </c>
    </row>
    <row r="1416" spans="1:6">
      <c r="A1416" s="11">
        <v>1413</v>
      </c>
      <c r="B1416">
        <v>4.4052689999999997</v>
      </c>
      <c r="C1416">
        <v>2.412547</v>
      </c>
      <c r="D1416">
        <v>0.90751999999999999</v>
      </c>
      <c r="E1416">
        <v>0.79091699999999998</v>
      </c>
      <c r="F1416">
        <v>5.7761319999999996</v>
      </c>
    </row>
    <row r="1417" spans="1:6">
      <c r="A1417" s="11">
        <v>1414</v>
      </c>
      <c r="B1417">
        <v>1.399054</v>
      </c>
      <c r="C1417">
        <v>1.5527070000000001</v>
      </c>
      <c r="D1417">
        <v>1.3421380000000001</v>
      </c>
      <c r="E1417">
        <v>0.760571</v>
      </c>
      <c r="F1417">
        <v>0.60388500000000001</v>
      </c>
    </row>
    <row r="1418" spans="1:6">
      <c r="A1418" s="11">
        <v>1415</v>
      </c>
      <c r="B1418">
        <v>4.2339539999999998</v>
      </c>
      <c r="C1418">
        <v>0.63309499999999996</v>
      </c>
      <c r="D1418">
        <v>1.6326039999999999</v>
      </c>
      <c r="E1418">
        <v>1.1124050000000001</v>
      </c>
      <c r="F1418">
        <v>0.40758800000000001</v>
      </c>
    </row>
    <row r="1419" spans="1:6">
      <c r="A1419" s="11">
        <v>1416</v>
      </c>
      <c r="B1419">
        <v>0.33916299999999999</v>
      </c>
      <c r="C1419">
        <v>1.225055</v>
      </c>
      <c r="D1419">
        <v>0.41190900000000003</v>
      </c>
      <c r="E1419">
        <v>0.48004799999999997</v>
      </c>
      <c r="F1419">
        <v>0.11726399999999999</v>
      </c>
    </row>
    <row r="1420" spans="1:6">
      <c r="A1420" s="11">
        <v>1417</v>
      </c>
      <c r="B1420">
        <v>8.1998689999999996</v>
      </c>
      <c r="C1420">
        <v>3.7363840000000001</v>
      </c>
      <c r="D1420">
        <v>2.8280319999999999</v>
      </c>
      <c r="E1420">
        <v>0.59904199999999996</v>
      </c>
      <c r="F1420">
        <v>1.3606069999999999</v>
      </c>
    </row>
    <row r="1421" spans="1:6">
      <c r="A1421" s="11">
        <v>1418</v>
      </c>
      <c r="B1421">
        <v>1.486477</v>
      </c>
      <c r="C1421">
        <v>1.7816890000000001</v>
      </c>
      <c r="D1421">
        <v>10.468968</v>
      </c>
      <c r="E1421">
        <v>0.47376200000000002</v>
      </c>
      <c r="F1421">
        <v>0.44678200000000001</v>
      </c>
    </row>
    <row r="1422" spans="1:6">
      <c r="A1422" s="11">
        <v>1419</v>
      </c>
      <c r="B1422">
        <v>1.231195</v>
      </c>
      <c r="C1422">
        <v>1.2730360000000001</v>
      </c>
      <c r="D1422">
        <v>0.54050100000000001</v>
      </c>
      <c r="E1422">
        <v>0.89191100000000001</v>
      </c>
      <c r="F1422">
        <v>2.5880030000000001</v>
      </c>
    </row>
    <row r="1423" spans="1:6">
      <c r="A1423" s="11">
        <v>1420</v>
      </c>
      <c r="B1423">
        <v>0.77755399999999997</v>
      </c>
      <c r="C1423">
        <v>3.8520799999999999</v>
      </c>
      <c r="D1423">
        <v>1.4241710000000001</v>
      </c>
      <c r="E1423">
        <v>1.710202</v>
      </c>
      <c r="F1423">
        <v>0.93696999999999997</v>
      </c>
    </row>
    <row r="1424" spans="1:6">
      <c r="A1424" s="11">
        <v>1421</v>
      </c>
      <c r="B1424">
        <v>0.299319</v>
      </c>
      <c r="C1424">
        <v>0.65723100000000001</v>
      </c>
      <c r="D1424">
        <v>0.56147499999999995</v>
      </c>
      <c r="E1424">
        <v>0.59254300000000004</v>
      </c>
      <c r="F1424">
        <v>0.59810399999999997</v>
      </c>
    </row>
    <row r="1425" spans="1:6">
      <c r="A1425" s="11">
        <v>1422</v>
      </c>
      <c r="B1425">
        <v>28.271388000000002</v>
      </c>
      <c r="C1425">
        <v>0.92117899999999997</v>
      </c>
      <c r="D1425">
        <v>1.508135</v>
      </c>
      <c r="E1425">
        <v>1.7035089999999999</v>
      </c>
      <c r="F1425">
        <v>1.7635510000000001</v>
      </c>
    </row>
    <row r="1426" spans="1:6">
      <c r="A1426" s="11">
        <v>1423</v>
      </c>
      <c r="B1426">
        <v>0.97645000000000004</v>
      </c>
      <c r="C1426">
        <v>1.6726799999999999</v>
      </c>
      <c r="D1426">
        <v>0.91928900000000002</v>
      </c>
      <c r="E1426">
        <v>0.90500700000000001</v>
      </c>
      <c r="F1426">
        <v>0.93563399999999997</v>
      </c>
    </row>
    <row r="1427" spans="1:6">
      <c r="A1427" s="11">
        <v>1424</v>
      </c>
      <c r="B1427">
        <v>0.77486999999999995</v>
      </c>
      <c r="C1427">
        <v>0.34504800000000002</v>
      </c>
      <c r="D1427">
        <v>0.133129</v>
      </c>
      <c r="E1427">
        <v>0.331814</v>
      </c>
      <c r="F1427">
        <v>0.81174199999999996</v>
      </c>
    </row>
    <row r="1428" spans="1:6">
      <c r="A1428" s="11">
        <v>1425</v>
      </c>
      <c r="B1428">
        <v>9.7450999999999996E-2</v>
      </c>
      <c r="C1428">
        <v>0.98965700000000001</v>
      </c>
      <c r="D1428">
        <v>3.9905089999999999</v>
      </c>
      <c r="E1428">
        <v>2.9586139999999999</v>
      </c>
      <c r="F1428">
        <v>1.0491649999999999</v>
      </c>
    </row>
    <row r="1429" spans="1:6">
      <c r="A1429" s="11">
        <v>1426</v>
      </c>
      <c r="B1429">
        <v>3.5419700000000001</v>
      </c>
      <c r="C1429">
        <v>1.61073</v>
      </c>
      <c r="D1429">
        <v>2.1290969999999998</v>
      </c>
      <c r="E1429">
        <v>0.79095199999999999</v>
      </c>
      <c r="F1429">
        <v>6.5319580000000004</v>
      </c>
    </row>
    <row r="1430" spans="1:6">
      <c r="A1430" s="11">
        <v>1427</v>
      </c>
      <c r="B1430">
        <v>9.7131190000000007</v>
      </c>
      <c r="C1430">
        <v>2.0773950000000001</v>
      </c>
      <c r="D1430">
        <v>1.037747</v>
      </c>
      <c r="E1430">
        <v>0.55561400000000005</v>
      </c>
      <c r="F1430">
        <v>1.195978</v>
      </c>
    </row>
    <row r="1431" spans="1:6">
      <c r="A1431" s="11">
        <v>1428</v>
      </c>
      <c r="B1431">
        <v>0.59920899999999999</v>
      </c>
      <c r="C1431">
        <v>7.1054839999999997</v>
      </c>
      <c r="D1431">
        <v>0.67359599999999997</v>
      </c>
      <c r="E1431">
        <v>1.26241</v>
      </c>
      <c r="F1431">
        <v>0.14277999999999999</v>
      </c>
    </row>
    <row r="1432" spans="1:6">
      <c r="A1432" s="11">
        <v>1429</v>
      </c>
      <c r="B1432">
        <v>1.569815</v>
      </c>
      <c r="C1432">
        <v>0.39262900000000001</v>
      </c>
      <c r="D1432">
        <v>0.25510300000000002</v>
      </c>
      <c r="E1432">
        <v>1.828543</v>
      </c>
      <c r="F1432">
        <v>5.2668999999999997</v>
      </c>
    </row>
    <row r="1433" spans="1:6">
      <c r="A1433" s="11">
        <v>1430</v>
      </c>
      <c r="B1433">
        <v>0.39373799999999998</v>
      </c>
      <c r="C1433">
        <v>3.5768789999999999</v>
      </c>
      <c r="D1433">
        <v>0.49577100000000002</v>
      </c>
      <c r="E1433">
        <v>0.53382399999999997</v>
      </c>
      <c r="F1433">
        <v>1.9658739999999999</v>
      </c>
    </row>
    <row r="1434" spans="1:6">
      <c r="A1434" s="11">
        <v>1431</v>
      </c>
      <c r="B1434">
        <v>5.645359</v>
      </c>
      <c r="C1434">
        <v>1.1166670000000001</v>
      </c>
      <c r="D1434">
        <v>1.103197</v>
      </c>
      <c r="E1434">
        <v>0.45903500000000003</v>
      </c>
      <c r="F1434">
        <v>0.39569900000000002</v>
      </c>
    </row>
    <row r="1435" spans="1:6">
      <c r="A1435" s="11">
        <v>1432</v>
      </c>
      <c r="B1435">
        <v>0.26174799999999998</v>
      </c>
      <c r="C1435">
        <v>1.9812959999999999</v>
      </c>
      <c r="D1435">
        <v>2.440591</v>
      </c>
      <c r="E1435">
        <v>1.7873559999999999</v>
      </c>
      <c r="F1435">
        <v>1.056414</v>
      </c>
    </row>
    <row r="1436" spans="1:6">
      <c r="A1436" s="11">
        <v>1433</v>
      </c>
      <c r="B1436">
        <v>0.483879</v>
      </c>
      <c r="C1436">
        <v>1.645867</v>
      </c>
      <c r="D1436">
        <v>30.757863</v>
      </c>
      <c r="E1436">
        <v>0.69666600000000001</v>
      </c>
      <c r="F1436">
        <v>0.60664099999999999</v>
      </c>
    </row>
    <row r="1437" spans="1:6">
      <c r="A1437" s="11">
        <v>1434</v>
      </c>
      <c r="B1437">
        <v>1.674731</v>
      </c>
      <c r="C1437">
        <v>1.9814419999999999</v>
      </c>
      <c r="D1437">
        <v>0.73764600000000002</v>
      </c>
      <c r="E1437">
        <v>0.51877499999999999</v>
      </c>
      <c r="F1437">
        <v>1.3140080000000001</v>
      </c>
    </row>
    <row r="1438" spans="1:6">
      <c r="A1438" s="11">
        <v>1435</v>
      </c>
      <c r="B1438">
        <v>1.2867960000000001</v>
      </c>
      <c r="C1438">
        <v>1.3497209999999999</v>
      </c>
      <c r="D1438">
        <v>8.080171</v>
      </c>
      <c r="E1438">
        <v>0.16777</v>
      </c>
      <c r="F1438">
        <v>5.1776229999999996</v>
      </c>
    </row>
    <row r="1439" spans="1:6">
      <c r="A1439" s="11">
        <v>1436</v>
      </c>
      <c r="B1439">
        <v>0.122961</v>
      </c>
      <c r="C1439">
        <v>0.29357899999999998</v>
      </c>
      <c r="D1439">
        <v>0.95024799999999998</v>
      </c>
      <c r="E1439">
        <v>0.77094200000000002</v>
      </c>
      <c r="F1439">
        <v>2.2109529999999999</v>
      </c>
    </row>
    <row r="1440" spans="1:6">
      <c r="A1440" s="11">
        <v>1437</v>
      </c>
      <c r="B1440">
        <v>0.298178</v>
      </c>
      <c r="C1440">
        <v>0.26489200000000002</v>
      </c>
      <c r="D1440">
        <v>0.87242399999999998</v>
      </c>
      <c r="E1440">
        <v>5.8037200000000002</v>
      </c>
      <c r="F1440">
        <v>0.50524199999999997</v>
      </c>
    </row>
    <row r="1441" spans="1:6">
      <c r="A1441" s="11">
        <v>1438</v>
      </c>
      <c r="B1441">
        <v>0.810724</v>
      </c>
      <c r="C1441">
        <v>0.98194199999999998</v>
      </c>
      <c r="D1441">
        <v>4.4244050000000001</v>
      </c>
      <c r="E1441">
        <v>0.93332999999999999</v>
      </c>
      <c r="F1441">
        <v>2.4691339999999999</v>
      </c>
    </row>
    <row r="1442" spans="1:6">
      <c r="A1442" s="11">
        <v>1439</v>
      </c>
      <c r="B1442">
        <v>5.7928389999999998</v>
      </c>
      <c r="C1442">
        <v>5.0995140000000001</v>
      </c>
      <c r="D1442">
        <v>1.5431319999999999</v>
      </c>
      <c r="E1442">
        <v>1.690107</v>
      </c>
      <c r="F1442">
        <v>0.26841500000000001</v>
      </c>
    </row>
    <row r="1443" spans="1:6">
      <c r="A1443" s="11">
        <v>1440</v>
      </c>
      <c r="B1443">
        <v>9.6657000000000007E-2</v>
      </c>
      <c r="C1443">
        <v>2.2783519999999999</v>
      </c>
      <c r="D1443">
        <v>4.785819</v>
      </c>
      <c r="E1443">
        <v>0.203093</v>
      </c>
      <c r="F1443">
        <v>2.6799729999999999</v>
      </c>
    </row>
    <row r="1444" spans="1:6">
      <c r="A1444" s="11">
        <v>1441</v>
      </c>
      <c r="B1444">
        <v>1.814678</v>
      </c>
      <c r="C1444">
        <v>0.37027399999999999</v>
      </c>
      <c r="D1444">
        <v>0.228745</v>
      </c>
      <c r="E1444">
        <v>0.21990199999999999</v>
      </c>
      <c r="F1444">
        <v>1.956882</v>
      </c>
    </row>
    <row r="1445" spans="1:6">
      <c r="A1445" s="11">
        <v>1442</v>
      </c>
      <c r="B1445">
        <v>2.364004</v>
      </c>
      <c r="C1445">
        <v>0.76698200000000005</v>
      </c>
      <c r="D1445">
        <v>9.0051999999999993E-2</v>
      </c>
      <c r="E1445">
        <v>0.81953900000000002</v>
      </c>
      <c r="F1445">
        <v>0.83124399999999998</v>
      </c>
    </row>
    <row r="1446" spans="1:6">
      <c r="A1446" s="11">
        <v>1443</v>
      </c>
      <c r="B1446">
        <v>5.7239459999999998</v>
      </c>
      <c r="C1446">
        <v>7.1145399999999999</v>
      </c>
      <c r="D1446">
        <v>0.72056299999999995</v>
      </c>
      <c r="E1446">
        <v>0.43242799999999998</v>
      </c>
      <c r="F1446">
        <v>1.261849</v>
      </c>
    </row>
    <row r="1447" spans="1:6">
      <c r="A1447" s="11">
        <v>1444</v>
      </c>
      <c r="B1447">
        <v>2.146916</v>
      </c>
      <c r="C1447">
        <v>3.1321940000000001</v>
      </c>
      <c r="D1447">
        <v>0.36328899999999997</v>
      </c>
      <c r="E1447">
        <v>5.1408399999999999</v>
      </c>
      <c r="F1447">
        <v>0.48458200000000001</v>
      </c>
    </row>
    <row r="1448" spans="1:6">
      <c r="A1448" s="11">
        <v>1445</v>
      </c>
      <c r="B1448">
        <v>1.611729</v>
      </c>
      <c r="C1448">
        <v>0.24435899999999999</v>
      </c>
      <c r="D1448">
        <v>4.0012439999999998</v>
      </c>
      <c r="E1448">
        <v>4.4108960000000002</v>
      </c>
      <c r="F1448">
        <v>0.86221199999999998</v>
      </c>
    </row>
    <row r="1449" spans="1:6">
      <c r="A1449" s="11">
        <v>1446</v>
      </c>
      <c r="B1449">
        <v>6.7504650000000002</v>
      </c>
      <c r="C1449">
        <v>0.61505500000000002</v>
      </c>
      <c r="D1449">
        <v>1.3201099999999999</v>
      </c>
      <c r="E1449">
        <v>3.836436</v>
      </c>
      <c r="F1449">
        <v>0.39499699999999999</v>
      </c>
    </row>
    <row r="1450" spans="1:6">
      <c r="A1450" s="11">
        <v>1447</v>
      </c>
      <c r="B1450">
        <v>1.9238999999999999</v>
      </c>
      <c r="C1450">
        <v>0.32564700000000002</v>
      </c>
      <c r="D1450">
        <v>0.70245899999999994</v>
      </c>
      <c r="E1450">
        <v>1.4378470000000001</v>
      </c>
      <c r="F1450">
        <v>2.5693069999999998</v>
      </c>
    </row>
    <row r="1451" spans="1:6">
      <c r="A1451" s="11">
        <v>1448</v>
      </c>
      <c r="B1451">
        <v>0.48069699999999999</v>
      </c>
      <c r="C1451">
        <v>0.48150799999999999</v>
      </c>
      <c r="D1451">
        <v>1.212415</v>
      </c>
      <c r="E1451">
        <v>0.65364299999999997</v>
      </c>
      <c r="F1451">
        <v>4.5781280000000004</v>
      </c>
    </row>
    <row r="1452" spans="1:6">
      <c r="A1452" s="11">
        <v>1449</v>
      </c>
      <c r="B1452">
        <v>0.213061</v>
      </c>
      <c r="C1452">
        <v>4.6961000000000003E-2</v>
      </c>
      <c r="D1452">
        <v>0.59841900000000003</v>
      </c>
      <c r="E1452">
        <v>0.11436</v>
      </c>
      <c r="F1452">
        <v>5.7449009999999996</v>
      </c>
    </row>
    <row r="1453" spans="1:6">
      <c r="A1453" s="11">
        <v>1450</v>
      </c>
      <c r="B1453">
        <v>1.749992</v>
      </c>
      <c r="C1453">
        <v>1.8700110000000001</v>
      </c>
      <c r="D1453">
        <v>2.1440419999999998</v>
      </c>
      <c r="E1453">
        <v>0.61174399999999995</v>
      </c>
      <c r="F1453">
        <v>1.194877</v>
      </c>
    </row>
    <row r="1454" spans="1:6">
      <c r="A1454" s="11">
        <v>1451</v>
      </c>
      <c r="B1454">
        <v>0.99509199999999998</v>
      </c>
      <c r="C1454">
        <v>0.20774400000000001</v>
      </c>
      <c r="D1454">
        <v>0.245702</v>
      </c>
      <c r="E1454">
        <v>7.0768209999999998</v>
      </c>
      <c r="F1454">
        <v>1.6199870000000001</v>
      </c>
    </row>
    <row r="1455" spans="1:6">
      <c r="A1455" s="11">
        <v>1452</v>
      </c>
      <c r="B1455">
        <v>0.29037099999999999</v>
      </c>
      <c r="C1455">
        <v>1.0050889999999999</v>
      </c>
      <c r="D1455">
        <v>1.5259229999999999</v>
      </c>
      <c r="E1455">
        <v>2.1036609999999998</v>
      </c>
      <c r="F1455">
        <v>0.21146899999999999</v>
      </c>
    </row>
    <row r="1456" spans="1:6">
      <c r="A1456" s="11">
        <v>1453</v>
      </c>
      <c r="B1456">
        <v>3.257333</v>
      </c>
      <c r="C1456">
        <v>1.2743789999999999</v>
      </c>
      <c r="D1456">
        <v>0.36303000000000002</v>
      </c>
      <c r="E1456">
        <v>3.5579399999999999</v>
      </c>
      <c r="F1456">
        <v>2.5109270000000001</v>
      </c>
    </row>
    <row r="1457" spans="1:6">
      <c r="A1457" s="11">
        <v>1454</v>
      </c>
      <c r="B1457">
        <v>1.80951</v>
      </c>
      <c r="C1457">
        <v>0.593893</v>
      </c>
      <c r="D1457">
        <v>1.554014</v>
      </c>
      <c r="E1457">
        <v>0.64412199999999997</v>
      </c>
      <c r="F1457">
        <v>1.8282830000000001</v>
      </c>
    </row>
    <row r="1458" spans="1:6">
      <c r="A1458" s="11">
        <v>1455</v>
      </c>
      <c r="B1458">
        <v>1.7203550000000001</v>
      </c>
      <c r="C1458">
        <v>5.1949160000000001</v>
      </c>
      <c r="D1458">
        <v>0.32954099999999997</v>
      </c>
      <c r="E1458">
        <v>1.1587320000000001</v>
      </c>
      <c r="F1458">
        <v>0.899455</v>
      </c>
    </row>
    <row r="1459" spans="1:6">
      <c r="A1459" s="11">
        <v>1456</v>
      </c>
      <c r="B1459">
        <v>7.2551000000000004E-2</v>
      </c>
      <c r="C1459">
        <v>6.9984650000000004</v>
      </c>
      <c r="D1459">
        <v>0.51205500000000004</v>
      </c>
      <c r="E1459">
        <v>3.416839</v>
      </c>
      <c r="F1459">
        <v>2.3837760000000001</v>
      </c>
    </row>
    <row r="1460" spans="1:6">
      <c r="A1460" s="11">
        <v>1457</v>
      </c>
      <c r="B1460">
        <v>1.1882699999999999</v>
      </c>
      <c r="C1460">
        <v>0.68176000000000003</v>
      </c>
      <c r="D1460">
        <v>0.18653900000000001</v>
      </c>
      <c r="E1460">
        <v>4.2494459999999998</v>
      </c>
      <c r="F1460">
        <v>6.0743850000000004</v>
      </c>
    </row>
    <row r="1461" spans="1:6">
      <c r="A1461" s="11">
        <v>1458</v>
      </c>
      <c r="B1461">
        <v>3.53823</v>
      </c>
      <c r="C1461">
        <v>0.38109399999999999</v>
      </c>
      <c r="D1461">
        <v>0.52630600000000005</v>
      </c>
      <c r="E1461">
        <v>4.5202309999999999</v>
      </c>
      <c r="F1461">
        <v>5.5338039999999999</v>
      </c>
    </row>
    <row r="1462" spans="1:6">
      <c r="A1462" s="11">
        <v>1459</v>
      </c>
      <c r="B1462">
        <v>0.53370399999999996</v>
      </c>
      <c r="C1462">
        <v>0.98114000000000001</v>
      </c>
      <c r="D1462">
        <v>7.3967000000000005E-2</v>
      </c>
      <c r="E1462">
        <v>0.26383000000000001</v>
      </c>
      <c r="F1462">
        <v>1.0952679999999999</v>
      </c>
    </row>
    <row r="1463" spans="1:6">
      <c r="A1463" s="11">
        <v>1460</v>
      </c>
      <c r="B1463">
        <v>0.36898199999999998</v>
      </c>
      <c r="C1463">
        <v>0.72013499999999997</v>
      </c>
      <c r="D1463">
        <v>0.20544699999999999</v>
      </c>
      <c r="E1463">
        <v>0.75799300000000003</v>
      </c>
      <c r="F1463">
        <v>0.82928000000000002</v>
      </c>
    </row>
    <row r="1464" spans="1:6">
      <c r="A1464" s="11">
        <v>1461</v>
      </c>
      <c r="B1464">
        <v>1.3104800000000001</v>
      </c>
      <c r="C1464">
        <v>0.53676000000000001</v>
      </c>
      <c r="D1464">
        <v>0.93657999999999997</v>
      </c>
      <c r="E1464">
        <v>0.19850300000000001</v>
      </c>
      <c r="F1464">
        <v>0.11684600000000001</v>
      </c>
    </row>
    <row r="1465" spans="1:6">
      <c r="A1465" s="11">
        <v>1462</v>
      </c>
      <c r="B1465">
        <v>0.51470300000000002</v>
      </c>
      <c r="C1465">
        <v>2.9081939999999999</v>
      </c>
      <c r="D1465">
        <v>0.43903700000000001</v>
      </c>
      <c r="E1465">
        <v>0.59475199999999995</v>
      </c>
      <c r="F1465">
        <v>0.62595000000000001</v>
      </c>
    </row>
    <row r="1466" spans="1:6">
      <c r="A1466" s="11">
        <v>1463</v>
      </c>
      <c r="B1466">
        <v>0.54723599999999994</v>
      </c>
      <c r="C1466">
        <v>5.024E-2</v>
      </c>
      <c r="D1466">
        <v>1.089208</v>
      </c>
      <c r="E1466">
        <v>2.5147719999999998</v>
      </c>
      <c r="F1466">
        <v>0.22697000000000001</v>
      </c>
    </row>
    <row r="1467" spans="1:6">
      <c r="A1467" s="11">
        <v>1464</v>
      </c>
      <c r="B1467">
        <v>1.145618</v>
      </c>
      <c r="C1467">
        <v>1.1900809999999999</v>
      </c>
      <c r="D1467">
        <v>0.553562</v>
      </c>
      <c r="E1467">
        <v>0.71559300000000003</v>
      </c>
      <c r="F1467">
        <v>0.24637500000000001</v>
      </c>
    </row>
    <row r="1468" spans="1:6">
      <c r="A1468" s="11">
        <v>1465</v>
      </c>
      <c r="B1468">
        <v>7.6897710000000004</v>
      </c>
      <c r="C1468">
        <v>0.34652899999999998</v>
      </c>
      <c r="D1468">
        <v>1.117146</v>
      </c>
      <c r="E1468">
        <v>1.3530819999999999</v>
      </c>
      <c r="F1468">
        <v>6.7271809999999999</v>
      </c>
    </row>
    <row r="1469" spans="1:6">
      <c r="A1469" s="11">
        <v>1466</v>
      </c>
      <c r="B1469">
        <v>0.97811400000000004</v>
      </c>
      <c r="C1469">
        <v>1.483743</v>
      </c>
      <c r="D1469">
        <v>3.6276890000000002</v>
      </c>
      <c r="E1469">
        <v>0.91178800000000004</v>
      </c>
      <c r="F1469">
        <v>0.128941</v>
      </c>
    </row>
    <row r="1470" spans="1:6">
      <c r="A1470" s="11">
        <v>1467</v>
      </c>
      <c r="B1470">
        <v>1.7866679999999999</v>
      </c>
      <c r="C1470">
        <v>1.3977440000000001</v>
      </c>
      <c r="D1470">
        <v>0.620587</v>
      </c>
      <c r="E1470">
        <v>0.72967199999999999</v>
      </c>
      <c r="F1470">
        <v>0.22565199999999999</v>
      </c>
    </row>
    <row r="1471" spans="1:6">
      <c r="A1471" s="11">
        <v>1468</v>
      </c>
      <c r="B1471">
        <v>0.51536700000000002</v>
      </c>
      <c r="C1471">
        <v>0.517536</v>
      </c>
      <c r="D1471">
        <v>0.79766199999999998</v>
      </c>
      <c r="E1471">
        <v>1.0362819999999999</v>
      </c>
      <c r="F1471">
        <v>0.41709800000000002</v>
      </c>
    </row>
    <row r="1472" spans="1:6">
      <c r="A1472" s="11">
        <v>1469</v>
      </c>
      <c r="B1472">
        <v>0.40420499999999998</v>
      </c>
      <c r="C1472">
        <v>1.6144620000000001</v>
      </c>
      <c r="D1472">
        <v>2.1815720000000001</v>
      </c>
      <c r="E1472">
        <v>4.4486699999999999</v>
      </c>
      <c r="F1472">
        <v>2.981176</v>
      </c>
    </row>
    <row r="1473" spans="1:6">
      <c r="A1473" s="11">
        <v>1470</v>
      </c>
      <c r="B1473">
        <v>1.9886159999999999</v>
      </c>
      <c r="C1473">
        <v>0.39670699999999998</v>
      </c>
      <c r="D1473">
        <v>1.83087</v>
      </c>
      <c r="E1473">
        <v>1.2059009999999999</v>
      </c>
      <c r="F1473">
        <v>0.75678500000000004</v>
      </c>
    </row>
    <row r="1474" spans="1:6">
      <c r="A1474" s="11">
        <v>1471</v>
      </c>
      <c r="B1474">
        <v>0.17302500000000001</v>
      </c>
      <c r="C1474">
        <v>1.6386270000000001</v>
      </c>
      <c r="D1474">
        <v>1.4874309999999999</v>
      </c>
      <c r="E1474">
        <v>0.68911199999999995</v>
      </c>
      <c r="F1474">
        <v>2.135732</v>
      </c>
    </row>
    <row r="1475" spans="1:6">
      <c r="A1475" s="11">
        <v>1472</v>
      </c>
      <c r="B1475">
        <v>0.46960800000000003</v>
      </c>
      <c r="C1475">
        <v>0.44567699999999999</v>
      </c>
      <c r="D1475">
        <v>1.1521399999999999</v>
      </c>
      <c r="E1475">
        <v>0.99210799999999999</v>
      </c>
      <c r="F1475">
        <v>0.987375</v>
      </c>
    </row>
    <row r="1476" spans="1:6">
      <c r="A1476" s="11">
        <v>1473</v>
      </c>
      <c r="B1476">
        <v>0.55006500000000003</v>
      </c>
      <c r="C1476">
        <v>3.4044780000000001</v>
      </c>
      <c r="D1476">
        <v>2.8319939999999999</v>
      </c>
      <c r="E1476">
        <v>0.46373199999999998</v>
      </c>
      <c r="F1476">
        <v>0.36693999999999999</v>
      </c>
    </row>
    <row r="1477" spans="1:6">
      <c r="A1477" s="11">
        <v>1474</v>
      </c>
      <c r="B1477">
        <v>0.37957800000000003</v>
      </c>
      <c r="C1477">
        <v>0.75280899999999995</v>
      </c>
      <c r="D1477">
        <v>1.5587800000000001</v>
      </c>
      <c r="E1477">
        <v>1.724008</v>
      </c>
      <c r="F1477">
        <v>1.2792730000000001</v>
      </c>
    </row>
    <row r="1478" spans="1:6">
      <c r="A1478" s="11">
        <v>1475</v>
      </c>
      <c r="B1478">
        <v>1.7286980000000001</v>
      </c>
      <c r="C1478">
        <v>1.2493650000000001</v>
      </c>
      <c r="D1478">
        <v>2.3144170000000002</v>
      </c>
      <c r="E1478">
        <v>0.106492</v>
      </c>
      <c r="F1478">
        <v>1.912523</v>
      </c>
    </row>
    <row r="1479" spans="1:6">
      <c r="A1479" s="11">
        <v>1476</v>
      </c>
      <c r="B1479">
        <v>0.57685799999999998</v>
      </c>
      <c r="C1479">
        <v>0.99807299999999999</v>
      </c>
      <c r="D1479">
        <v>2.011288</v>
      </c>
      <c r="E1479">
        <v>0.34733599999999998</v>
      </c>
      <c r="F1479">
        <v>0.77410800000000002</v>
      </c>
    </row>
    <row r="1480" spans="1:6">
      <c r="A1480" s="11">
        <v>1477</v>
      </c>
      <c r="B1480">
        <v>2.4092340000000001</v>
      </c>
      <c r="C1480">
        <v>0.105698</v>
      </c>
      <c r="D1480">
        <v>2.6802950000000001</v>
      </c>
      <c r="E1480">
        <v>2.327966</v>
      </c>
      <c r="F1480">
        <v>0.70883799999999997</v>
      </c>
    </row>
    <row r="1481" spans="1:6">
      <c r="A1481" s="11">
        <v>1478</v>
      </c>
      <c r="B1481">
        <v>1.7074670000000001</v>
      </c>
      <c r="C1481">
        <v>4.513395</v>
      </c>
      <c r="D1481">
        <v>0.87988999999999995</v>
      </c>
      <c r="E1481">
        <v>0.82371000000000005</v>
      </c>
      <c r="F1481">
        <v>8.709384</v>
      </c>
    </row>
    <row r="1482" spans="1:6">
      <c r="A1482" s="11">
        <v>1479</v>
      </c>
      <c r="B1482">
        <v>0.433286</v>
      </c>
      <c r="C1482">
        <v>2.331045</v>
      </c>
      <c r="D1482">
        <v>0.52107199999999998</v>
      </c>
      <c r="E1482">
        <v>0.22514200000000001</v>
      </c>
      <c r="F1482">
        <v>0.19433300000000001</v>
      </c>
    </row>
    <row r="1483" spans="1:6">
      <c r="A1483" s="11">
        <v>1480</v>
      </c>
      <c r="B1483">
        <v>0.86896099999999998</v>
      </c>
      <c r="C1483">
        <v>0.47948800000000003</v>
      </c>
      <c r="D1483">
        <v>0.23516599999999999</v>
      </c>
      <c r="E1483">
        <v>1.5520609999999999</v>
      </c>
      <c r="F1483">
        <v>3.0883379999999998</v>
      </c>
    </row>
    <row r="1484" spans="1:6">
      <c r="A1484" s="11">
        <v>1481</v>
      </c>
      <c r="B1484">
        <v>0.75656000000000001</v>
      </c>
      <c r="C1484">
        <v>11.600695999999999</v>
      </c>
      <c r="D1484">
        <v>1.30115</v>
      </c>
      <c r="E1484">
        <v>0.965947</v>
      </c>
      <c r="F1484">
        <v>10.122006000000001</v>
      </c>
    </row>
    <row r="1485" spans="1:6">
      <c r="A1485" s="11">
        <v>1482</v>
      </c>
      <c r="B1485">
        <v>0.19756899999999999</v>
      </c>
      <c r="C1485">
        <v>0.47583500000000001</v>
      </c>
      <c r="D1485">
        <v>0.6694</v>
      </c>
      <c r="E1485">
        <v>0.318662</v>
      </c>
      <c r="F1485">
        <v>0.992367</v>
      </c>
    </row>
    <row r="1486" spans="1:6">
      <c r="A1486" s="11">
        <v>1483</v>
      </c>
      <c r="B1486">
        <v>2.7177030000000002</v>
      </c>
      <c r="C1486">
        <v>4.9029800000000003</v>
      </c>
      <c r="D1486">
        <v>0.17089799999999999</v>
      </c>
      <c r="E1486">
        <v>1.798171</v>
      </c>
      <c r="F1486">
        <v>2.0102609999999999</v>
      </c>
    </row>
    <row r="1487" spans="1:6">
      <c r="A1487" s="11">
        <v>1484</v>
      </c>
      <c r="B1487">
        <v>0.569465</v>
      </c>
      <c r="C1487">
        <v>0.78971899999999995</v>
      </c>
      <c r="D1487">
        <v>1.1423209999999999</v>
      </c>
      <c r="E1487">
        <v>2.5154160000000001</v>
      </c>
      <c r="F1487">
        <v>0.241566</v>
      </c>
    </row>
    <row r="1488" spans="1:6">
      <c r="A1488" s="11">
        <v>1485</v>
      </c>
      <c r="B1488">
        <v>0.86110100000000001</v>
      </c>
      <c r="C1488">
        <v>3.1775690000000001</v>
      </c>
      <c r="D1488">
        <v>0.69192799999999999</v>
      </c>
      <c r="E1488">
        <v>2.5487280000000001</v>
      </c>
      <c r="F1488">
        <v>1.609105</v>
      </c>
    </row>
    <row r="1489" spans="1:6">
      <c r="A1489" s="11">
        <v>1486</v>
      </c>
      <c r="B1489">
        <v>3.7965080000000002</v>
      </c>
      <c r="C1489">
        <v>1.9939530000000001</v>
      </c>
      <c r="D1489">
        <v>2.2799719999999999</v>
      </c>
      <c r="E1489">
        <v>0.288161</v>
      </c>
      <c r="F1489">
        <v>0.123572</v>
      </c>
    </row>
    <row r="1490" spans="1:6">
      <c r="A1490" s="11">
        <v>1487</v>
      </c>
      <c r="B1490">
        <v>1.688876</v>
      </c>
      <c r="C1490">
        <v>1.9668490000000001</v>
      </c>
      <c r="D1490">
        <v>4.8076429999999997</v>
      </c>
      <c r="E1490">
        <v>2.7645270000000002</v>
      </c>
      <c r="F1490">
        <v>1.54199</v>
      </c>
    </row>
    <row r="1491" spans="1:6">
      <c r="A1491" s="11">
        <v>1488</v>
      </c>
      <c r="B1491">
        <v>5.6261359999999998</v>
      </c>
      <c r="C1491">
        <v>0.54883499999999996</v>
      </c>
      <c r="D1491">
        <v>1.389473</v>
      </c>
      <c r="E1491">
        <v>1.1957519999999999</v>
      </c>
      <c r="F1491">
        <v>2.4337749999999998</v>
      </c>
    </row>
    <row r="1492" spans="1:6">
      <c r="A1492" s="11">
        <v>1489</v>
      </c>
      <c r="B1492">
        <v>2.4267110000000001</v>
      </c>
      <c r="C1492">
        <v>21.013104999999999</v>
      </c>
      <c r="D1492">
        <v>0.43380099999999999</v>
      </c>
      <c r="E1492">
        <v>1.7652669999999999</v>
      </c>
      <c r="F1492">
        <v>1.304287</v>
      </c>
    </row>
    <row r="1493" spans="1:6">
      <c r="A1493" s="11">
        <v>1490</v>
      </c>
      <c r="B1493">
        <v>1.7045710000000001</v>
      </c>
      <c r="C1493">
        <v>0.25348799999999999</v>
      </c>
      <c r="D1493">
        <v>3.2416809999999998</v>
      </c>
      <c r="E1493">
        <v>0.25428699999999999</v>
      </c>
      <c r="F1493">
        <v>3.3904070000000002</v>
      </c>
    </row>
    <row r="1494" spans="1:6">
      <c r="A1494" s="11">
        <v>1491</v>
      </c>
      <c r="B1494">
        <v>0.46210499999999999</v>
      </c>
      <c r="C1494">
        <v>0.82139600000000002</v>
      </c>
      <c r="D1494">
        <v>9.5736000000000002E-2</v>
      </c>
      <c r="E1494">
        <v>1.0966929999999999</v>
      </c>
      <c r="F1494">
        <v>1.815142</v>
      </c>
    </row>
    <row r="1495" spans="1:6">
      <c r="A1495" s="11">
        <v>1492</v>
      </c>
      <c r="B1495">
        <v>1.418261</v>
      </c>
      <c r="C1495">
        <v>0.17455000000000001</v>
      </c>
      <c r="D1495">
        <v>0.89213799999999999</v>
      </c>
      <c r="E1495">
        <v>8.2989139999999999</v>
      </c>
      <c r="F1495">
        <v>0.29049700000000001</v>
      </c>
    </row>
    <row r="1496" spans="1:6">
      <c r="A1496" s="11">
        <v>1493</v>
      </c>
      <c r="B1496">
        <v>0.579434</v>
      </c>
      <c r="C1496">
        <v>0.37216199999999999</v>
      </c>
      <c r="D1496">
        <v>0.78973199999999999</v>
      </c>
      <c r="E1496">
        <v>3.3474520000000001</v>
      </c>
      <c r="F1496">
        <v>1.69092</v>
      </c>
    </row>
    <row r="1497" spans="1:6">
      <c r="A1497" s="11">
        <v>1494</v>
      </c>
      <c r="B1497">
        <v>6.2683770000000001</v>
      </c>
      <c r="C1497">
        <v>0.49203200000000002</v>
      </c>
      <c r="D1497">
        <v>2.717794</v>
      </c>
      <c r="E1497">
        <v>0.56235599999999997</v>
      </c>
      <c r="F1497">
        <v>1.155335</v>
      </c>
    </row>
    <row r="1498" spans="1:6">
      <c r="A1498" s="11">
        <v>1495</v>
      </c>
      <c r="B1498">
        <v>1.5932710000000001</v>
      </c>
      <c r="C1498">
        <v>5.2237439999999999</v>
      </c>
      <c r="D1498">
        <v>2.1667230000000002</v>
      </c>
      <c r="E1498">
        <v>1.4266730000000001</v>
      </c>
      <c r="F1498">
        <v>0.57036299999999995</v>
      </c>
    </row>
    <row r="1499" spans="1:6">
      <c r="A1499" s="11">
        <v>1496</v>
      </c>
      <c r="B1499">
        <v>0.46498299999999998</v>
      </c>
      <c r="C1499">
        <v>0.22143499999999999</v>
      </c>
      <c r="D1499">
        <v>0.405449</v>
      </c>
      <c r="E1499">
        <v>0.33399699999999999</v>
      </c>
      <c r="F1499">
        <v>0.414881</v>
      </c>
    </row>
    <row r="1500" spans="1:6">
      <c r="A1500" s="11">
        <v>1497</v>
      </c>
      <c r="B1500">
        <v>2.4718849999999999</v>
      </c>
      <c r="C1500">
        <v>18.530895000000001</v>
      </c>
      <c r="D1500">
        <v>4.5942049999999997</v>
      </c>
      <c r="E1500">
        <v>2.0196399999999999</v>
      </c>
      <c r="F1500">
        <v>0.67759800000000003</v>
      </c>
    </row>
    <row r="1501" spans="1:6">
      <c r="A1501" s="11">
        <v>1498</v>
      </c>
      <c r="B1501">
        <v>0.53560200000000002</v>
      </c>
      <c r="C1501">
        <v>2.8129659999999999</v>
      </c>
      <c r="D1501">
        <v>2.0936889999999999</v>
      </c>
      <c r="E1501">
        <v>3.180015</v>
      </c>
      <c r="F1501">
        <v>0.16198799999999999</v>
      </c>
    </row>
    <row r="1502" spans="1:6">
      <c r="A1502" s="11">
        <v>1499</v>
      </c>
      <c r="B1502">
        <v>0.50171200000000005</v>
      </c>
      <c r="C1502">
        <v>0.75147799999999998</v>
      </c>
      <c r="D1502">
        <v>2.2109540000000001</v>
      </c>
      <c r="E1502">
        <v>2.5084529999999998</v>
      </c>
      <c r="F1502">
        <v>0.87098699999999996</v>
      </c>
    </row>
    <row r="1503" spans="1:6">
      <c r="A1503" s="11">
        <v>1500</v>
      </c>
      <c r="B1503">
        <v>0.50772600000000001</v>
      </c>
      <c r="C1503">
        <v>0.86953100000000005</v>
      </c>
      <c r="D1503">
        <v>0.98163199999999995</v>
      </c>
      <c r="E1503">
        <v>5.1718590000000004</v>
      </c>
      <c r="F1503">
        <v>5.0066309999999996</v>
      </c>
    </row>
    <row r="1504" spans="1:6">
      <c r="A1504" s="11">
        <v>1501</v>
      </c>
      <c r="B1504">
        <v>1.5784640000000001</v>
      </c>
      <c r="C1504">
        <v>0.711009</v>
      </c>
      <c r="D1504">
        <v>0.248416</v>
      </c>
      <c r="E1504">
        <v>6.1485969999999996</v>
      </c>
      <c r="F1504">
        <v>1.5130319999999999</v>
      </c>
    </row>
    <row r="1505" spans="1:6">
      <c r="A1505" s="11">
        <v>1502</v>
      </c>
      <c r="B1505">
        <v>0.17507</v>
      </c>
      <c r="C1505">
        <v>1.0965689999999999</v>
      </c>
      <c r="D1505">
        <v>4.5859579999999998</v>
      </c>
      <c r="E1505">
        <v>1.8393040000000001</v>
      </c>
      <c r="F1505">
        <v>2.1870639999999999</v>
      </c>
    </row>
    <row r="1506" spans="1:6">
      <c r="A1506" s="11">
        <v>1503</v>
      </c>
      <c r="B1506">
        <v>0.47238000000000002</v>
      </c>
      <c r="C1506">
        <v>4.308344</v>
      </c>
      <c r="D1506">
        <v>4.3589900000000004</v>
      </c>
      <c r="E1506">
        <v>0.185506</v>
      </c>
      <c r="F1506">
        <v>0.38004500000000002</v>
      </c>
    </row>
    <row r="1507" spans="1:6">
      <c r="A1507" s="11">
        <v>1504</v>
      </c>
      <c r="B1507">
        <v>6.5852449999999996</v>
      </c>
      <c r="C1507">
        <v>0.30342200000000003</v>
      </c>
      <c r="D1507">
        <v>0.70520700000000003</v>
      </c>
      <c r="E1507">
        <v>0.950376</v>
      </c>
      <c r="F1507">
        <v>0.30985200000000002</v>
      </c>
    </row>
    <row r="1508" spans="1:6">
      <c r="A1508" s="11">
        <v>1505</v>
      </c>
      <c r="B1508">
        <v>1.0950530000000001</v>
      </c>
      <c r="C1508">
        <v>0.26589299999999999</v>
      </c>
      <c r="D1508">
        <v>2.8326880000000001</v>
      </c>
      <c r="E1508">
        <v>1.0676380000000001</v>
      </c>
      <c r="F1508">
        <v>3.8155709999999998</v>
      </c>
    </row>
    <row r="1509" spans="1:6">
      <c r="A1509" s="11">
        <v>1506</v>
      </c>
      <c r="B1509">
        <v>1.6493359999999999</v>
      </c>
      <c r="C1509">
        <v>0.49170700000000001</v>
      </c>
      <c r="D1509">
        <v>0.246147</v>
      </c>
      <c r="E1509">
        <v>0.139851</v>
      </c>
      <c r="F1509">
        <v>0.227241</v>
      </c>
    </row>
    <row r="1510" spans="1:6">
      <c r="A1510" s="11">
        <v>1507</v>
      </c>
      <c r="B1510">
        <v>3.5961110000000001</v>
      </c>
      <c r="C1510">
        <v>5.6926259999999997</v>
      </c>
      <c r="D1510">
        <v>1.240612</v>
      </c>
      <c r="E1510">
        <v>0.51037500000000002</v>
      </c>
      <c r="F1510">
        <v>1.2823119999999999</v>
      </c>
    </row>
    <row r="1511" spans="1:6">
      <c r="A1511" s="11">
        <v>1508</v>
      </c>
      <c r="B1511">
        <v>0.94329499999999999</v>
      </c>
      <c r="C1511">
        <v>6.4092739999999999</v>
      </c>
      <c r="D1511">
        <v>1.1471340000000001</v>
      </c>
      <c r="E1511">
        <v>4.5107889999999999</v>
      </c>
      <c r="F1511">
        <v>2.2183470000000001</v>
      </c>
    </row>
    <row r="1512" spans="1:6">
      <c r="A1512" s="11">
        <v>1509</v>
      </c>
      <c r="B1512">
        <v>1.271487</v>
      </c>
      <c r="C1512">
        <v>0.59916100000000005</v>
      </c>
      <c r="D1512">
        <v>7.4814999999999996</v>
      </c>
      <c r="E1512">
        <v>1.6198079999999999</v>
      </c>
      <c r="F1512">
        <v>2.4498419999999999</v>
      </c>
    </row>
    <row r="1513" spans="1:6">
      <c r="A1513" s="11">
        <v>1510</v>
      </c>
      <c r="B1513">
        <v>0.40510699999999999</v>
      </c>
      <c r="C1513">
        <v>2.562163</v>
      </c>
      <c r="D1513">
        <v>2.555723</v>
      </c>
      <c r="E1513">
        <v>1.0232319999999999</v>
      </c>
      <c r="F1513">
        <v>1.733903</v>
      </c>
    </row>
    <row r="1514" spans="1:6">
      <c r="A1514" s="11">
        <v>1511</v>
      </c>
      <c r="B1514">
        <v>0.45796199999999998</v>
      </c>
      <c r="C1514">
        <v>1.4564779999999999</v>
      </c>
      <c r="D1514">
        <v>1.2219329999999999</v>
      </c>
      <c r="E1514">
        <v>1.197092</v>
      </c>
      <c r="F1514">
        <v>2.2625980000000001</v>
      </c>
    </row>
    <row r="1515" spans="1:6">
      <c r="A1515" s="11">
        <v>1512</v>
      </c>
      <c r="B1515">
        <v>0.69991599999999998</v>
      </c>
      <c r="C1515">
        <v>0.71641699999999997</v>
      </c>
      <c r="D1515">
        <v>0.19354499999999999</v>
      </c>
      <c r="E1515">
        <v>1.3827160000000001</v>
      </c>
      <c r="F1515">
        <v>8.5795650000000006</v>
      </c>
    </row>
    <row r="1516" spans="1:6">
      <c r="A1516" s="11">
        <v>1513</v>
      </c>
      <c r="B1516">
        <v>0.234316</v>
      </c>
      <c r="C1516">
        <v>0.46921299999999999</v>
      </c>
      <c r="D1516">
        <v>0.246727</v>
      </c>
      <c r="E1516">
        <v>0.91078599999999998</v>
      </c>
      <c r="F1516">
        <v>2.0758220000000001</v>
      </c>
    </row>
    <row r="1517" spans="1:6">
      <c r="A1517" s="11">
        <v>1514</v>
      </c>
      <c r="B1517">
        <v>1.1912739999999999</v>
      </c>
      <c r="C1517">
        <v>0.98228499999999996</v>
      </c>
      <c r="D1517">
        <v>0.75075800000000004</v>
      </c>
      <c r="E1517">
        <v>2.4038040000000001</v>
      </c>
      <c r="F1517">
        <v>2.126881</v>
      </c>
    </row>
    <row r="1518" spans="1:6">
      <c r="A1518" s="11">
        <v>1515</v>
      </c>
      <c r="B1518">
        <v>0.69938400000000001</v>
      </c>
      <c r="C1518">
        <v>0.85348800000000002</v>
      </c>
      <c r="D1518">
        <v>2.0926200000000001</v>
      </c>
      <c r="E1518">
        <v>3.6372239999999998</v>
      </c>
      <c r="F1518">
        <v>8.5822999999999997E-2</v>
      </c>
    </row>
    <row r="1519" spans="1:6">
      <c r="A1519" s="11">
        <v>1516</v>
      </c>
      <c r="B1519">
        <v>0.33480799999999999</v>
      </c>
      <c r="C1519">
        <v>0.94127499999999997</v>
      </c>
      <c r="D1519">
        <v>0.274117</v>
      </c>
      <c r="E1519">
        <v>0.700152</v>
      </c>
      <c r="F1519">
        <v>4.1073219999999999</v>
      </c>
    </row>
    <row r="1520" spans="1:6">
      <c r="A1520" s="11">
        <v>1517</v>
      </c>
      <c r="B1520">
        <v>0.38295699999999999</v>
      </c>
      <c r="C1520">
        <v>13.152279999999999</v>
      </c>
      <c r="D1520">
        <v>0.52541800000000005</v>
      </c>
      <c r="E1520">
        <v>2.1294930000000001</v>
      </c>
      <c r="F1520">
        <v>2.51952</v>
      </c>
    </row>
    <row r="1521" spans="1:6">
      <c r="A1521" s="11">
        <v>1518</v>
      </c>
      <c r="B1521">
        <v>0.56875500000000001</v>
      </c>
      <c r="C1521">
        <v>0.123139</v>
      </c>
      <c r="D1521">
        <v>2.2661190000000002</v>
      </c>
      <c r="E1521">
        <v>1.5051060000000001</v>
      </c>
      <c r="F1521">
        <v>0.60197999999999996</v>
      </c>
    </row>
    <row r="1522" spans="1:6">
      <c r="A1522" s="11">
        <v>1519</v>
      </c>
      <c r="B1522">
        <v>2.2767759999999999</v>
      </c>
      <c r="C1522">
        <v>0.39574300000000001</v>
      </c>
      <c r="D1522">
        <v>0.21630099999999999</v>
      </c>
      <c r="E1522">
        <v>0.35205799999999998</v>
      </c>
      <c r="F1522">
        <v>0.52798100000000003</v>
      </c>
    </row>
    <row r="1523" spans="1:6">
      <c r="A1523" s="11">
        <v>1520</v>
      </c>
      <c r="B1523">
        <v>2.906876</v>
      </c>
      <c r="C1523">
        <v>10.383813</v>
      </c>
      <c r="D1523">
        <v>2.1757979999999999</v>
      </c>
      <c r="E1523">
        <v>3.363658</v>
      </c>
      <c r="F1523">
        <v>0.65320900000000004</v>
      </c>
    </row>
    <row r="1524" spans="1:6">
      <c r="A1524" s="11">
        <v>1521</v>
      </c>
      <c r="B1524">
        <v>2.1323050000000001</v>
      </c>
      <c r="C1524">
        <v>2.9426079999999999</v>
      </c>
      <c r="D1524">
        <v>0.19162999999999999</v>
      </c>
      <c r="E1524">
        <v>0.48516700000000001</v>
      </c>
      <c r="F1524">
        <v>1.702467</v>
      </c>
    </row>
    <row r="1525" spans="1:6">
      <c r="A1525" s="11">
        <v>1522</v>
      </c>
      <c r="B1525">
        <v>1.283358</v>
      </c>
      <c r="C1525">
        <v>3.8849459999999998</v>
      </c>
      <c r="D1525">
        <v>1.025055</v>
      </c>
      <c r="E1525">
        <v>0.62246400000000002</v>
      </c>
      <c r="F1525">
        <v>0.53873400000000005</v>
      </c>
    </row>
    <row r="1526" spans="1:6">
      <c r="A1526" s="11">
        <v>1523</v>
      </c>
      <c r="B1526">
        <v>0.64059900000000003</v>
      </c>
      <c r="C1526">
        <v>1.1721790000000001</v>
      </c>
      <c r="D1526">
        <v>0.34366999999999998</v>
      </c>
      <c r="E1526">
        <v>1.084009</v>
      </c>
      <c r="F1526">
        <v>1.5908949999999999</v>
      </c>
    </row>
    <row r="1527" spans="1:6">
      <c r="A1527" s="11">
        <v>1524</v>
      </c>
      <c r="B1527">
        <v>0.87110600000000005</v>
      </c>
      <c r="C1527">
        <v>1.5804450000000001</v>
      </c>
      <c r="D1527">
        <v>5.9184020000000004</v>
      </c>
      <c r="E1527">
        <v>0.74653199999999997</v>
      </c>
      <c r="F1527">
        <v>3.2343250000000001</v>
      </c>
    </row>
    <row r="1528" spans="1:6">
      <c r="A1528" s="11">
        <v>1525</v>
      </c>
      <c r="B1528">
        <v>1.057744</v>
      </c>
      <c r="C1528">
        <v>0.70091099999999995</v>
      </c>
      <c r="D1528">
        <v>0.62111099999999997</v>
      </c>
      <c r="E1528">
        <v>2.837161</v>
      </c>
      <c r="F1528">
        <v>2.0044650000000002</v>
      </c>
    </row>
    <row r="1529" spans="1:6">
      <c r="A1529" s="11">
        <v>1526</v>
      </c>
      <c r="B1529">
        <v>1.1962699999999999</v>
      </c>
      <c r="C1529">
        <v>0.62721700000000002</v>
      </c>
      <c r="D1529">
        <v>2.4000720000000002</v>
      </c>
      <c r="E1529">
        <v>4.8745589999999996</v>
      </c>
      <c r="F1529">
        <v>3.8228270000000002</v>
      </c>
    </row>
    <row r="1530" spans="1:6">
      <c r="A1530" s="11">
        <v>1527</v>
      </c>
      <c r="B1530">
        <v>3.010462</v>
      </c>
      <c r="C1530">
        <v>0.476379</v>
      </c>
      <c r="D1530">
        <v>5.8321969999999999</v>
      </c>
      <c r="E1530">
        <v>1.7637689999999999</v>
      </c>
      <c r="F1530">
        <v>1.0086900000000001</v>
      </c>
    </row>
    <row r="1531" spans="1:6">
      <c r="A1531" s="11">
        <v>1528</v>
      </c>
      <c r="B1531">
        <v>0.69824299999999995</v>
      </c>
      <c r="C1531">
        <v>0.92632899999999996</v>
      </c>
      <c r="D1531">
        <v>2.0467140000000001</v>
      </c>
      <c r="E1531">
        <v>4.0892049999999998</v>
      </c>
      <c r="F1531">
        <v>0.61332699999999996</v>
      </c>
    </row>
    <row r="1532" spans="1:6">
      <c r="A1532" s="11">
        <v>1529</v>
      </c>
      <c r="B1532">
        <v>1.975122</v>
      </c>
      <c r="C1532">
        <v>0.55900000000000005</v>
      </c>
      <c r="D1532">
        <v>0.19551399999999999</v>
      </c>
      <c r="E1532">
        <v>0.40923900000000002</v>
      </c>
      <c r="F1532">
        <v>5.8178859999999997</v>
      </c>
    </row>
    <row r="1533" spans="1:6">
      <c r="A1533" s="11">
        <v>1530</v>
      </c>
      <c r="B1533">
        <v>1.0630250000000001</v>
      </c>
      <c r="C1533">
        <v>1.0127619999999999</v>
      </c>
      <c r="D1533">
        <v>0.51308799999999999</v>
      </c>
      <c r="E1533">
        <v>3.19373</v>
      </c>
      <c r="F1533">
        <v>1.2882439999999999</v>
      </c>
    </row>
    <row r="1534" spans="1:6">
      <c r="A1534" s="11">
        <v>1531</v>
      </c>
      <c r="B1534">
        <v>0.81553200000000003</v>
      </c>
      <c r="C1534">
        <v>3.3150339999999998</v>
      </c>
      <c r="D1534">
        <v>0.419657</v>
      </c>
      <c r="E1534">
        <v>0.85743000000000003</v>
      </c>
      <c r="F1534">
        <v>2.0991979999999999</v>
      </c>
    </row>
    <row r="1535" spans="1:6">
      <c r="A1535" s="11">
        <v>1532</v>
      </c>
      <c r="B1535">
        <v>0.62817199999999995</v>
      </c>
      <c r="C1535">
        <v>0.76566900000000004</v>
      </c>
      <c r="D1535">
        <v>0.25606299999999999</v>
      </c>
      <c r="E1535">
        <v>0.95005200000000001</v>
      </c>
      <c r="F1535">
        <v>5.6638489999999999</v>
      </c>
    </row>
    <row r="1536" spans="1:6">
      <c r="A1536" s="11">
        <v>1533</v>
      </c>
      <c r="B1536">
        <v>1.2496339999999999</v>
      </c>
      <c r="C1536">
        <v>4.9631749999999997</v>
      </c>
      <c r="D1536">
        <v>1.558E-2</v>
      </c>
      <c r="E1536">
        <v>0.59386799999999995</v>
      </c>
      <c r="F1536">
        <v>0.59405300000000005</v>
      </c>
    </row>
    <row r="1537" spans="1:6">
      <c r="A1537" s="11">
        <v>1534</v>
      </c>
      <c r="B1537">
        <v>1.620252</v>
      </c>
      <c r="C1537">
        <v>2.7481520000000002</v>
      </c>
      <c r="D1537">
        <v>1.6040369999999999</v>
      </c>
      <c r="E1537">
        <v>1.981927</v>
      </c>
      <c r="F1537">
        <v>0.89032199999999995</v>
      </c>
    </row>
    <row r="1538" spans="1:6">
      <c r="A1538" s="11">
        <v>1535</v>
      </c>
      <c r="B1538">
        <v>0.59921199999999997</v>
      </c>
      <c r="C1538">
        <v>0.46109600000000001</v>
      </c>
      <c r="D1538">
        <v>2.6418659999999998</v>
      </c>
      <c r="E1538">
        <v>0.64121099999999998</v>
      </c>
      <c r="F1538">
        <v>1.8894089999999999</v>
      </c>
    </row>
    <row r="1539" spans="1:6">
      <c r="A1539" s="11">
        <v>1536</v>
      </c>
      <c r="B1539">
        <v>0.59208899999999998</v>
      </c>
      <c r="C1539">
        <v>12.213168</v>
      </c>
      <c r="D1539">
        <v>10.267657</v>
      </c>
      <c r="E1539">
        <v>0.66441300000000003</v>
      </c>
      <c r="F1539">
        <v>1.210372</v>
      </c>
    </row>
    <row r="1540" spans="1:6">
      <c r="A1540" s="11">
        <v>1537</v>
      </c>
      <c r="B1540">
        <v>0.43233899999999997</v>
      </c>
      <c r="C1540">
        <v>0.241753</v>
      </c>
      <c r="D1540">
        <v>0.73952899999999999</v>
      </c>
      <c r="E1540">
        <v>0.54649000000000003</v>
      </c>
      <c r="F1540">
        <v>1.06813</v>
      </c>
    </row>
    <row r="1541" spans="1:6">
      <c r="A1541" s="11">
        <v>1538</v>
      </c>
      <c r="B1541">
        <v>3.0602719999999999</v>
      </c>
      <c r="C1541">
        <v>0.18040900000000001</v>
      </c>
      <c r="D1541">
        <v>6.5323000000000006E-2</v>
      </c>
      <c r="E1541">
        <v>1.3077270000000001</v>
      </c>
      <c r="F1541">
        <v>1.784572</v>
      </c>
    </row>
    <row r="1542" spans="1:6">
      <c r="A1542" s="11">
        <v>1539</v>
      </c>
      <c r="B1542">
        <v>2.3895110000000002</v>
      </c>
      <c r="C1542">
        <v>3.2618309999999999</v>
      </c>
      <c r="D1542">
        <v>5.178661</v>
      </c>
      <c r="E1542">
        <v>0.46715099999999998</v>
      </c>
      <c r="F1542">
        <v>1.191009</v>
      </c>
    </row>
    <row r="1543" spans="1:6">
      <c r="A1543" s="11">
        <v>1540</v>
      </c>
      <c r="B1543">
        <v>0.98918600000000001</v>
      </c>
      <c r="C1543">
        <v>8.1190270000000009</v>
      </c>
      <c r="D1543">
        <v>1.5817589999999999</v>
      </c>
      <c r="E1543">
        <v>1.331105</v>
      </c>
      <c r="F1543">
        <v>1.3374379999999999</v>
      </c>
    </row>
    <row r="1544" spans="1:6">
      <c r="A1544" s="11">
        <v>1541</v>
      </c>
      <c r="B1544">
        <v>0.27687099999999998</v>
      </c>
      <c r="C1544">
        <v>0.55093700000000001</v>
      </c>
      <c r="D1544">
        <v>1.342792</v>
      </c>
      <c r="E1544">
        <v>0.24680299999999999</v>
      </c>
      <c r="F1544">
        <v>5.8227070000000003</v>
      </c>
    </row>
    <row r="1545" spans="1:6">
      <c r="A1545" s="11">
        <v>1542</v>
      </c>
      <c r="B1545">
        <v>0.62574200000000002</v>
      </c>
      <c r="C1545">
        <v>0.85385699999999998</v>
      </c>
      <c r="D1545">
        <v>1.1971039999999999</v>
      </c>
      <c r="E1545">
        <v>1.127284</v>
      </c>
      <c r="F1545">
        <v>2.1830720000000001</v>
      </c>
    </row>
    <row r="1546" spans="1:6">
      <c r="A1546" s="11">
        <v>1543</v>
      </c>
      <c r="B1546">
        <v>0.74224900000000005</v>
      </c>
      <c r="C1546">
        <v>0.66063300000000003</v>
      </c>
      <c r="D1546">
        <v>1.313383</v>
      </c>
      <c r="E1546">
        <v>1.2984579999999999</v>
      </c>
      <c r="F1546">
        <v>1.242259</v>
      </c>
    </row>
    <row r="1547" spans="1:6">
      <c r="A1547" s="11">
        <v>1544</v>
      </c>
      <c r="B1547">
        <v>2.2022910000000002</v>
      </c>
      <c r="C1547">
        <v>1.891507</v>
      </c>
      <c r="D1547">
        <v>0.72628499999999996</v>
      </c>
      <c r="E1547">
        <v>0.65952299999999997</v>
      </c>
      <c r="F1547">
        <v>1.032886</v>
      </c>
    </row>
    <row r="1548" spans="1:6">
      <c r="A1548" s="11">
        <v>1545</v>
      </c>
      <c r="B1548">
        <v>3.734388</v>
      </c>
      <c r="C1548">
        <v>1.4751339999999999</v>
      </c>
      <c r="D1548">
        <v>0.138963</v>
      </c>
      <c r="E1548">
        <v>1.1548430000000001</v>
      </c>
      <c r="F1548">
        <v>0.86338400000000004</v>
      </c>
    </row>
    <row r="1549" spans="1:6">
      <c r="A1549" s="11">
        <v>1546</v>
      </c>
      <c r="B1549">
        <v>2.1525110000000001</v>
      </c>
      <c r="C1549">
        <v>0.68251399999999995</v>
      </c>
      <c r="D1549">
        <v>3.7678729999999998</v>
      </c>
      <c r="E1549">
        <v>1.057013</v>
      </c>
      <c r="F1549">
        <v>0.64197000000000004</v>
      </c>
    </row>
    <row r="1550" spans="1:6">
      <c r="A1550" s="11">
        <v>1547</v>
      </c>
      <c r="B1550">
        <v>1.207649</v>
      </c>
      <c r="C1550">
        <v>7.7062660000000003</v>
      </c>
      <c r="D1550">
        <v>3.3655339999999998</v>
      </c>
      <c r="E1550">
        <v>2.016867</v>
      </c>
      <c r="F1550">
        <v>1.8489690000000001</v>
      </c>
    </row>
    <row r="1551" spans="1:6">
      <c r="A1551" s="11">
        <v>1548</v>
      </c>
      <c r="B1551">
        <v>0.71188899999999999</v>
      </c>
      <c r="C1551">
        <v>5.1055080000000004</v>
      </c>
      <c r="D1551">
        <v>2.403403</v>
      </c>
      <c r="E1551">
        <v>5.4599399999999996</v>
      </c>
      <c r="F1551">
        <v>7.9699109999999997</v>
      </c>
    </row>
    <row r="1552" spans="1:6">
      <c r="A1552" s="11">
        <v>1549</v>
      </c>
      <c r="B1552">
        <v>0.58835899999999997</v>
      </c>
      <c r="C1552">
        <v>0.99800100000000003</v>
      </c>
      <c r="D1552">
        <v>3.3987560000000001</v>
      </c>
      <c r="E1552">
        <v>0.84958100000000003</v>
      </c>
      <c r="F1552">
        <v>0.63555799999999996</v>
      </c>
    </row>
    <row r="1553" spans="1:6">
      <c r="A1553" s="11">
        <v>1550</v>
      </c>
      <c r="B1553">
        <v>8.1058889999999995</v>
      </c>
      <c r="C1553">
        <v>2.363842</v>
      </c>
      <c r="D1553">
        <v>1.8415980000000001</v>
      </c>
      <c r="E1553">
        <v>3.5831209999999998</v>
      </c>
      <c r="F1553">
        <v>13.373009</v>
      </c>
    </row>
    <row r="1554" spans="1:6">
      <c r="A1554" s="11">
        <v>1551</v>
      </c>
      <c r="B1554">
        <v>2.5915710000000001</v>
      </c>
      <c r="C1554">
        <v>0.29333199999999998</v>
      </c>
      <c r="D1554">
        <v>1.660863</v>
      </c>
      <c r="E1554">
        <v>0.69756300000000004</v>
      </c>
      <c r="F1554">
        <v>0.11987</v>
      </c>
    </row>
    <row r="1555" spans="1:6">
      <c r="A1555" s="11">
        <v>1552</v>
      </c>
      <c r="B1555">
        <v>6.0562810000000002</v>
      </c>
      <c r="C1555">
        <v>1.9961610000000001</v>
      </c>
      <c r="D1555">
        <v>0.50692499999999996</v>
      </c>
      <c r="E1555">
        <v>2.4854660000000002</v>
      </c>
      <c r="F1555">
        <v>1.445155</v>
      </c>
    </row>
    <row r="1556" spans="1:6">
      <c r="A1556" s="11">
        <v>1553</v>
      </c>
      <c r="B1556">
        <v>3.8360479999999999</v>
      </c>
      <c r="C1556">
        <v>1.622506</v>
      </c>
      <c r="D1556">
        <v>4.6067010000000002</v>
      </c>
      <c r="E1556">
        <v>4.9409000000000002E-2</v>
      </c>
      <c r="F1556">
        <v>1.224955</v>
      </c>
    </row>
    <row r="1557" spans="1:6">
      <c r="A1557" s="11">
        <v>1554</v>
      </c>
      <c r="B1557">
        <v>0.26018999999999998</v>
      </c>
      <c r="C1557">
        <v>0.108837</v>
      </c>
      <c r="D1557">
        <v>4.8471089999999997</v>
      </c>
      <c r="E1557">
        <v>1.0323340000000001</v>
      </c>
      <c r="F1557">
        <v>1.999787</v>
      </c>
    </row>
    <row r="1558" spans="1:6">
      <c r="A1558" s="11">
        <v>1555</v>
      </c>
      <c r="B1558">
        <v>0.225824</v>
      </c>
      <c r="C1558">
        <v>0.61711300000000002</v>
      </c>
      <c r="D1558">
        <v>0.36920500000000001</v>
      </c>
      <c r="E1558">
        <v>2.39385</v>
      </c>
      <c r="F1558">
        <v>3.3265560000000001</v>
      </c>
    </row>
    <row r="1559" spans="1:6">
      <c r="A1559" s="11">
        <v>1556</v>
      </c>
      <c r="B1559">
        <v>2.8805839999999998</v>
      </c>
      <c r="C1559">
        <v>1.5957920000000001</v>
      </c>
      <c r="D1559">
        <v>0.295377</v>
      </c>
      <c r="E1559">
        <v>0.98607900000000004</v>
      </c>
      <c r="F1559">
        <v>1.037552</v>
      </c>
    </row>
    <row r="1560" spans="1:6">
      <c r="A1560" s="11">
        <v>1557</v>
      </c>
      <c r="B1560">
        <v>0.46186199999999999</v>
      </c>
      <c r="C1560">
        <v>1.7666269999999999</v>
      </c>
      <c r="D1560">
        <v>0.685747</v>
      </c>
      <c r="E1560">
        <v>0.36543300000000001</v>
      </c>
      <c r="F1560">
        <v>0.14119200000000001</v>
      </c>
    </row>
    <row r="1561" spans="1:6">
      <c r="A1561" s="11">
        <v>1558</v>
      </c>
      <c r="B1561">
        <v>0.82967800000000003</v>
      </c>
      <c r="C1561">
        <v>1.106916</v>
      </c>
      <c r="D1561">
        <v>2.6910340000000001</v>
      </c>
      <c r="E1561">
        <v>0.159609</v>
      </c>
      <c r="F1561">
        <v>0.91336399999999995</v>
      </c>
    </row>
    <row r="1562" spans="1:6">
      <c r="A1562" s="11">
        <v>1559</v>
      </c>
      <c r="B1562">
        <v>4.3703570000000003</v>
      </c>
      <c r="C1562">
        <v>3.2630479999999999</v>
      </c>
      <c r="D1562">
        <v>1.3344689999999999</v>
      </c>
      <c r="E1562">
        <v>3.6657519999999999</v>
      </c>
      <c r="F1562">
        <v>6.0568309999999999</v>
      </c>
    </row>
    <row r="1563" spans="1:6">
      <c r="A1563" s="11">
        <v>1560</v>
      </c>
      <c r="B1563">
        <v>0.47396700000000003</v>
      </c>
      <c r="C1563">
        <v>1.5632889999999999</v>
      </c>
      <c r="D1563">
        <v>3.1339190000000001</v>
      </c>
      <c r="E1563">
        <v>0.105001</v>
      </c>
      <c r="F1563">
        <v>0.25755</v>
      </c>
    </row>
    <row r="1564" spans="1:6">
      <c r="A1564" s="11">
        <v>1561</v>
      </c>
      <c r="B1564">
        <v>1.117265</v>
      </c>
      <c r="C1564">
        <v>0.77919499999999997</v>
      </c>
      <c r="D1564">
        <v>1.216764</v>
      </c>
      <c r="E1564">
        <v>1.912239</v>
      </c>
      <c r="F1564">
        <v>1.487935</v>
      </c>
    </row>
    <row r="1565" spans="1:6">
      <c r="A1565" s="11">
        <v>1562</v>
      </c>
      <c r="B1565">
        <v>0.691801</v>
      </c>
      <c r="C1565">
        <v>1.5655250000000001</v>
      </c>
      <c r="D1565">
        <v>2.2646120000000001</v>
      </c>
      <c r="E1565">
        <v>14.917621</v>
      </c>
      <c r="F1565">
        <v>1.0697719999999999</v>
      </c>
    </row>
    <row r="1566" spans="1:6">
      <c r="A1566" s="11">
        <v>1563</v>
      </c>
      <c r="B1566">
        <v>1.288637</v>
      </c>
      <c r="C1566">
        <v>2.013649</v>
      </c>
      <c r="D1566">
        <v>0.13004399999999999</v>
      </c>
      <c r="E1566">
        <v>0.98995900000000003</v>
      </c>
      <c r="F1566">
        <v>1.184488</v>
      </c>
    </row>
    <row r="1567" spans="1:6">
      <c r="A1567" s="11">
        <v>1564</v>
      </c>
      <c r="B1567">
        <v>4.2340020000000003</v>
      </c>
      <c r="C1567">
        <v>1.0290680000000001</v>
      </c>
      <c r="D1567">
        <v>6.5988559999999996</v>
      </c>
      <c r="E1567">
        <v>0.42154700000000001</v>
      </c>
      <c r="F1567">
        <v>3.5062600000000002</v>
      </c>
    </row>
    <row r="1568" spans="1:6">
      <c r="A1568" s="11">
        <v>1565</v>
      </c>
      <c r="B1568">
        <v>2.1402960000000002</v>
      </c>
      <c r="C1568">
        <v>1.173184</v>
      </c>
      <c r="D1568">
        <v>0.91746000000000005</v>
      </c>
      <c r="E1568">
        <v>1.3000130000000001</v>
      </c>
      <c r="F1568">
        <v>0.26392599999999999</v>
      </c>
    </row>
    <row r="1569" spans="1:6">
      <c r="A1569" s="11">
        <v>1566</v>
      </c>
      <c r="B1569">
        <v>2.2183440000000001</v>
      </c>
      <c r="C1569">
        <v>2.6992379999999998</v>
      </c>
      <c r="D1569">
        <v>1.890395</v>
      </c>
      <c r="E1569">
        <v>3.3355579999999998</v>
      </c>
      <c r="F1569">
        <v>1.6176379999999999</v>
      </c>
    </row>
    <row r="1570" spans="1:6">
      <c r="A1570" s="11">
        <v>1567</v>
      </c>
      <c r="B1570">
        <v>3.2651370000000002</v>
      </c>
      <c r="C1570">
        <v>0.53938299999999995</v>
      </c>
      <c r="D1570">
        <v>0.641204</v>
      </c>
      <c r="E1570">
        <v>9.2048550000000002</v>
      </c>
      <c r="F1570">
        <v>0.30648599999999998</v>
      </c>
    </row>
    <row r="1571" spans="1:6">
      <c r="A1571" s="11">
        <v>1568</v>
      </c>
      <c r="B1571">
        <v>3.5811480000000002</v>
      </c>
      <c r="C1571">
        <v>1.0064930000000001</v>
      </c>
      <c r="D1571">
        <v>0.85658699999999999</v>
      </c>
      <c r="E1571">
        <v>1.698993</v>
      </c>
      <c r="F1571">
        <v>2.2927240000000002</v>
      </c>
    </row>
    <row r="1572" spans="1:6">
      <c r="A1572" s="11">
        <v>1569</v>
      </c>
      <c r="B1572">
        <v>0.61965700000000001</v>
      </c>
      <c r="C1572">
        <v>0.31597399999999998</v>
      </c>
      <c r="D1572">
        <v>2.5214479999999999</v>
      </c>
      <c r="E1572">
        <v>0.63427900000000004</v>
      </c>
      <c r="F1572">
        <v>4.6641870000000001</v>
      </c>
    </row>
    <row r="1573" spans="1:6">
      <c r="A1573" s="11">
        <v>1570</v>
      </c>
      <c r="B1573">
        <v>2.5031530000000002</v>
      </c>
      <c r="C1573">
        <v>1.0487610000000001</v>
      </c>
      <c r="D1573">
        <v>0.586032</v>
      </c>
      <c r="E1573">
        <v>2.0402990000000001</v>
      </c>
      <c r="F1573">
        <v>0.60165400000000002</v>
      </c>
    </row>
    <row r="1574" spans="1:6">
      <c r="A1574" s="11">
        <v>1571</v>
      </c>
      <c r="B1574">
        <v>0.29400999999999999</v>
      </c>
      <c r="C1574">
        <v>1.9373149999999999</v>
      </c>
      <c r="D1574">
        <v>1.9313009999999999</v>
      </c>
      <c r="E1574">
        <v>1.66639</v>
      </c>
      <c r="F1574">
        <v>2.459457</v>
      </c>
    </row>
    <row r="1575" spans="1:6">
      <c r="A1575" s="11">
        <v>1572</v>
      </c>
      <c r="B1575">
        <v>4.0204950000000004</v>
      </c>
      <c r="C1575">
        <v>0.94781800000000005</v>
      </c>
      <c r="D1575">
        <v>1.871801</v>
      </c>
      <c r="E1575">
        <v>2.0265529999999998</v>
      </c>
      <c r="F1575">
        <v>5.1213980000000001</v>
      </c>
    </row>
    <row r="1576" spans="1:6">
      <c r="A1576" s="11">
        <v>1573</v>
      </c>
      <c r="B1576">
        <v>0.57588499999999998</v>
      </c>
      <c r="C1576">
        <v>0.17460000000000001</v>
      </c>
      <c r="D1576">
        <v>0.79724799999999996</v>
      </c>
      <c r="E1576">
        <v>0.63849900000000004</v>
      </c>
      <c r="F1576">
        <v>0.59714299999999998</v>
      </c>
    </row>
    <row r="1577" spans="1:6">
      <c r="A1577" s="11">
        <v>1574</v>
      </c>
      <c r="B1577">
        <v>0.72471799999999997</v>
      </c>
      <c r="C1577">
        <v>2.2164709999999999</v>
      </c>
      <c r="D1577">
        <v>7.6589049999999999</v>
      </c>
      <c r="E1577">
        <v>1.0206219999999999</v>
      </c>
      <c r="F1577">
        <v>0.45651199999999997</v>
      </c>
    </row>
    <row r="1578" spans="1:6">
      <c r="A1578" s="11">
        <v>1575</v>
      </c>
      <c r="B1578">
        <v>5.9490350000000003</v>
      </c>
      <c r="C1578">
        <v>3.8799890000000001</v>
      </c>
      <c r="D1578">
        <v>3.0135719999999999</v>
      </c>
      <c r="E1578">
        <v>2.0067590000000002</v>
      </c>
      <c r="F1578">
        <v>1.590749</v>
      </c>
    </row>
    <row r="1579" spans="1:6">
      <c r="A1579" s="11">
        <v>1576</v>
      </c>
      <c r="B1579">
        <v>1.0828580000000001</v>
      </c>
      <c r="C1579">
        <v>1.527684</v>
      </c>
      <c r="D1579">
        <v>0.84880199999999995</v>
      </c>
      <c r="E1579">
        <v>0.74296899999999999</v>
      </c>
      <c r="F1579">
        <v>2.404992</v>
      </c>
    </row>
    <row r="1580" spans="1:6">
      <c r="A1580" s="11">
        <v>1577</v>
      </c>
      <c r="B1580">
        <v>0.81315099999999996</v>
      </c>
      <c r="C1580">
        <v>0.113329</v>
      </c>
      <c r="D1580">
        <v>0.38523499999999999</v>
      </c>
      <c r="E1580">
        <v>1.5059629999999999</v>
      </c>
      <c r="F1580">
        <v>9.3670860000000005</v>
      </c>
    </row>
    <row r="1581" spans="1:6">
      <c r="A1581" s="11">
        <v>1578</v>
      </c>
      <c r="B1581">
        <v>2.406218</v>
      </c>
      <c r="C1581">
        <v>0.87039299999999997</v>
      </c>
      <c r="D1581">
        <v>0.14585100000000001</v>
      </c>
      <c r="E1581">
        <v>0.38152000000000003</v>
      </c>
      <c r="F1581">
        <v>2.5983770000000002</v>
      </c>
    </row>
    <row r="1582" spans="1:6">
      <c r="A1582" s="11">
        <v>1579</v>
      </c>
      <c r="B1582">
        <v>7.8837120000000001</v>
      </c>
      <c r="C1582">
        <v>12.489487</v>
      </c>
      <c r="D1582">
        <v>1.0458019999999999</v>
      </c>
      <c r="E1582">
        <v>1.09572</v>
      </c>
      <c r="F1582">
        <v>0.98099199999999998</v>
      </c>
    </row>
    <row r="1583" spans="1:6">
      <c r="A1583" s="11">
        <v>1580</v>
      </c>
      <c r="B1583">
        <v>1.7607790000000001</v>
      </c>
      <c r="C1583">
        <v>0.77132599999999996</v>
      </c>
      <c r="D1583">
        <v>0.766177</v>
      </c>
      <c r="E1583">
        <v>0.451519</v>
      </c>
      <c r="F1583">
        <v>2.2371880000000002</v>
      </c>
    </row>
    <row r="1584" spans="1:6">
      <c r="A1584" s="11">
        <v>1581</v>
      </c>
      <c r="B1584">
        <v>14.576908</v>
      </c>
      <c r="C1584">
        <v>6.7124800000000002</v>
      </c>
      <c r="D1584">
        <v>0.39132600000000001</v>
      </c>
      <c r="E1584">
        <v>1.540724</v>
      </c>
      <c r="F1584">
        <v>2.4388830000000001</v>
      </c>
    </row>
    <row r="1585" spans="1:6">
      <c r="A1585" s="11">
        <v>1582</v>
      </c>
      <c r="B1585">
        <v>0.33711200000000002</v>
      </c>
      <c r="C1585">
        <v>9.5863000000000004E-2</v>
      </c>
      <c r="D1585">
        <v>1.2591460000000001</v>
      </c>
      <c r="E1585">
        <v>4.2507780000000004</v>
      </c>
      <c r="F1585">
        <v>5.4533999999999999E-2</v>
      </c>
    </row>
    <row r="1586" spans="1:6">
      <c r="A1586" s="11">
        <v>1583</v>
      </c>
      <c r="B1586">
        <v>2.717133</v>
      </c>
      <c r="C1586">
        <v>0.53321300000000005</v>
      </c>
      <c r="D1586">
        <v>0.48742799999999997</v>
      </c>
      <c r="E1586">
        <v>1.8176490000000001</v>
      </c>
      <c r="F1586">
        <v>0.35718499999999997</v>
      </c>
    </row>
    <row r="1587" spans="1:6">
      <c r="A1587" s="11">
        <v>1584</v>
      </c>
      <c r="B1587">
        <v>2.5811160000000002</v>
      </c>
      <c r="C1587">
        <v>0.81923599999999996</v>
      </c>
      <c r="D1587">
        <v>0.23935400000000001</v>
      </c>
      <c r="E1587">
        <v>6.0881780000000001</v>
      </c>
      <c r="F1587">
        <v>0.94159700000000002</v>
      </c>
    </row>
    <row r="1588" spans="1:6">
      <c r="A1588" s="11">
        <v>1585</v>
      </c>
      <c r="B1588">
        <v>1.7150529999999999</v>
      </c>
      <c r="C1588">
        <v>9.3180739999999993</v>
      </c>
      <c r="D1588">
        <v>0.18605099999999999</v>
      </c>
      <c r="E1588">
        <v>9.6651679999999995</v>
      </c>
      <c r="F1588">
        <v>4.6707349999999996</v>
      </c>
    </row>
    <row r="1589" spans="1:6">
      <c r="A1589" s="11">
        <v>1586</v>
      </c>
      <c r="B1589">
        <v>0.83835700000000002</v>
      </c>
      <c r="C1589">
        <v>0.61324500000000004</v>
      </c>
      <c r="D1589">
        <v>1.7655590000000001</v>
      </c>
      <c r="E1589">
        <v>1.37422</v>
      </c>
      <c r="F1589">
        <v>0.33677800000000002</v>
      </c>
    </row>
    <row r="1590" spans="1:6">
      <c r="A1590" s="11">
        <v>1587</v>
      </c>
      <c r="B1590">
        <v>1.574465</v>
      </c>
      <c r="C1590">
        <v>1.002003</v>
      </c>
      <c r="D1590">
        <v>0.222832</v>
      </c>
      <c r="E1590">
        <v>0.37648500000000001</v>
      </c>
      <c r="F1590">
        <v>0.20466799999999999</v>
      </c>
    </row>
    <row r="1591" spans="1:6">
      <c r="A1591" s="11">
        <v>1588</v>
      </c>
      <c r="B1591">
        <v>0.45879999999999999</v>
      </c>
      <c r="C1591">
        <v>1.7957419999999999</v>
      </c>
      <c r="D1591">
        <v>0.38505699999999998</v>
      </c>
      <c r="E1591">
        <v>1.833631</v>
      </c>
      <c r="F1591">
        <v>4.0350720000000004</v>
      </c>
    </row>
    <row r="1592" spans="1:6">
      <c r="A1592" s="11">
        <v>1589</v>
      </c>
      <c r="B1592">
        <v>0.16495000000000001</v>
      </c>
      <c r="C1592">
        <v>2.644806</v>
      </c>
      <c r="D1592">
        <v>2.1575410000000002</v>
      </c>
      <c r="E1592">
        <v>0.73824199999999995</v>
      </c>
      <c r="F1592">
        <v>0.366728</v>
      </c>
    </row>
    <row r="1593" spans="1:6">
      <c r="A1593" s="11">
        <v>1590</v>
      </c>
      <c r="B1593">
        <v>2.5838589999999999</v>
      </c>
      <c r="C1593">
        <v>1.3786929999999999</v>
      </c>
      <c r="D1593">
        <v>4.0057460000000003</v>
      </c>
      <c r="E1593">
        <v>1.865075</v>
      </c>
      <c r="F1593">
        <v>5.3060000000000003E-2</v>
      </c>
    </row>
    <row r="1594" spans="1:6">
      <c r="A1594" s="11">
        <v>1591</v>
      </c>
      <c r="B1594">
        <v>0.75734800000000002</v>
      </c>
      <c r="C1594">
        <v>1.12548</v>
      </c>
      <c r="D1594">
        <v>1.814581</v>
      </c>
      <c r="E1594">
        <v>0.30606</v>
      </c>
      <c r="F1594">
        <v>1.995547</v>
      </c>
    </row>
    <row r="1595" spans="1:6">
      <c r="A1595" s="11">
        <v>1592</v>
      </c>
      <c r="B1595">
        <v>1.9046179999999999</v>
      </c>
      <c r="C1595">
        <v>3.139662</v>
      </c>
      <c r="D1595">
        <v>2.2247590000000002</v>
      </c>
      <c r="E1595">
        <v>1.189854</v>
      </c>
      <c r="F1595">
        <v>2.1155650000000001</v>
      </c>
    </row>
    <row r="1596" spans="1:6">
      <c r="A1596" s="11">
        <v>1593</v>
      </c>
      <c r="B1596">
        <v>5.8256259999999997</v>
      </c>
      <c r="C1596">
        <v>0.49951600000000002</v>
      </c>
      <c r="D1596">
        <v>0.18553800000000001</v>
      </c>
      <c r="E1596">
        <v>1.133896</v>
      </c>
      <c r="F1596">
        <v>2.6291509999999998</v>
      </c>
    </row>
    <row r="1597" spans="1:6">
      <c r="A1597" s="11">
        <v>1594</v>
      </c>
      <c r="B1597">
        <v>0.51606700000000005</v>
      </c>
      <c r="C1597">
        <v>0.209427</v>
      </c>
      <c r="D1597">
        <v>0.17719699999999999</v>
      </c>
      <c r="E1597">
        <v>1.292144</v>
      </c>
      <c r="F1597">
        <v>0.94005499999999997</v>
      </c>
    </row>
    <row r="1598" spans="1:6">
      <c r="A1598" s="11">
        <v>1595</v>
      </c>
      <c r="B1598">
        <v>1.192547</v>
      </c>
      <c r="C1598">
        <v>1.8135159999999999</v>
      </c>
      <c r="D1598">
        <v>0.492149</v>
      </c>
      <c r="E1598">
        <v>0.54082200000000002</v>
      </c>
      <c r="F1598">
        <v>1.8414299999999999</v>
      </c>
    </row>
    <row r="1599" spans="1:6">
      <c r="A1599" s="11">
        <v>1596</v>
      </c>
      <c r="B1599">
        <v>2.6480670000000002</v>
      </c>
      <c r="C1599">
        <v>1.2061900000000001</v>
      </c>
      <c r="D1599">
        <v>0.72082100000000005</v>
      </c>
      <c r="E1599">
        <v>1.808187</v>
      </c>
      <c r="F1599">
        <v>0.19350800000000001</v>
      </c>
    </row>
    <row r="1600" spans="1:6">
      <c r="A1600" s="11">
        <v>1597</v>
      </c>
      <c r="B1600">
        <v>1.6750020000000001</v>
      </c>
      <c r="C1600">
        <v>3.8663029999999998</v>
      </c>
      <c r="D1600">
        <v>1.8171200000000001</v>
      </c>
      <c r="E1600">
        <v>0.39507900000000001</v>
      </c>
      <c r="F1600">
        <v>6.8303909999999997</v>
      </c>
    </row>
    <row r="1601" spans="1:6">
      <c r="A1601" s="11">
        <v>1598</v>
      </c>
      <c r="B1601">
        <v>1.8335060000000001</v>
      </c>
      <c r="C1601">
        <v>0.111224</v>
      </c>
      <c r="D1601">
        <v>2.8645420000000001</v>
      </c>
      <c r="E1601">
        <v>5.8051060000000003</v>
      </c>
      <c r="F1601">
        <v>0.794319</v>
      </c>
    </row>
    <row r="1602" spans="1:6">
      <c r="A1602" s="11">
        <v>1599</v>
      </c>
      <c r="B1602">
        <v>0.55776599999999998</v>
      </c>
      <c r="C1602">
        <v>0.43651299999999998</v>
      </c>
      <c r="D1602">
        <v>0.16681299999999999</v>
      </c>
      <c r="E1602">
        <v>0.80847800000000003</v>
      </c>
      <c r="F1602">
        <v>3.2976679999999998</v>
      </c>
    </row>
    <row r="1603" spans="1:6">
      <c r="A1603" s="11">
        <v>1600</v>
      </c>
      <c r="B1603">
        <v>0.79359000000000002</v>
      </c>
      <c r="C1603">
        <v>0.56560699999999997</v>
      </c>
      <c r="D1603">
        <v>4.7667960000000003</v>
      </c>
      <c r="E1603">
        <v>3.5620859999999999</v>
      </c>
      <c r="F1603">
        <v>0.77553700000000003</v>
      </c>
    </row>
    <row r="1604" spans="1:6">
      <c r="A1604" s="11">
        <v>1601</v>
      </c>
      <c r="B1604">
        <v>3.0935079999999999</v>
      </c>
      <c r="C1604">
        <v>8.4541880000000003</v>
      </c>
      <c r="D1604">
        <v>0.274729</v>
      </c>
      <c r="E1604">
        <v>2.028632</v>
      </c>
      <c r="F1604">
        <v>1.854106</v>
      </c>
    </row>
    <row r="1605" spans="1:6">
      <c r="A1605" s="11">
        <v>1602</v>
      </c>
      <c r="B1605">
        <v>1.97258</v>
      </c>
      <c r="C1605">
        <v>1.0048649999999999</v>
      </c>
      <c r="D1605">
        <v>1.6661760000000001</v>
      </c>
      <c r="E1605">
        <v>2.0816819999999998</v>
      </c>
      <c r="F1605">
        <v>13.678792</v>
      </c>
    </row>
    <row r="1606" spans="1:6">
      <c r="A1606" s="11">
        <v>1603</v>
      </c>
      <c r="B1606">
        <v>1.6347739999999999</v>
      </c>
      <c r="C1606">
        <v>1.772035</v>
      </c>
      <c r="D1606">
        <v>2.586862</v>
      </c>
      <c r="E1606">
        <v>0.59585100000000002</v>
      </c>
      <c r="F1606">
        <v>1.411192</v>
      </c>
    </row>
    <row r="1607" spans="1:6">
      <c r="A1607" s="11">
        <v>1604</v>
      </c>
      <c r="B1607">
        <v>0.54662699999999997</v>
      </c>
      <c r="C1607">
        <v>0.65886100000000003</v>
      </c>
      <c r="D1607">
        <v>16.948826</v>
      </c>
      <c r="E1607">
        <v>0.70508999999999999</v>
      </c>
      <c r="F1607">
        <v>0.318332</v>
      </c>
    </row>
    <row r="1608" spans="1:6">
      <c r="A1608" s="11">
        <v>1605</v>
      </c>
      <c r="B1608">
        <v>1.0055050000000001</v>
      </c>
      <c r="C1608">
        <v>3.625292</v>
      </c>
      <c r="D1608">
        <v>0.70450699999999999</v>
      </c>
      <c r="E1608">
        <v>2.7979229999999999</v>
      </c>
      <c r="F1608">
        <v>6.1366050000000003</v>
      </c>
    </row>
    <row r="1609" spans="1:6">
      <c r="A1609" s="11">
        <v>1606</v>
      </c>
      <c r="B1609">
        <v>0.17680399999999999</v>
      </c>
      <c r="C1609">
        <v>2.300135</v>
      </c>
      <c r="D1609">
        <v>0.99441199999999996</v>
      </c>
      <c r="E1609">
        <v>0.937967</v>
      </c>
      <c r="F1609">
        <v>2.491911</v>
      </c>
    </row>
    <row r="1610" spans="1:6">
      <c r="A1610" s="11">
        <v>1607</v>
      </c>
      <c r="B1610">
        <v>0.97721000000000002</v>
      </c>
      <c r="C1610">
        <v>0.59226800000000002</v>
      </c>
      <c r="D1610">
        <v>0.228182</v>
      </c>
      <c r="E1610">
        <v>0.27197500000000002</v>
      </c>
      <c r="F1610">
        <v>0.55171499999999996</v>
      </c>
    </row>
    <row r="1611" spans="1:6">
      <c r="A1611" s="11">
        <v>1608</v>
      </c>
      <c r="B1611">
        <v>30.791968000000001</v>
      </c>
      <c r="C1611">
        <v>1.968332</v>
      </c>
      <c r="D1611">
        <v>1.1764600000000001</v>
      </c>
      <c r="E1611">
        <v>2.1020110000000001</v>
      </c>
      <c r="F1611">
        <v>2.087027</v>
      </c>
    </row>
    <row r="1612" spans="1:6">
      <c r="A1612" s="11">
        <v>1609</v>
      </c>
      <c r="B1612">
        <v>5.2844959999999999</v>
      </c>
      <c r="C1612">
        <v>0.64177499999999998</v>
      </c>
      <c r="D1612">
        <v>5.2629739999999998</v>
      </c>
      <c r="E1612">
        <v>1.10562</v>
      </c>
      <c r="F1612">
        <v>2.7607279999999998</v>
      </c>
    </row>
    <row r="1613" spans="1:6">
      <c r="A1613" s="11">
        <v>1610</v>
      </c>
      <c r="B1613">
        <v>2.7654359999999998</v>
      </c>
      <c r="C1613">
        <v>1.012068</v>
      </c>
      <c r="D1613">
        <v>1.2917259999999999</v>
      </c>
      <c r="E1613">
        <v>6.0547999999999998E-2</v>
      </c>
      <c r="F1613">
        <v>5.0904210000000001</v>
      </c>
    </row>
    <row r="1614" spans="1:6">
      <c r="A1614" s="11">
        <v>1611</v>
      </c>
      <c r="B1614">
        <v>0.656142</v>
      </c>
      <c r="C1614">
        <v>0.75179700000000005</v>
      </c>
      <c r="D1614">
        <v>0.760714</v>
      </c>
      <c r="E1614">
        <v>2.208256</v>
      </c>
      <c r="F1614">
        <v>2.0095149999999999</v>
      </c>
    </row>
    <row r="1615" spans="1:6">
      <c r="A1615" s="11">
        <v>1612</v>
      </c>
      <c r="B1615">
        <v>1.138244</v>
      </c>
      <c r="C1615">
        <v>0.127831</v>
      </c>
      <c r="D1615">
        <v>0.282551</v>
      </c>
      <c r="E1615">
        <v>4.1843329999999996</v>
      </c>
      <c r="F1615">
        <v>1.5375479999999999</v>
      </c>
    </row>
    <row r="1616" spans="1:6">
      <c r="A1616" s="11">
        <v>1613</v>
      </c>
      <c r="B1616">
        <v>0.35815599999999997</v>
      </c>
      <c r="C1616">
        <v>1.571569</v>
      </c>
      <c r="D1616">
        <v>0.169317</v>
      </c>
      <c r="E1616">
        <v>3.5961820000000002</v>
      </c>
      <c r="F1616">
        <v>1.344198</v>
      </c>
    </row>
    <row r="1617" spans="1:6">
      <c r="A1617" s="11">
        <v>1614</v>
      </c>
      <c r="B1617">
        <v>1.5362640000000001</v>
      </c>
      <c r="C1617">
        <v>1.525536</v>
      </c>
      <c r="D1617">
        <v>2.4240729999999999</v>
      </c>
      <c r="E1617">
        <v>0.48033900000000002</v>
      </c>
      <c r="F1617">
        <v>0.35033799999999998</v>
      </c>
    </row>
    <row r="1618" spans="1:6">
      <c r="A1618" s="11">
        <v>1615</v>
      </c>
      <c r="B1618">
        <v>1.4211180000000001</v>
      </c>
      <c r="C1618">
        <v>5.7430199999999996</v>
      </c>
      <c r="D1618">
        <v>1.091178</v>
      </c>
      <c r="E1618">
        <v>0.145844</v>
      </c>
      <c r="F1618">
        <v>0.32672400000000001</v>
      </c>
    </row>
    <row r="1619" spans="1:6">
      <c r="A1619" s="11">
        <v>1616</v>
      </c>
      <c r="B1619">
        <v>1.0209170000000001</v>
      </c>
      <c r="C1619">
        <v>6.7447480000000004</v>
      </c>
      <c r="D1619">
        <v>1.8010619999999999</v>
      </c>
      <c r="E1619">
        <v>0.48088399999999998</v>
      </c>
      <c r="F1619">
        <v>9.1829999999999995E-2</v>
      </c>
    </row>
    <row r="1620" spans="1:6">
      <c r="A1620" s="11">
        <v>1617</v>
      </c>
      <c r="B1620">
        <v>2.338476</v>
      </c>
      <c r="C1620">
        <v>2.1807639999999999</v>
      </c>
      <c r="D1620">
        <v>2.6211660000000001</v>
      </c>
      <c r="E1620">
        <v>3.7160989999999998</v>
      </c>
      <c r="F1620">
        <v>1.0685610000000001</v>
      </c>
    </row>
    <row r="1621" spans="1:6">
      <c r="A1621" s="11">
        <v>1618</v>
      </c>
      <c r="B1621">
        <v>0.43470399999999998</v>
      </c>
      <c r="C1621">
        <v>0.71219399999999999</v>
      </c>
      <c r="D1621">
        <v>0.858101</v>
      </c>
      <c r="E1621">
        <v>0.62126999999999999</v>
      </c>
      <c r="F1621">
        <v>2.467123</v>
      </c>
    </row>
    <row r="1622" spans="1:6">
      <c r="A1622" s="11">
        <v>1619</v>
      </c>
      <c r="B1622">
        <v>3.2300810000000002</v>
      </c>
      <c r="C1622">
        <v>0.36259999999999998</v>
      </c>
      <c r="D1622">
        <v>15.876581</v>
      </c>
      <c r="E1622">
        <v>0.430174</v>
      </c>
      <c r="F1622">
        <v>1.590546</v>
      </c>
    </row>
    <row r="1623" spans="1:6">
      <c r="A1623" s="11">
        <v>1620</v>
      </c>
      <c r="B1623">
        <v>0.26261699999999999</v>
      </c>
      <c r="C1623">
        <v>0.34695799999999999</v>
      </c>
      <c r="D1623">
        <v>0.37023600000000001</v>
      </c>
      <c r="E1623">
        <v>0.27524199999999999</v>
      </c>
      <c r="F1623">
        <v>2.259023</v>
      </c>
    </row>
    <row r="1624" spans="1:6">
      <c r="A1624" s="11">
        <v>1621</v>
      </c>
      <c r="B1624">
        <v>3.5239549999999999</v>
      </c>
      <c r="C1624">
        <v>0.87151000000000001</v>
      </c>
      <c r="D1624">
        <v>0.64005999999999996</v>
      </c>
      <c r="E1624">
        <v>0.353848</v>
      </c>
      <c r="F1624">
        <v>1.4988090000000001</v>
      </c>
    </row>
    <row r="1625" spans="1:6">
      <c r="A1625" s="11">
        <v>1622</v>
      </c>
      <c r="B1625">
        <v>2.5172569999999999</v>
      </c>
      <c r="C1625">
        <v>0.33264199999999999</v>
      </c>
      <c r="D1625">
        <v>0.38880500000000001</v>
      </c>
      <c r="E1625">
        <v>8.3062149999999999</v>
      </c>
      <c r="F1625">
        <v>0.421182</v>
      </c>
    </row>
    <row r="1626" spans="1:6">
      <c r="A1626" s="11">
        <v>1623</v>
      </c>
      <c r="B1626">
        <v>0.95021500000000003</v>
      </c>
      <c r="C1626">
        <v>0.23424800000000001</v>
      </c>
      <c r="D1626">
        <v>0.38150699999999999</v>
      </c>
      <c r="E1626">
        <v>3.424674</v>
      </c>
      <c r="F1626">
        <v>0.21238899999999999</v>
      </c>
    </row>
    <row r="1627" spans="1:6">
      <c r="A1627" s="11">
        <v>1624</v>
      </c>
      <c r="B1627">
        <v>1.059782</v>
      </c>
      <c r="C1627">
        <v>0.43134400000000001</v>
      </c>
      <c r="D1627">
        <v>0.21148400000000001</v>
      </c>
      <c r="E1627">
        <v>2.2420309999999999</v>
      </c>
      <c r="F1627">
        <v>6.7337550000000004</v>
      </c>
    </row>
    <row r="1628" spans="1:6">
      <c r="A1628" s="11">
        <v>1625</v>
      </c>
      <c r="B1628">
        <v>1.175657</v>
      </c>
      <c r="C1628">
        <v>0.93778300000000003</v>
      </c>
      <c r="D1628">
        <v>0.361757</v>
      </c>
      <c r="E1628">
        <v>0.24194299999999999</v>
      </c>
      <c r="F1628">
        <v>1.181249</v>
      </c>
    </row>
    <row r="1629" spans="1:6">
      <c r="A1629" s="11">
        <v>1626</v>
      </c>
      <c r="B1629">
        <v>4.2643779999999998</v>
      </c>
      <c r="C1629">
        <v>0.35350799999999999</v>
      </c>
      <c r="D1629">
        <v>2.017147</v>
      </c>
      <c r="E1629">
        <v>0.98114000000000001</v>
      </c>
      <c r="F1629">
        <v>1.025104</v>
      </c>
    </row>
    <row r="1630" spans="1:6">
      <c r="A1630" s="11">
        <v>1627</v>
      </c>
      <c r="B1630">
        <v>0.26101600000000003</v>
      </c>
      <c r="C1630">
        <v>0.79387099999999999</v>
      </c>
      <c r="D1630">
        <v>0.28992299999999999</v>
      </c>
      <c r="E1630">
        <v>3.8495599999999999</v>
      </c>
      <c r="F1630">
        <v>0.43514700000000001</v>
      </c>
    </row>
    <row r="1631" spans="1:6">
      <c r="A1631" s="11">
        <v>1628</v>
      </c>
      <c r="B1631">
        <v>0.730348</v>
      </c>
      <c r="C1631">
        <v>0.43358999999999998</v>
      </c>
      <c r="D1631">
        <v>0.96117900000000001</v>
      </c>
      <c r="E1631">
        <v>0.34720099999999998</v>
      </c>
      <c r="F1631">
        <v>0.68069800000000003</v>
      </c>
    </row>
    <row r="1632" spans="1:6">
      <c r="A1632" s="11">
        <v>1629</v>
      </c>
      <c r="B1632">
        <v>4.5576829999999999</v>
      </c>
      <c r="C1632">
        <v>1.1223050000000001</v>
      </c>
      <c r="D1632">
        <v>0.94400899999999999</v>
      </c>
      <c r="E1632">
        <v>0.21837799999999999</v>
      </c>
      <c r="F1632">
        <v>3.1628989999999999</v>
      </c>
    </row>
    <row r="1633" spans="1:6">
      <c r="A1633" s="11">
        <v>1630</v>
      </c>
      <c r="B1633">
        <v>2.7776800000000001</v>
      </c>
      <c r="C1633">
        <v>0.87234699999999998</v>
      </c>
      <c r="D1633">
        <v>0.29093999999999998</v>
      </c>
      <c r="E1633">
        <v>21.300090000000001</v>
      </c>
      <c r="F1633">
        <v>1.369094</v>
      </c>
    </row>
    <row r="1634" spans="1:6">
      <c r="A1634" s="11">
        <v>1631</v>
      </c>
      <c r="B1634">
        <v>1.542189</v>
      </c>
      <c r="C1634">
        <v>0.122463</v>
      </c>
      <c r="D1634">
        <v>1.202758</v>
      </c>
      <c r="E1634">
        <v>6.3139440000000002</v>
      </c>
      <c r="F1634">
        <v>0.25797300000000001</v>
      </c>
    </row>
    <row r="1635" spans="1:6">
      <c r="A1635" s="11">
        <v>1632</v>
      </c>
      <c r="B1635">
        <v>1.8684229999999999</v>
      </c>
      <c r="C1635">
        <v>1.8733500000000001</v>
      </c>
      <c r="D1635">
        <v>1.7627889999999999</v>
      </c>
      <c r="E1635">
        <v>0.41159600000000002</v>
      </c>
      <c r="F1635">
        <v>2.1974360000000002</v>
      </c>
    </row>
    <row r="1636" spans="1:6">
      <c r="A1636" s="11">
        <v>1633</v>
      </c>
      <c r="B1636">
        <v>0.83454899999999999</v>
      </c>
      <c r="C1636">
        <v>1.0449569999999999</v>
      </c>
      <c r="D1636">
        <v>0.83788499999999999</v>
      </c>
      <c r="E1636">
        <v>1.2742739999999999</v>
      </c>
      <c r="F1636">
        <v>0.39085199999999998</v>
      </c>
    </row>
    <row r="1637" spans="1:6">
      <c r="A1637" s="11">
        <v>1634</v>
      </c>
      <c r="B1637">
        <v>1.3141879999999999</v>
      </c>
      <c r="C1637">
        <v>1.523512</v>
      </c>
      <c r="D1637">
        <v>0.82448699999999997</v>
      </c>
      <c r="E1637">
        <v>2.7458969999999998</v>
      </c>
      <c r="F1637">
        <v>0.129941</v>
      </c>
    </row>
    <row r="1638" spans="1:6">
      <c r="A1638" s="11">
        <v>1635</v>
      </c>
      <c r="B1638">
        <v>1.4971049999999999</v>
      </c>
      <c r="C1638">
        <v>1.2124060000000001</v>
      </c>
      <c r="D1638">
        <v>3.580524</v>
      </c>
      <c r="E1638">
        <v>4.0483130000000003</v>
      </c>
      <c r="F1638">
        <v>1.2937799999999999</v>
      </c>
    </row>
    <row r="1639" spans="1:6">
      <c r="A1639" s="11">
        <v>1636</v>
      </c>
      <c r="B1639">
        <v>1.330808</v>
      </c>
      <c r="C1639">
        <v>0.94706800000000002</v>
      </c>
      <c r="D1639">
        <v>2.1863090000000001</v>
      </c>
      <c r="E1639">
        <v>0.533474</v>
      </c>
      <c r="F1639">
        <v>1.567906</v>
      </c>
    </row>
    <row r="1640" spans="1:6">
      <c r="A1640" s="11">
        <v>1637</v>
      </c>
      <c r="B1640">
        <v>1.4222900000000001</v>
      </c>
      <c r="C1640">
        <v>1.0141739999999999</v>
      </c>
      <c r="D1640">
        <v>5.0475849999999998</v>
      </c>
      <c r="E1640">
        <v>1.000856</v>
      </c>
      <c r="F1640">
        <v>0.20993600000000001</v>
      </c>
    </row>
    <row r="1641" spans="1:6">
      <c r="A1641" s="11">
        <v>1638</v>
      </c>
      <c r="B1641">
        <v>1.2880590000000001</v>
      </c>
      <c r="C1641">
        <v>2.379556</v>
      </c>
      <c r="D1641">
        <v>2.5355029999999998</v>
      </c>
      <c r="E1641">
        <v>0.17713200000000001</v>
      </c>
      <c r="F1641">
        <v>2.3373349999999999</v>
      </c>
    </row>
    <row r="1642" spans="1:6">
      <c r="A1642" s="11">
        <v>1639</v>
      </c>
      <c r="B1642">
        <v>0.90933200000000003</v>
      </c>
      <c r="C1642">
        <v>1.728497</v>
      </c>
      <c r="D1642">
        <v>2.381812</v>
      </c>
      <c r="E1642">
        <v>0.43066500000000002</v>
      </c>
      <c r="F1642">
        <v>0.68706</v>
      </c>
    </row>
    <row r="1643" spans="1:6">
      <c r="A1643" s="11">
        <v>1640</v>
      </c>
      <c r="B1643">
        <v>0.145066</v>
      </c>
      <c r="C1643">
        <v>1.0617300000000001</v>
      </c>
      <c r="D1643">
        <v>0.59097299999999997</v>
      </c>
      <c r="E1643">
        <v>0.77633200000000002</v>
      </c>
      <c r="F1643">
        <v>4.4644810000000001</v>
      </c>
    </row>
    <row r="1644" spans="1:6">
      <c r="A1644" s="11">
        <v>1641</v>
      </c>
      <c r="B1644">
        <v>0.53287499999999999</v>
      </c>
      <c r="C1644">
        <v>1.395141</v>
      </c>
      <c r="D1644">
        <v>0.92457900000000004</v>
      </c>
      <c r="E1644">
        <v>5.0561379999999998</v>
      </c>
      <c r="F1644">
        <v>11.802011</v>
      </c>
    </row>
    <row r="1645" spans="1:6">
      <c r="A1645" s="11">
        <v>1642</v>
      </c>
      <c r="B1645">
        <v>2.288262</v>
      </c>
      <c r="C1645">
        <v>0.15201200000000001</v>
      </c>
      <c r="D1645">
        <v>1.136201</v>
      </c>
      <c r="E1645">
        <v>0.95643500000000004</v>
      </c>
      <c r="F1645">
        <v>0.176507</v>
      </c>
    </row>
    <row r="1646" spans="1:6">
      <c r="A1646" s="11">
        <v>1643</v>
      </c>
      <c r="B1646">
        <v>9.6623000000000001E-2</v>
      </c>
      <c r="C1646">
        <v>0.52386699999999997</v>
      </c>
      <c r="D1646">
        <v>0.53583700000000001</v>
      </c>
      <c r="E1646">
        <v>2.186337</v>
      </c>
      <c r="F1646">
        <v>1.2277640000000001</v>
      </c>
    </row>
    <row r="1647" spans="1:6">
      <c r="A1647" s="11">
        <v>1644</v>
      </c>
      <c r="B1647">
        <v>4.3232949999999999</v>
      </c>
      <c r="C1647">
        <v>0.30543799999999999</v>
      </c>
      <c r="D1647">
        <v>0.57325300000000001</v>
      </c>
      <c r="E1647">
        <v>3.618884</v>
      </c>
      <c r="F1647">
        <v>5.0561720000000001</v>
      </c>
    </row>
    <row r="1648" spans="1:6">
      <c r="A1648" s="11">
        <v>1645</v>
      </c>
      <c r="B1648">
        <v>1.918051</v>
      </c>
      <c r="C1648">
        <v>1.3585430000000001</v>
      </c>
      <c r="D1648">
        <v>0.55506</v>
      </c>
      <c r="E1648">
        <v>0.559222</v>
      </c>
      <c r="F1648">
        <v>6.8240460000000001</v>
      </c>
    </row>
    <row r="1649" spans="1:6">
      <c r="A1649" s="11">
        <v>1646</v>
      </c>
      <c r="B1649">
        <v>1.0590729999999999</v>
      </c>
      <c r="C1649">
        <v>0.79035500000000003</v>
      </c>
      <c r="D1649">
        <v>1.2907729999999999</v>
      </c>
      <c r="E1649">
        <v>0.69448399999999999</v>
      </c>
      <c r="F1649">
        <v>0.151281</v>
      </c>
    </row>
    <row r="1650" spans="1:6">
      <c r="A1650" s="11">
        <v>1647</v>
      </c>
      <c r="B1650">
        <v>0.34434799999999999</v>
      </c>
      <c r="C1650">
        <v>1.184558</v>
      </c>
      <c r="D1650">
        <v>2.1039870000000001</v>
      </c>
      <c r="E1650">
        <v>0.22787199999999999</v>
      </c>
      <c r="F1650">
        <v>2.5971440000000001</v>
      </c>
    </row>
    <row r="1651" spans="1:6">
      <c r="A1651" s="11">
        <v>1648</v>
      </c>
      <c r="B1651">
        <v>1.027995</v>
      </c>
      <c r="C1651">
        <v>0.51566500000000004</v>
      </c>
      <c r="D1651">
        <v>1.1923090000000001</v>
      </c>
      <c r="E1651">
        <v>1.8493820000000001</v>
      </c>
      <c r="F1651">
        <v>1.1386970000000001</v>
      </c>
    </row>
    <row r="1652" spans="1:6">
      <c r="A1652" s="11">
        <v>1649</v>
      </c>
      <c r="B1652">
        <v>1.8716440000000001</v>
      </c>
      <c r="C1652">
        <v>0.3347</v>
      </c>
      <c r="D1652">
        <v>0.35125800000000001</v>
      </c>
      <c r="E1652">
        <v>1.78749</v>
      </c>
      <c r="F1652">
        <v>0.40876899999999999</v>
      </c>
    </row>
    <row r="1653" spans="1:6">
      <c r="A1653" s="11">
        <v>1650</v>
      </c>
      <c r="B1653">
        <v>0.376772</v>
      </c>
      <c r="C1653">
        <v>1.6204209999999999</v>
      </c>
      <c r="D1653">
        <v>1.484815</v>
      </c>
      <c r="E1653">
        <v>1.89097</v>
      </c>
      <c r="F1653">
        <v>0.89887600000000001</v>
      </c>
    </row>
    <row r="1654" spans="1:6">
      <c r="A1654" s="11">
        <v>1651</v>
      </c>
      <c r="B1654">
        <v>0.43657400000000002</v>
      </c>
      <c r="C1654">
        <v>1.122792</v>
      </c>
      <c r="D1654">
        <v>2.7816610000000002</v>
      </c>
      <c r="E1654">
        <v>0.42524099999999998</v>
      </c>
      <c r="F1654">
        <v>0.37246400000000002</v>
      </c>
    </row>
    <row r="1655" spans="1:6">
      <c r="A1655" s="11">
        <v>1652</v>
      </c>
      <c r="B1655">
        <v>1.679028</v>
      </c>
      <c r="C1655">
        <v>0.19375800000000001</v>
      </c>
      <c r="D1655">
        <v>3.7404419999999998</v>
      </c>
      <c r="E1655">
        <v>0.39175500000000002</v>
      </c>
      <c r="F1655">
        <v>0.868672</v>
      </c>
    </row>
    <row r="1656" spans="1:6">
      <c r="A1656" s="11">
        <v>1653</v>
      </c>
      <c r="B1656">
        <v>3.5650879999999998</v>
      </c>
      <c r="C1656">
        <v>0.51581600000000005</v>
      </c>
      <c r="D1656">
        <v>3.0149689999999998</v>
      </c>
      <c r="E1656">
        <v>1.6756260000000001</v>
      </c>
      <c r="F1656">
        <v>0.77496399999999999</v>
      </c>
    </row>
    <row r="1657" spans="1:6">
      <c r="A1657" s="11">
        <v>1654</v>
      </c>
      <c r="B1657">
        <v>9.9108000000000002E-2</v>
      </c>
      <c r="C1657">
        <v>2.628539</v>
      </c>
      <c r="D1657">
        <v>0.79541300000000004</v>
      </c>
      <c r="E1657">
        <v>2.9167450000000001</v>
      </c>
      <c r="F1657">
        <v>3.4000089999999998</v>
      </c>
    </row>
    <row r="1658" spans="1:6">
      <c r="A1658" s="11">
        <v>1655</v>
      </c>
      <c r="B1658">
        <v>0.93044899999999997</v>
      </c>
      <c r="C1658">
        <v>1.146601</v>
      </c>
      <c r="D1658">
        <v>2.786327</v>
      </c>
      <c r="E1658">
        <v>0.95969800000000005</v>
      </c>
      <c r="F1658">
        <v>0.865622</v>
      </c>
    </row>
    <row r="1659" spans="1:6">
      <c r="A1659" s="11">
        <v>1656</v>
      </c>
      <c r="B1659">
        <v>0.619452</v>
      </c>
      <c r="C1659">
        <v>7.005992</v>
      </c>
      <c r="D1659">
        <v>2.6439810000000001</v>
      </c>
      <c r="E1659">
        <v>2.1787299999999998</v>
      </c>
      <c r="F1659">
        <v>0.86796099999999998</v>
      </c>
    </row>
    <row r="1660" spans="1:6">
      <c r="A1660" s="11">
        <v>1657</v>
      </c>
      <c r="B1660">
        <v>2.649308</v>
      </c>
      <c r="C1660">
        <v>0.55466599999999999</v>
      </c>
      <c r="D1660">
        <v>0.29366300000000001</v>
      </c>
      <c r="E1660">
        <v>2.2317330000000002</v>
      </c>
      <c r="F1660">
        <v>0.38789000000000001</v>
      </c>
    </row>
    <row r="1661" spans="1:6">
      <c r="A1661" s="11">
        <v>1658</v>
      </c>
      <c r="B1661">
        <v>0.67672900000000002</v>
      </c>
      <c r="C1661">
        <v>2.0951379999999999</v>
      </c>
      <c r="D1661">
        <v>0.26170900000000002</v>
      </c>
      <c r="E1661">
        <v>2.2326649999999999</v>
      </c>
      <c r="F1661">
        <v>2.0598809999999999</v>
      </c>
    </row>
    <row r="1662" spans="1:6">
      <c r="A1662" s="11">
        <v>1659</v>
      </c>
      <c r="B1662">
        <v>1.7897810000000001</v>
      </c>
      <c r="C1662">
        <v>1.777358</v>
      </c>
      <c r="D1662">
        <v>1.200272</v>
      </c>
      <c r="E1662">
        <v>0.40109</v>
      </c>
      <c r="F1662">
        <v>0.558612</v>
      </c>
    </row>
    <row r="1663" spans="1:6">
      <c r="A1663" s="11">
        <v>1660</v>
      </c>
      <c r="B1663">
        <v>3.2641200000000001</v>
      </c>
      <c r="C1663">
        <v>5.6256640000000004</v>
      </c>
      <c r="D1663">
        <v>2.6565669999999999</v>
      </c>
      <c r="E1663">
        <v>22.594567999999999</v>
      </c>
      <c r="F1663">
        <v>0.22339899999999999</v>
      </c>
    </row>
    <row r="1664" spans="1:6">
      <c r="A1664" s="11">
        <v>1661</v>
      </c>
      <c r="B1664">
        <v>2.9200750000000002</v>
      </c>
      <c r="C1664">
        <v>4.7071329999999998</v>
      </c>
      <c r="D1664">
        <v>0.99353899999999995</v>
      </c>
      <c r="E1664">
        <v>0.177644</v>
      </c>
      <c r="F1664">
        <v>4.7901910000000001</v>
      </c>
    </row>
    <row r="1665" spans="1:6">
      <c r="A1665" s="11">
        <v>1662</v>
      </c>
      <c r="B1665">
        <v>2.8781530000000002</v>
      </c>
      <c r="C1665">
        <v>0.78064800000000001</v>
      </c>
      <c r="D1665">
        <v>0.58820399999999995</v>
      </c>
      <c r="E1665">
        <v>3.437694</v>
      </c>
      <c r="F1665">
        <v>4.0436889999999996</v>
      </c>
    </row>
    <row r="1666" spans="1:6">
      <c r="A1666" s="11">
        <v>1663</v>
      </c>
      <c r="B1666">
        <v>0.95352400000000004</v>
      </c>
      <c r="C1666">
        <v>0.81674899999999995</v>
      </c>
      <c r="D1666">
        <v>103.255273</v>
      </c>
      <c r="E1666">
        <v>2.382673</v>
      </c>
      <c r="F1666">
        <v>2.8766340000000001</v>
      </c>
    </row>
    <row r="1667" spans="1:6">
      <c r="A1667" s="11">
        <v>1664</v>
      </c>
      <c r="B1667">
        <v>0.38281999999999999</v>
      </c>
      <c r="C1667">
        <v>1.648169</v>
      </c>
      <c r="D1667">
        <v>1.615219</v>
      </c>
      <c r="E1667">
        <v>1.293353</v>
      </c>
      <c r="F1667">
        <v>0.89578899999999995</v>
      </c>
    </row>
    <row r="1668" spans="1:6">
      <c r="A1668" s="11">
        <v>1665</v>
      </c>
      <c r="B1668">
        <v>0.42482399999999998</v>
      </c>
      <c r="C1668">
        <v>6.0186000000000003E-2</v>
      </c>
      <c r="D1668">
        <v>0.360545</v>
      </c>
      <c r="E1668">
        <v>1.010918</v>
      </c>
      <c r="F1668">
        <v>0.28200700000000001</v>
      </c>
    </row>
    <row r="1669" spans="1:6">
      <c r="A1669" s="11">
        <v>1666</v>
      </c>
      <c r="B1669">
        <v>3.0563380000000002</v>
      </c>
      <c r="C1669">
        <v>0.121114</v>
      </c>
      <c r="D1669">
        <v>0.36402800000000002</v>
      </c>
      <c r="E1669">
        <v>1.857963</v>
      </c>
      <c r="F1669">
        <v>1.4254309999999999</v>
      </c>
    </row>
    <row r="1670" spans="1:6">
      <c r="A1670" s="11">
        <v>1667</v>
      </c>
      <c r="B1670">
        <v>1.2186969999999999</v>
      </c>
      <c r="C1670">
        <v>2.2832059999999998</v>
      </c>
      <c r="D1670">
        <v>1.51478</v>
      </c>
      <c r="E1670">
        <v>1.5563640000000001</v>
      </c>
      <c r="F1670">
        <v>7.5222709999999999</v>
      </c>
    </row>
    <row r="1671" spans="1:6">
      <c r="A1671" s="11">
        <v>1668</v>
      </c>
      <c r="B1671">
        <v>1.260289</v>
      </c>
      <c r="C1671">
        <v>0.36941400000000002</v>
      </c>
      <c r="D1671">
        <v>0.130081</v>
      </c>
      <c r="E1671">
        <v>0.81600799999999996</v>
      </c>
      <c r="F1671">
        <v>0.113666</v>
      </c>
    </row>
    <row r="1672" spans="1:6">
      <c r="A1672" s="11">
        <v>1669</v>
      </c>
      <c r="B1672">
        <v>0.27802199999999999</v>
      </c>
      <c r="C1672">
        <v>6.0493350000000001</v>
      </c>
      <c r="D1672">
        <v>0.19564300000000001</v>
      </c>
      <c r="E1672">
        <v>3.361885</v>
      </c>
      <c r="F1672">
        <v>1.218035</v>
      </c>
    </row>
    <row r="1673" spans="1:6">
      <c r="A1673" s="11">
        <v>1670</v>
      </c>
      <c r="B1673">
        <v>0.92133200000000004</v>
      </c>
      <c r="C1673">
        <v>1.60364</v>
      </c>
      <c r="D1673">
        <v>0.54255699999999996</v>
      </c>
      <c r="E1673">
        <v>1.904447</v>
      </c>
      <c r="F1673">
        <v>0.10399700000000001</v>
      </c>
    </row>
    <row r="1674" spans="1:6">
      <c r="A1674" s="11">
        <v>1671</v>
      </c>
      <c r="B1674">
        <v>1.351046</v>
      </c>
      <c r="C1674">
        <v>0.57231600000000005</v>
      </c>
      <c r="D1674">
        <v>3.8989999999999997E-2</v>
      </c>
      <c r="E1674">
        <v>1.1936359999999999</v>
      </c>
      <c r="F1674">
        <v>1.8362590000000001</v>
      </c>
    </row>
    <row r="1675" spans="1:6">
      <c r="A1675" s="11">
        <v>1672</v>
      </c>
      <c r="B1675">
        <v>0.277007</v>
      </c>
      <c r="C1675">
        <v>0.40449600000000002</v>
      </c>
      <c r="D1675">
        <v>1.225938</v>
      </c>
      <c r="E1675">
        <v>1.096441</v>
      </c>
      <c r="F1675">
        <v>1.352911</v>
      </c>
    </row>
    <row r="1676" spans="1:6">
      <c r="A1676" s="11">
        <v>1673</v>
      </c>
      <c r="B1676">
        <v>1.6489879999999999</v>
      </c>
      <c r="C1676">
        <v>0.78996599999999995</v>
      </c>
      <c r="D1676">
        <v>12.625534</v>
      </c>
      <c r="E1676">
        <v>0.76190500000000005</v>
      </c>
      <c r="F1676">
        <v>0.68495300000000003</v>
      </c>
    </row>
    <row r="1677" spans="1:6">
      <c r="A1677" s="11">
        <v>1674</v>
      </c>
      <c r="B1677">
        <v>0.91922700000000002</v>
      </c>
      <c r="C1677">
        <v>0.33224500000000001</v>
      </c>
      <c r="D1677">
        <v>0.55886199999999997</v>
      </c>
      <c r="E1677">
        <v>0.59659899999999999</v>
      </c>
      <c r="F1677">
        <v>0.573882</v>
      </c>
    </row>
    <row r="1678" spans="1:6">
      <c r="A1678" s="11">
        <v>1675</v>
      </c>
      <c r="B1678">
        <v>2.033671</v>
      </c>
      <c r="C1678">
        <v>0.16691600000000001</v>
      </c>
      <c r="D1678">
        <v>0.76104000000000005</v>
      </c>
      <c r="E1678">
        <v>3.0261939999999998</v>
      </c>
      <c r="F1678">
        <v>0.57508300000000001</v>
      </c>
    </row>
    <row r="1679" spans="1:6">
      <c r="A1679" s="11">
        <v>1676</v>
      </c>
      <c r="B1679">
        <v>1.512222</v>
      </c>
      <c r="C1679">
        <v>0.503162</v>
      </c>
      <c r="D1679">
        <v>0.50333000000000006</v>
      </c>
      <c r="E1679">
        <v>0.85944500000000001</v>
      </c>
      <c r="F1679">
        <v>3.72445</v>
      </c>
    </row>
    <row r="1680" spans="1:6">
      <c r="A1680" s="11">
        <v>1677</v>
      </c>
      <c r="B1680">
        <v>0.67463099999999998</v>
      </c>
      <c r="C1680">
        <v>0.563249</v>
      </c>
      <c r="D1680">
        <v>0.42966100000000002</v>
      </c>
      <c r="E1680">
        <v>3.0881419999999999</v>
      </c>
      <c r="F1680">
        <v>12.735282</v>
      </c>
    </row>
    <row r="1681" spans="1:6">
      <c r="A1681" s="11">
        <v>1678</v>
      </c>
      <c r="B1681">
        <v>6.75319</v>
      </c>
      <c r="C1681">
        <v>0.94903199999999999</v>
      </c>
      <c r="D1681">
        <v>1.687621</v>
      </c>
      <c r="E1681">
        <v>0.73219199999999995</v>
      </c>
      <c r="F1681">
        <v>0.92826799999999998</v>
      </c>
    </row>
    <row r="1682" spans="1:6">
      <c r="A1682" s="11">
        <v>1679</v>
      </c>
      <c r="B1682">
        <v>4.1681720000000002</v>
      </c>
      <c r="C1682">
        <v>0.379467</v>
      </c>
      <c r="D1682">
        <v>2.9597259999999999</v>
      </c>
      <c r="E1682">
        <v>0.50423200000000001</v>
      </c>
      <c r="F1682">
        <v>2.8602690000000002</v>
      </c>
    </row>
    <row r="1683" spans="1:6">
      <c r="A1683" s="11">
        <v>1680</v>
      </c>
      <c r="B1683">
        <v>0.30727100000000002</v>
      </c>
      <c r="C1683">
        <v>1.1193519999999999</v>
      </c>
      <c r="D1683">
        <v>0.16067200000000001</v>
      </c>
      <c r="E1683">
        <v>0.28251300000000001</v>
      </c>
      <c r="F1683">
        <v>0.174372</v>
      </c>
    </row>
    <row r="1684" spans="1:6">
      <c r="A1684" s="11">
        <v>1681</v>
      </c>
      <c r="B1684">
        <v>0.709789</v>
      </c>
      <c r="C1684">
        <v>9.5098000000000002E-2</v>
      </c>
      <c r="D1684">
        <v>9.2745189999999997</v>
      </c>
      <c r="E1684">
        <v>0.41114200000000001</v>
      </c>
      <c r="F1684">
        <v>2.7681019999999998</v>
      </c>
    </row>
    <row r="1685" spans="1:6">
      <c r="A1685" s="11">
        <v>1682</v>
      </c>
      <c r="B1685">
        <v>4.8366670000000003</v>
      </c>
      <c r="C1685">
        <v>0.54329300000000003</v>
      </c>
      <c r="D1685">
        <v>1.825661</v>
      </c>
      <c r="E1685">
        <v>0.486844</v>
      </c>
      <c r="F1685">
        <v>0.37232100000000001</v>
      </c>
    </row>
    <row r="1686" spans="1:6">
      <c r="A1686" s="11">
        <v>1683</v>
      </c>
      <c r="B1686">
        <v>5.3065660000000001</v>
      </c>
      <c r="C1686">
        <v>2.1438290000000002</v>
      </c>
      <c r="D1686">
        <v>0.539489</v>
      </c>
      <c r="E1686">
        <v>2.1318090000000001</v>
      </c>
      <c r="F1686">
        <v>2.826362</v>
      </c>
    </row>
    <row r="1687" spans="1:6">
      <c r="A1687" s="11">
        <v>1684</v>
      </c>
      <c r="B1687">
        <v>2.251404</v>
      </c>
      <c r="C1687">
        <v>0.44968799999999998</v>
      </c>
      <c r="D1687">
        <v>7.6710279999999997</v>
      </c>
      <c r="E1687">
        <v>0.33191599999999999</v>
      </c>
      <c r="F1687">
        <v>0.82521800000000001</v>
      </c>
    </row>
    <row r="1688" spans="1:6">
      <c r="A1688" s="11">
        <v>1685</v>
      </c>
      <c r="B1688">
        <v>2.311582</v>
      </c>
      <c r="C1688">
        <v>2.1009850000000001</v>
      </c>
      <c r="D1688">
        <v>1.23573</v>
      </c>
      <c r="E1688">
        <v>0.96036999999999995</v>
      </c>
      <c r="F1688">
        <v>1.4863789999999999</v>
      </c>
    </row>
    <row r="1689" spans="1:6">
      <c r="A1689" s="11">
        <v>1686</v>
      </c>
      <c r="B1689">
        <v>0.27967500000000001</v>
      </c>
      <c r="C1689">
        <v>0.69300499999999998</v>
      </c>
      <c r="D1689">
        <v>0.45422699999999999</v>
      </c>
      <c r="E1689">
        <v>0.30007899999999998</v>
      </c>
      <c r="F1689">
        <v>5.1726359999999998</v>
      </c>
    </row>
    <row r="1690" spans="1:6">
      <c r="A1690" s="11">
        <v>1687</v>
      </c>
      <c r="B1690">
        <v>0.65369999999999995</v>
      </c>
      <c r="C1690">
        <v>0.679983</v>
      </c>
      <c r="D1690">
        <v>5.5730510000000004</v>
      </c>
      <c r="E1690">
        <v>3.4439160000000002</v>
      </c>
      <c r="F1690">
        <v>2.7123089999999999</v>
      </c>
    </row>
    <row r="1691" spans="1:6">
      <c r="A1691" s="11">
        <v>1688</v>
      </c>
      <c r="B1691">
        <v>1.955938</v>
      </c>
      <c r="C1691">
        <v>1.1677979999999999</v>
      </c>
      <c r="D1691">
        <v>0.41316799999999998</v>
      </c>
      <c r="E1691">
        <v>0.54919399999999996</v>
      </c>
      <c r="F1691">
        <v>1.2858270000000001</v>
      </c>
    </row>
    <row r="1692" spans="1:6">
      <c r="A1692" s="11">
        <v>1689</v>
      </c>
      <c r="B1692">
        <v>0.16003500000000001</v>
      </c>
      <c r="C1692">
        <v>0.56205799999999995</v>
      </c>
      <c r="D1692">
        <v>1.7642739999999999</v>
      </c>
      <c r="E1692">
        <v>1.0521799999999999</v>
      </c>
      <c r="F1692">
        <v>0.73279799999999995</v>
      </c>
    </row>
    <row r="1693" spans="1:6">
      <c r="A1693" s="11">
        <v>1690</v>
      </c>
      <c r="B1693">
        <v>0.94462100000000004</v>
      </c>
      <c r="C1693">
        <v>0.20261100000000001</v>
      </c>
      <c r="D1693">
        <v>0.29394900000000002</v>
      </c>
      <c r="E1693">
        <v>0.67735000000000001</v>
      </c>
      <c r="F1693">
        <v>0.88966400000000001</v>
      </c>
    </row>
    <row r="1694" spans="1:6">
      <c r="A1694" s="11">
        <v>1691</v>
      </c>
      <c r="B1694">
        <v>20.969429999999999</v>
      </c>
      <c r="C1694">
        <v>0.209399</v>
      </c>
      <c r="D1694">
        <v>3.1011099999999998</v>
      </c>
      <c r="E1694">
        <v>1.956593</v>
      </c>
      <c r="F1694">
        <v>0.26344400000000001</v>
      </c>
    </row>
    <row r="1695" spans="1:6">
      <c r="A1695" s="11">
        <v>1692</v>
      </c>
      <c r="B1695">
        <v>0.76015299999999997</v>
      </c>
      <c r="C1695">
        <v>0.34033200000000002</v>
      </c>
      <c r="D1695">
        <v>1.02559</v>
      </c>
      <c r="E1695">
        <v>0.41560399999999997</v>
      </c>
      <c r="F1695">
        <v>0.76247699999999996</v>
      </c>
    </row>
    <row r="1696" spans="1:6">
      <c r="A1696" s="11">
        <v>1693</v>
      </c>
      <c r="B1696">
        <v>3.1902029999999999</v>
      </c>
      <c r="C1696">
        <v>0.91033500000000001</v>
      </c>
      <c r="D1696">
        <v>7.7187910000000004</v>
      </c>
      <c r="E1696">
        <v>2.325628</v>
      </c>
      <c r="F1696">
        <v>4.5886380000000004</v>
      </c>
    </row>
    <row r="1697" spans="1:6">
      <c r="A1697" s="11">
        <v>1694</v>
      </c>
      <c r="B1697">
        <v>12.786519999999999</v>
      </c>
      <c r="C1697">
        <v>1.350563</v>
      </c>
      <c r="D1697">
        <v>0.51030699999999996</v>
      </c>
      <c r="E1697">
        <v>5.5475719999999997</v>
      </c>
      <c r="F1697">
        <v>6.3698189999999997</v>
      </c>
    </row>
    <row r="1698" spans="1:6">
      <c r="A1698" s="11">
        <v>1695</v>
      </c>
      <c r="B1698">
        <v>2.6183800000000002</v>
      </c>
      <c r="C1698">
        <v>0.68016100000000002</v>
      </c>
      <c r="D1698">
        <v>1.29203</v>
      </c>
      <c r="E1698">
        <v>0.53492200000000001</v>
      </c>
      <c r="F1698">
        <v>0.41839500000000002</v>
      </c>
    </row>
    <row r="1699" spans="1:6">
      <c r="A1699" s="11">
        <v>1696</v>
      </c>
      <c r="B1699">
        <v>1.1385400000000001</v>
      </c>
      <c r="C1699">
        <v>0.42571300000000001</v>
      </c>
      <c r="D1699">
        <v>0.19498299999999999</v>
      </c>
      <c r="E1699">
        <v>0.18487700000000001</v>
      </c>
      <c r="F1699">
        <v>0.69133900000000004</v>
      </c>
    </row>
    <row r="1700" spans="1:6">
      <c r="A1700" s="11">
        <v>1697</v>
      </c>
      <c r="B1700">
        <v>2.0212889999999999</v>
      </c>
      <c r="C1700">
        <v>0.44362600000000002</v>
      </c>
      <c r="D1700">
        <v>6.6160990000000002</v>
      </c>
      <c r="E1700">
        <v>0.56596599999999997</v>
      </c>
      <c r="F1700">
        <v>0.58257000000000003</v>
      </c>
    </row>
    <row r="1701" spans="1:6">
      <c r="A1701" s="11">
        <v>1698</v>
      </c>
      <c r="B1701">
        <v>0.54698599999999997</v>
      </c>
      <c r="C1701">
        <v>8.8772850000000005</v>
      </c>
      <c r="D1701">
        <v>1.73058</v>
      </c>
      <c r="E1701">
        <v>0.34895300000000001</v>
      </c>
      <c r="F1701">
        <v>0.63367099999999998</v>
      </c>
    </row>
    <row r="1702" spans="1:6">
      <c r="A1702" s="11">
        <v>1699</v>
      </c>
      <c r="B1702">
        <v>0.50834400000000002</v>
      </c>
      <c r="C1702">
        <v>0.64764699999999997</v>
      </c>
      <c r="D1702">
        <v>0.45246500000000001</v>
      </c>
      <c r="E1702">
        <v>0.44019999999999998</v>
      </c>
      <c r="F1702">
        <v>2.0638519999999998</v>
      </c>
    </row>
    <row r="1703" spans="1:6">
      <c r="A1703" s="11">
        <v>1700</v>
      </c>
      <c r="B1703">
        <v>5.1066349999999998</v>
      </c>
      <c r="C1703">
        <v>2.1160730000000001</v>
      </c>
      <c r="D1703">
        <v>2.3547929999999999</v>
      </c>
      <c r="E1703">
        <v>1.150876</v>
      </c>
      <c r="F1703">
        <v>1.181389</v>
      </c>
    </row>
    <row r="1704" spans="1:6">
      <c r="A1704" s="11">
        <v>1701</v>
      </c>
      <c r="B1704">
        <v>0.40546599999999999</v>
      </c>
      <c r="C1704">
        <v>0.39239000000000002</v>
      </c>
      <c r="D1704">
        <v>0.21329799999999999</v>
      </c>
      <c r="E1704">
        <v>5.6093849999999996</v>
      </c>
      <c r="F1704">
        <v>1.074274</v>
      </c>
    </row>
    <row r="1705" spans="1:6">
      <c r="A1705" s="11">
        <v>1702</v>
      </c>
      <c r="B1705">
        <v>2.3432339999999998</v>
      </c>
      <c r="C1705">
        <v>0.302205</v>
      </c>
      <c r="D1705">
        <v>3.2089509999999999</v>
      </c>
      <c r="E1705">
        <v>1.301941</v>
      </c>
      <c r="F1705">
        <v>0.81742400000000004</v>
      </c>
    </row>
    <row r="1706" spans="1:6">
      <c r="A1706" s="11">
        <v>1703</v>
      </c>
      <c r="B1706">
        <v>0.67647599999999997</v>
      </c>
      <c r="C1706">
        <v>0.90477799999999997</v>
      </c>
      <c r="D1706">
        <v>1.2266919999999999</v>
      </c>
      <c r="E1706">
        <v>1.632422</v>
      </c>
      <c r="F1706">
        <v>0.59583200000000003</v>
      </c>
    </row>
    <row r="1707" spans="1:6">
      <c r="A1707" s="11">
        <v>1704</v>
      </c>
      <c r="B1707">
        <v>6.5345E-2</v>
      </c>
      <c r="C1707">
        <v>0.68206800000000001</v>
      </c>
      <c r="D1707">
        <v>0.117826</v>
      </c>
      <c r="E1707">
        <v>2.2224590000000002</v>
      </c>
      <c r="F1707">
        <v>2.643221</v>
      </c>
    </row>
    <row r="1708" spans="1:6">
      <c r="A1708" s="11">
        <v>1705</v>
      </c>
      <c r="B1708">
        <v>0.22103</v>
      </c>
      <c r="C1708">
        <v>0.31139</v>
      </c>
      <c r="D1708">
        <v>1.175926</v>
      </c>
      <c r="E1708">
        <v>0.19001999999999999</v>
      </c>
      <c r="F1708">
        <v>6.6771999999999998E-2</v>
      </c>
    </row>
    <row r="1709" spans="1:6">
      <c r="A1709" s="11">
        <v>1706</v>
      </c>
      <c r="B1709">
        <v>0.64243099999999997</v>
      </c>
      <c r="C1709">
        <v>0.47910999999999998</v>
      </c>
      <c r="D1709">
        <v>7.1165919999999998</v>
      </c>
      <c r="E1709">
        <v>1.476666</v>
      </c>
      <c r="F1709">
        <v>0.94773499999999999</v>
      </c>
    </row>
    <row r="1710" spans="1:6">
      <c r="A1710" s="11">
        <v>1707</v>
      </c>
      <c r="B1710">
        <v>0.53403699999999998</v>
      </c>
      <c r="C1710">
        <v>0.90653899999999998</v>
      </c>
      <c r="D1710">
        <v>5.4706619999999999</v>
      </c>
      <c r="E1710">
        <v>0.28952299999999997</v>
      </c>
      <c r="F1710">
        <v>0.53485400000000005</v>
      </c>
    </row>
    <row r="1711" spans="1:6">
      <c r="A1711" s="11">
        <v>1708</v>
      </c>
      <c r="B1711">
        <v>1.1374230000000001</v>
      </c>
      <c r="C1711">
        <v>1.584138</v>
      </c>
      <c r="D1711">
        <v>2.3560020000000002</v>
      </c>
      <c r="E1711">
        <v>0.39761400000000002</v>
      </c>
      <c r="F1711">
        <v>6.5253259999999997</v>
      </c>
    </row>
    <row r="1712" spans="1:6">
      <c r="A1712" s="11">
        <v>1709</v>
      </c>
      <c r="B1712">
        <v>1.6269439999999999</v>
      </c>
      <c r="C1712">
        <v>0.79812799999999995</v>
      </c>
      <c r="D1712">
        <v>1.602014</v>
      </c>
      <c r="E1712">
        <v>0.58607699999999996</v>
      </c>
      <c r="F1712">
        <v>3.4579240000000002</v>
      </c>
    </row>
    <row r="1713" spans="1:6">
      <c r="A1713" s="11">
        <v>1710</v>
      </c>
      <c r="B1713">
        <v>2.749368</v>
      </c>
      <c r="C1713">
        <v>5.8913010000000003</v>
      </c>
      <c r="D1713">
        <v>6.1947169999999998</v>
      </c>
      <c r="E1713">
        <v>0.730514</v>
      </c>
      <c r="F1713">
        <v>5.0120899999999997</v>
      </c>
    </row>
    <row r="1714" spans="1:6">
      <c r="A1714" s="11">
        <v>1711</v>
      </c>
      <c r="B1714">
        <v>2.3169019999999998</v>
      </c>
      <c r="C1714">
        <v>0.53926099999999999</v>
      </c>
      <c r="D1714">
        <v>1.4126719999999999</v>
      </c>
      <c r="E1714">
        <v>0.31155300000000002</v>
      </c>
      <c r="F1714">
        <v>0.52447699999999997</v>
      </c>
    </row>
    <row r="1715" spans="1:6">
      <c r="A1715" s="11">
        <v>1712</v>
      </c>
      <c r="B1715">
        <v>1.069315</v>
      </c>
      <c r="C1715">
        <v>3.640641</v>
      </c>
      <c r="D1715">
        <v>9.7884460000000004</v>
      </c>
      <c r="E1715">
        <v>4.2024140000000001</v>
      </c>
      <c r="F1715">
        <v>0.30762600000000001</v>
      </c>
    </row>
    <row r="1716" spans="1:6">
      <c r="A1716" s="11">
        <v>1713</v>
      </c>
      <c r="B1716">
        <v>1.1280129999999999</v>
      </c>
      <c r="C1716">
        <v>0.88512999999999997</v>
      </c>
      <c r="D1716">
        <v>0.155476</v>
      </c>
      <c r="E1716">
        <v>0.49861</v>
      </c>
      <c r="F1716">
        <v>3.2486269999999999</v>
      </c>
    </row>
    <row r="1717" spans="1:6">
      <c r="A1717" s="11">
        <v>1714</v>
      </c>
      <c r="B1717">
        <v>9.8771999999999999E-2</v>
      </c>
      <c r="C1717">
        <v>8.0057000000000003E-2</v>
      </c>
      <c r="D1717">
        <v>0.46246599999999999</v>
      </c>
      <c r="E1717">
        <v>0.24182699999999999</v>
      </c>
      <c r="F1717">
        <v>0.41264299999999998</v>
      </c>
    </row>
    <row r="1718" spans="1:6">
      <c r="A1718" s="11">
        <v>1715</v>
      </c>
      <c r="B1718">
        <v>0.62268900000000005</v>
      </c>
      <c r="C1718">
        <v>0.36899900000000002</v>
      </c>
      <c r="D1718">
        <v>1.3234109999999999</v>
      </c>
      <c r="E1718">
        <v>0.91457500000000003</v>
      </c>
      <c r="F1718">
        <v>0.110337</v>
      </c>
    </row>
    <row r="1719" spans="1:6">
      <c r="A1719" s="11">
        <v>1716</v>
      </c>
      <c r="B1719">
        <v>1.46631</v>
      </c>
      <c r="C1719">
        <v>0.81305400000000005</v>
      </c>
      <c r="D1719">
        <v>1.149438</v>
      </c>
      <c r="E1719">
        <v>0.139351</v>
      </c>
      <c r="F1719">
        <v>0.97434600000000005</v>
      </c>
    </row>
    <row r="1720" spans="1:6">
      <c r="A1720" s="11">
        <v>1717</v>
      </c>
      <c r="B1720">
        <v>1.0177449999999999</v>
      </c>
      <c r="C1720">
        <v>0.61536500000000005</v>
      </c>
      <c r="D1720">
        <v>8.5983110000000007</v>
      </c>
      <c r="E1720">
        <v>1.8058240000000001</v>
      </c>
      <c r="F1720">
        <v>0.59517100000000001</v>
      </c>
    </row>
    <row r="1721" spans="1:6">
      <c r="A1721" s="11">
        <v>1718</v>
      </c>
      <c r="B1721">
        <v>34.042613000000003</v>
      </c>
      <c r="C1721">
        <v>0.54425599999999996</v>
      </c>
      <c r="D1721">
        <v>0.14105899999999999</v>
      </c>
      <c r="E1721">
        <v>1.344112</v>
      </c>
      <c r="F1721">
        <v>3.4954040000000002</v>
      </c>
    </row>
    <row r="1722" spans="1:6">
      <c r="A1722" s="11">
        <v>1719</v>
      </c>
      <c r="B1722">
        <v>0.59786399999999995</v>
      </c>
      <c r="C1722">
        <v>5.1286129999999996</v>
      </c>
      <c r="D1722">
        <v>0.13705500000000001</v>
      </c>
      <c r="E1722">
        <v>1.4674179999999999</v>
      </c>
      <c r="F1722">
        <v>1.5212190000000001</v>
      </c>
    </row>
    <row r="1723" spans="1:6">
      <c r="A1723" s="11">
        <v>1720</v>
      </c>
      <c r="B1723">
        <v>1.233328</v>
      </c>
      <c r="C1723">
        <v>3.2366459999999999</v>
      </c>
      <c r="D1723">
        <v>2.101928</v>
      </c>
      <c r="E1723">
        <v>0.187635</v>
      </c>
      <c r="F1723">
        <v>6.9270999999999999E-2</v>
      </c>
    </row>
    <row r="1724" spans="1:6">
      <c r="A1724" s="11">
        <v>1721</v>
      </c>
      <c r="B1724">
        <v>0.35461999999999999</v>
      </c>
      <c r="C1724">
        <v>30.436547000000001</v>
      </c>
      <c r="D1724">
        <v>2.6744520000000001</v>
      </c>
      <c r="E1724">
        <v>7.1399080000000001</v>
      </c>
      <c r="F1724">
        <v>0.35025600000000001</v>
      </c>
    </row>
    <row r="1725" spans="1:6">
      <c r="A1725" s="11">
        <v>1722</v>
      </c>
      <c r="B1725">
        <v>0.74464300000000005</v>
      </c>
      <c r="C1725">
        <v>11.749014000000001</v>
      </c>
      <c r="D1725">
        <v>0.89225399999999999</v>
      </c>
      <c r="E1725">
        <v>0.94598800000000005</v>
      </c>
      <c r="F1725">
        <v>1.455595</v>
      </c>
    </row>
    <row r="1726" spans="1:6">
      <c r="A1726" s="11">
        <v>1723</v>
      </c>
      <c r="B1726">
        <v>0.78708699999999998</v>
      </c>
      <c r="C1726">
        <v>0.115484</v>
      </c>
      <c r="D1726">
        <v>3.5387149999999998</v>
      </c>
      <c r="E1726">
        <v>0.346827</v>
      </c>
      <c r="F1726">
        <v>4.101871</v>
      </c>
    </row>
    <row r="1727" spans="1:6">
      <c r="A1727" s="11">
        <v>1724</v>
      </c>
      <c r="B1727">
        <v>1.546281</v>
      </c>
      <c r="C1727">
        <v>1.3435919999999999</v>
      </c>
      <c r="D1727">
        <v>0.73937200000000003</v>
      </c>
      <c r="E1727">
        <v>1.7603249999999999</v>
      </c>
      <c r="F1727">
        <v>0.68113500000000005</v>
      </c>
    </row>
    <row r="1728" spans="1:6">
      <c r="A1728" s="11">
        <v>1725</v>
      </c>
      <c r="B1728">
        <v>4.1422879999999997</v>
      </c>
      <c r="C1728">
        <v>0.1192</v>
      </c>
      <c r="D1728">
        <v>1.8508709999999999</v>
      </c>
      <c r="E1728">
        <v>2.6515770000000001</v>
      </c>
      <c r="F1728">
        <v>0.648123</v>
      </c>
    </row>
    <row r="1729" spans="1:6">
      <c r="A1729" s="11">
        <v>1726</v>
      </c>
      <c r="B1729">
        <v>6.6385589999999999</v>
      </c>
      <c r="C1729">
        <v>5.2599770000000001</v>
      </c>
      <c r="D1729">
        <v>0.365896</v>
      </c>
      <c r="E1729">
        <v>1.894191</v>
      </c>
      <c r="F1729">
        <v>2.2377739999999999</v>
      </c>
    </row>
    <row r="1730" spans="1:6">
      <c r="A1730" s="11">
        <v>1727</v>
      </c>
      <c r="B1730">
        <v>0.712588</v>
      </c>
      <c r="C1730">
        <v>1.1409020000000001</v>
      </c>
      <c r="D1730">
        <v>1.9003049999999999</v>
      </c>
      <c r="E1730">
        <v>3.3002020000000001</v>
      </c>
      <c r="F1730">
        <v>1.138036</v>
      </c>
    </row>
    <row r="1731" spans="1:6">
      <c r="A1731" s="11">
        <v>1728</v>
      </c>
      <c r="B1731">
        <v>5.6519E-2</v>
      </c>
      <c r="C1731">
        <v>0.77933600000000003</v>
      </c>
      <c r="D1731">
        <v>1.1348549999999999</v>
      </c>
      <c r="E1731">
        <v>0.66540500000000002</v>
      </c>
      <c r="F1731">
        <v>1.0063550000000001</v>
      </c>
    </row>
    <row r="1732" spans="1:6">
      <c r="A1732" s="11">
        <v>1729</v>
      </c>
      <c r="B1732">
        <v>0.12370200000000001</v>
      </c>
      <c r="C1732">
        <v>3.8868049999999998</v>
      </c>
      <c r="D1732">
        <v>0.47908899999999999</v>
      </c>
      <c r="E1732">
        <v>1.604668</v>
      </c>
      <c r="F1732">
        <v>2.4160970000000002</v>
      </c>
    </row>
    <row r="1733" spans="1:6">
      <c r="A1733" s="11">
        <v>1730</v>
      </c>
      <c r="B1733">
        <v>0.19853100000000001</v>
      </c>
      <c r="C1733">
        <v>6.4321089999999996</v>
      </c>
      <c r="D1733">
        <v>0.23563999999999999</v>
      </c>
      <c r="E1733">
        <v>2.5544349999999998</v>
      </c>
      <c r="F1733">
        <v>1.061045</v>
      </c>
    </row>
    <row r="1734" spans="1:6">
      <c r="A1734" s="11">
        <v>1731</v>
      </c>
      <c r="B1734">
        <v>0.16061400000000001</v>
      </c>
      <c r="C1734">
        <v>2.871769</v>
      </c>
      <c r="D1734">
        <v>1.358285</v>
      </c>
      <c r="E1734">
        <v>2.530535</v>
      </c>
      <c r="F1734">
        <v>0.93010899999999996</v>
      </c>
    </row>
    <row r="1735" spans="1:6">
      <c r="A1735" s="11">
        <v>1732</v>
      </c>
      <c r="B1735">
        <v>1.4303760000000001</v>
      </c>
      <c r="C1735">
        <v>3.341669</v>
      </c>
      <c r="D1735">
        <v>2.1806719999999999</v>
      </c>
      <c r="E1735">
        <v>0.83227099999999998</v>
      </c>
      <c r="F1735">
        <v>3.7324609999999998</v>
      </c>
    </row>
    <row r="1736" spans="1:6">
      <c r="A1736" s="11">
        <v>1733</v>
      </c>
      <c r="B1736">
        <v>2.3259240000000001</v>
      </c>
      <c r="C1736">
        <v>5.944706</v>
      </c>
      <c r="D1736">
        <v>0.29053600000000002</v>
      </c>
      <c r="E1736">
        <v>1.069429</v>
      </c>
      <c r="F1736">
        <v>2.2938170000000002</v>
      </c>
    </row>
    <row r="1737" spans="1:6">
      <c r="A1737" s="11">
        <v>1734</v>
      </c>
      <c r="B1737">
        <v>0.46119500000000002</v>
      </c>
      <c r="C1737">
        <v>1.7442120000000001</v>
      </c>
      <c r="D1737">
        <v>0.75595900000000005</v>
      </c>
      <c r="E1737">
        <v>0.58560800000000002</v>
      </c>
      <c r="F1737">
        <v>1.4470529999999999</v>
      </c>
    </row>
    <row r="1738" spans="1:6">
      <c r="A1738" s="11">
        <v>1735</v>
      </c>
      <c r="B1738">
        <v>1.1614679999999999</v>
      </c>
      <c r="C1738">
        <v>1.088579</v>
      </c>
      <c r="D1738">
        <v>2.475231</v>
      </c>
      <c r="E1738">
        <v>2.8266550000000001</v>
      </c>
      <c r="F1738">
        <v>2.2044540000000001</v>
      </c>
    </row>
    <row r="1739" spans="1:6">
      <c r="A1739" s="11">
        <v>1736</v>
      </c>
      <c r="B1739">
        <v>3.3348659999999999</v>
      </c>
      <c r="C1739">
        <v>5.8985079999999996</v>
      </c>
      <c r="D1739">
        <v>1.8431660000000001</v>
      </c>
      <c r="E1739">
        <v>10.971469000000001</v>
      </c>
      <c r="F1739">
        <v>2.4682469999999999</v>
      </c>
    </row>
    <row r="1740" spans="1:6">
      <c r="A1740" s="11">
        <v>1737</v>
      </c>
      <c r="B1740">
        <v>1.2490399999999999</v>
      </c>
      <c r="C1740">
        <v>0.27638499999999999</v>
      </c>
      <c r="D1740">
        <v>0.35049400000000003</v>
      </c>
      <c r="E1740">
        <v>1.9695739999999999</v>
      </c>
      <c r="F1740">
        <v>1.8972789999999999</v>
      </c>
    </row>
    <row r="1741" spans="1:6">
      <c r="A1741" s="11">
        <v>1738</v>
      </c>
      <c r="B1741">
        <v>0.31109500000000001</v>
      </c>
      <c r="C1741">
        <v>0.72722200000000004</v>
      </c>
      <c r="D1741">
        <v>0.82645599999999997</v>
      </c>
      <c r="E1741">
        <v>0.287578</v>
      </c>
      <c r="F1741">
        <v>0.43306</v>
      </c>
    </row>
    <row r="1742" spans="1:6">
      <c r="A1742" s="11">
        <v>1739</v>
      </c>
      <c r="B1742">
        <v>0.72193499999999999</v>
      </c>
      <c r="C1742">
        <v>1.1694389999999999</v>
      </c>
      <c r="D1742">
        <v>1.8407530000000001</v>
      </c>
      <c r="E1742">
        <v>1.802184</v>
      </c>
      <c r="F1742">
        <v>0.465723</v>
      </c>
    </row>
    <row r="1743" spans="1:6">
      <c r="A1743" s="11">
        <v>1740</v>
      </c>
      <c r="B1743">
        <v>0.59806700000000002</v>
      </c>
      <c r="C1743">
        <v>0.81057000000000001</v>
      </c>
      <c r="D1743">
        <v>1.3423769999999999</v>
      </c>
      <c r="E1743">
        <v>2.8554599999999999</v>
      </c>
      <c r="F1743">
        <v>0.41426800000000003</v>
      </c>
    </row>
    <row r="1744" spans="1:6">
      <c r="A1744" s="11">
        <v>1741</v>
      </c>
      <c r="B1744">
        <v>0.54178099999999996</v>
      </c>
      <c r="C1744">
        <v>3.3460290000000001</v>
      </c>
      <c r="D1744">
        <v>0.95159000000000005</v>
      </c>
      <c r="E1744">
        <v>1.556052</v>
      </c>
      <c r="F1744">
        <v>0.65413699999999997</v>
      </c>
    </row>
    <row r="1745" spans="1:6">
      <c r="A1745" s="11">
        <v>1742</v>
      </c>
      <c r="B1745">
        <v>3.0189249999999999</v>
      </c>
      <c r="C1745">
        <v>0.715364</v>
      </c>
      <c r="D1745">
        <v>1.967873</v>
      </c>
      <c r="E1745">
        <v>0.46928700000000001</v>
      </c>
      <c r="F1745">
        <v>1.0811170000000001</v>
      </c>
    </row>
    <row r="1746" spans="1:6">
      <c r="A1746" s="11">
        <v>1743</v>
      </c>
      <c r="B1746">
        <v>2.1310039999999999</v>
      </c>
      <c r="C1746">
        <v>2.9212129999999998</v>
      </c>
      <c r="D1746">
        <v>0.63999899999999998</v>
      </c>
      <c r="E1746">
        <v>2.6717949999999999</v>
      </c>
      <c r="F1746">
        <v>0.19190099999999999</v>
      </c>
    </row>
    <row r="1747" spans="1:6">
      <c r="A1747" s="11">
        <v>1744</v>
      </c>
      <c r="B1747">
        <v>0.76935799999999999</v>
      </c>
      <c r="C1747">
        <v>5.6342689999999997</v>
      </c>
      <c r="D1747">
        <v>6.8108610000000001</v>
      </c>
      <c r="E1747">
        <v>5.1662020000000002</v>
      </c>
      <c r="F1747">
        <v>4.057741</v>
      </c>
    </row>
    <row r="1748" spans="1:6">
      <c r="A1748" s="11">
        <v>1745</v>
      </c>
      <c r="B1748">
        <v>7.0899970000000003</v>
      </c>
      <c r="C1748">
        <v>0.65781299999999998</v>
      </c>
      <c r="D1748">
        <v>0.72701499999999997</v>
      </c>
      <c r="E1748">
        <v>1.410506</v>
      </c>
      <c r="F1748">
        <v>0.98294099999999995</v>
      </c>
    </row>
    <row r="1749" spans="1:6">
      <c r="A1749" s="11">
        <v>1746</v>
      </c>
      <c r="B1749">
        <v>1.632347</v>
      </c>
      <c r="C1749">
        <v>0.45601199999999997</v>
      </c>
      <c r="D1749">
        <v>0.172761</v>
      </c>
      <c r="E1749">
        <v>8.3890000000000006E-2</v>
      </c>
      <c r="F1749">
        <v>3.0498560000000001</v>
      </c>
    </row>
    <row r="1750" spans="1:6">
      <c r="A1750" s="11">
        <v>1747</v>
      </c>
      <c r="B1750">
        <v>7.0064799999999998</v>
      </c>
      <c r="C1750">
        <v>0.42616199999999999</v>
      </c>
      <c r="D1750">
        <v>4.2314080000000001</v>
      </c>
      <c r="E1750">
        <v>0.58220400000000005</v>
      </c>
      <c r="F1750">
        <v>2.171659</v>
      </c>
    </row>
    <row r="1751" spans="1:6">
      <c r="A1751" s="11">
        <v>1748</v>
      </c>
      <c r="B1751">
        <v>1.5114559999999999</v>
      </c>
      <c r="C1751">
        <v>1.609164</v>
      </c>
      <c r="D1751">
        <v>1.0321940000000001</v>
      </c>
      <c r="E1751">
        <v>0.84793499999999999</v>
      </c>
      <c r="F1751">
        <v>1.959246</v>
      </c>
    </row>
    <row r="1752" spans="1:6">
      <c r="A1752" s="11">
        <v>1749</v>
      </c>
      <c r="B1752">
        <v>0.31911400000000001</v>
      </c>
      <c r="C1752">
        <v>4.099818</v>
      </c>
      <c r="D1752">
        <v>3.236777</v>
      </c>
      <c r="E1752">
        <v>2.8947639999999999</v>
      </c>
      <c r="F1752">
        <v>0.88700199999999996</v>
      </c>
    </row>
    <row r="1753" spans="1:6">
      <c r="A1753" s="11">
        <v>1750</v>
      </c>
      <c r="B1753">
        <v>0.50423399999999996</v>
      </c>
      <c r="C1753">
        <v>1.592104</v>
      </c>
      <c r="D1753">
        <v>0.90311399999999997</v>
      </c>
      <c r="E1753">
        <v>1.96715</v>
      </c>
      <c r="F1753">
        <v>2.5294509999999999</v>
      </c>
    </row>
    <row r="1754" spans="1:6">
      <c r="A1754" s="11">
        <v>1751</v>
      </c>
      <c r="B1754">
        <v>1.5731329999999999</v>
      </c>
      <c r="C1754">
        <v>1.3019810000000001</v>
      </c>
      <c r="D1754">
        <v>0.59067599999999998</v>
      </c>
      <c r="E1754">
        <v>0.61747600000000002</v>
      </c>
      <c r="F1754">
        <v>4.8513190000000002</v>
      </c>
    </row>
    <row r="1755" spans="1:6">
      <c r="A1755" s="11">
        <v>1752</v>
      </c>
      <c r="B1755">
        <v>1.1888289999999999</v>
      </c>
      <c r="C1755">
        <v>3.1892320000000001</v>
      </c>
      <c r="D1755">
        <v>1.0966750000000001</v>
      </c>
      <c r="E1755">
        <v>0.802813</v>
      </c>
      <c r="F1755">
        <v>5.9957190000000002</v>
      </c>
    </row>
    <row r="1756" spans="1:6">
      <c r="A1756" s="11">
        <v>1753</v>
      </c>
      <c r="B1756">
        <v>6.3880059999999999</v>
      </c>
      <c r="C1756">
        <v>0.405941</v>
      </c>
      <c r="D1756">
        <v>0.80835900000000005</v>
      </c>
      <c r="E1756">
        <v>1.629076</v>
      </c>
      <c r="F1756">
        <v>0.121461</v>
      </c>
    </row>
    <row r="1757" spans="1:6">
      <c r="A1757" s="11">
        <v>1754</v>
      </c>
      <c r="B1757">
        <v>8.9848660000000002</v>
      </c>
      <c r="C1757">
        <v>1.692849</v>
      </c>
      <c r="D1757">
        <v>1.5772090000000001</v>
      </c>
      <c r="E1757">
        <v>2.017182</v>
      </c>
      <c r="F1757">
        <v>0.86291799999999996</v>
      </c>
    </row>
    <row r="1758" spans="1:6">
      <c r="A1758" s="11">
        <v>1755</v>
      </c>
      <c r="B1758">
        <v>18.332094999999999</v>
      </c>
      <c r="C1758">
        <v>0.47984599999999999</v>
      </c>
      <c r="D1758">
        <v>0.27171499999999998</v>
      </c>
      <c r="E1758">
        <v>5.6552049999999996</v>
      </c>
      <c r="F1758">
        <v>1.5756110000000001</v>
      </c>
    </row>
    <row r="1759" spans="1:6">
      <c r="A1759" s="11">
        <v>1756</v>
      </c>
      <c r="B1759">
        <v>8.1359449999999995</v>
      </c>
      <c r="C1759">
        <v>0.22198799999999999</v>
      </c>
      <c r="D1759">
        <v>0.25031500000000001</v>
      </c>
      <c r="E1759">
        <v>1.0716540000000001</v>
      </c>
      <c r="F1759">
        <v>3.6080890000000001</v>
      </c>
    </row>
    <row r="1760" spans="1:6">
      <c r="A1760" s="11">
        <v>1757</v>
      </c>
      <c r="B1760">
        <v>2.8632569999999999</v>
      </c>
      <c r="C1760">
        <v>1.253295</v>
      </c>
      <c r="D1760">
        <v>5.2015979999999997</v>
      </c>
      <c r="E1760">
        <v>0.110153</v>
      </c>
      <c r="F1760">
        <v>2.0558160000000001</v>
      </c>
    </row>
    <row r="1761" spans="1:6">
      <c r="A1761" s="11">
        <v>1758</v>
      </c>
      <c r="B1761">
        <v>0.47726000000000002</v>
      </c>
      <c r="C1761">
        <v>1.413802</v>
      </c>
      <c r="D1761">
        <v>1.4315960000000001</v>
      </c>
      <c r="E1761">
        <v>5.113181</v>
      </c>
      <c r="F1761">
        <v>2.6976680000000002</v>
      </c>
    </row>
    <row r="1762" spans="1:6">
      <c r="A1762" s="11">
        <v>1759</v>
      </c>
      <c r="B1762">
        <v>0.762019</v>
      </c>
      <c r="C1762">
        <v>0.239814</v>
      </c>
      <c r="D1762">
        <v>0.32232</v>
      </c>
      <c r="E1762">
        <v>4.7988059999999999</v>
      </c>
      <c r="F1762">
        <v>0.39779799999999998</v>
      </c>
    </row>
    <row r="1763" spans="1:6">
      <c r="A1763" s="11">
        <v>1760</v>
      </c>
      <c r="B1763">
        <v>0.23718800000000001</v>
      </c>
      <c r="C1763">
        <v>0.92579599999999995</v>
      </c>
      <c r="D1763">
        <v>0.71902500000000003</v>
      </c>
      <c r="E1763">
        <v>2.4189120000000002</v>
      </c>
      <c r="F1763">
        <v>0.932508</v>
      </c>
    </row>
    <row r="1764" spans="1:6">
      <c r="A1764" s="11">
        <v>1761</v>
      </c>
      <c r="B1764">
        <v>0.89121300000000003</v>
      </c>
      <c r="C1764">
        <v>1.1101350000000001</v>
      </c>
      <c r="D1764">
        <v>0.24473700000000001</v>
      </c>
      <c r="E1764">
        <v>0.67110899999999996</v>
      </c>
      <c r="F1764">
        <v>0.103058</v>
      </c>
    </row>
    <row r="1765" spans="1:6">
      <c r="A1765" s="11">
        <v>1762</v>
      </c>
      <c r="B1765">
        <v>5.2885229999999996</v>
      </c>
      <c r="C1765">
        <v>0.84030000000000005</v>
      </c>
      <c r="D1765">
        <v>0.445409</v>
      </c>
      <c r="E1765">
        <v>3.6127989999999999</v>
      </c>
      <c r="F1765">
        <v>1.1333040000000001</v>
      </c>
    </row>
    <row r="1766" spans="1:6">
      <c r="A1766" s="11">
        <v>1763</v>
      </c>
      <c r="B1766">
        <v>1.0150619999999999</v>
      </c>
      <c r="C1766">
        <v>3.3785080000000001</v>
      </c>
      <c r="D1766">
        <v>1.134684</v>
      </c>
      <c r="E1766">
        <v>0.30942500000000001</v>
      </c>
      <c r="F1766">
        <v>2.7388140000000001</v>
      </c>
    </row>
    <row r="1767" spans="1:6">
      <c r="A1767" s="11">
        <v>1764</v>
      </c>
      <c r="B1767">
        <v>11.779246000000001</v>
      </c>
      <c r="C1767">
        <v>2.7855660000000002</v>
      </c>
      <c r="D1767">
        <v>0.76502599999999998</v>
      </c>
      <c r="E1767">
        <v>0.26616699999999999</v>
      </c>
      <c r="F1767">
        <v>2.3295590000000002</v>
      </c>
    </row>
    <row r="1768" spans="1:6">
      <c r="A1768" s="11">
        <v>1765</v>
      </c>
      <c r="B1768">
        <v>11.467454</v>
      </c>
      <c r="C1768">
        <v>0.43240699999999999</v>
      </c>
      <c r="D1768">
        <v>1.3673299999999999</v>
      </c>
      <c r="E1768">
        <v>3.693279</v>
      </c>
      <c r="F1768">
        <v>1.2772840000000001</v>
      </c>
    </row>
    <row r="1769" spans="1:6">
      <c r="A1769" s="11">
        <v>1766</v>
      </c>
      <c r="B1769">
        <v>0.31786300000000001</v>
      </c>
      <c r="C1769">
        <v>1.9149480000000001</v>
      </c>
      <c r="D1769">
        <v>0.38972899999999999</v>
      </c>
      <c r="E1769">
        <v>0.52929599999999999</v>
      </c>
      <c r="F1769">
        <v>2.0517970000000001</v>
      </c>
    </row>
    <row r="1770" spans="1:6">
      <c r="A1770" s="11">
        <v>1767</v>
      </c>
      <c r="B1770">
        <v>3.3473120000000001</v>
      </c>
      <c r="C1770">
        <v>0.49604799999999999</v>
      </c>
      <c r="D1770">
        <v>1.1133900000000001</v>
      </c>
      <c r="E1770">
        <v>0.30214099999999999</v>
      </c>
      <c r="F1770">
        <v>3.8561960000000002</v>
      </c>
    </row>
    <row r="1771" spans="1:6">
      <c r="A1771" s="11">
        <v>1768</v>
      </c>
      <c r="B1771">
        <v>0.36272799999999999</v>
      </c>
      <c r="C1771">
        <v>1.9938610000000001</v>
      </c>
      <c r="D1771">
        <v>0.84237499999999998</v>
      </c>
      <c r="E1771">
        <v>0.100517</v>
      </c>
      <c r="F1771">
        <v>0.68783300000000003</v>
      </c>
    </row>
    <row r="1772" spans="1:6">
      <c r="A1772" s="11">
        <v>1769</v>
      </c>
      <c r="B1772">
        <v>1.9432510000000001</v>
      </c>
      <c r="C1772">
        <v>0.386519</v>
      </c>
      <c r="D1772">
        <v>6.0338000000000003E-2</v>
      </c>
      <c r="E1772">
        <v>1.7992410000000001</v>
      </c>
      <c r="F1772">
        <v>5.8020069999999997</v>
      </c>
    </row>
    <row r="1773" spans="1:6">
      <c r="A1773" s="11">
        <v>1770</v>
      </c>
      <c r="B1773">
        <v>7.3928979999999997</v>
      </c>
      <c r="C1773">
        <v>0.44978899999999999</v>
      </c>
      <c r="D1773">
        <v>0.94426699999999997</v>
      </c>
      <c r="E1773">
        <v>2.6479550000000001</v>
      </c>
      <c r="F1773">
        <v>0.60019900000000004</v>
      </c>
    </row>
    <row r="1774" spans="1:6">
      <c r="A1774" s="11">
        <v>1771</v>
      </c>
      <c r="B1774">
        <v>2.53694</v>
      </c>
      <c r="C1774">
        <v>1.0884180000000001</v>
      </c>
      <c r="D1774">
        <v>0.82333000000000001</v>
      </c>
      <c r="E1774">
        <v>0.10193000000000001</v>
      </c>
      <c r="F1774">
        <v>3.0507469999999999</v>
      </c>
    </row>
    <row r="1775" spans="1:6">
      <c r="A1775" s="11">
        <v>1772</v>
      </c>
      <c r="B1775">
        <v>0.70577900000000005</v>
      </c>
      <c r="C1775">
        <v>0.22454199999999999</v>
      </c>
      <c r="D1775">
        <v>8.23095</v>
      </c>
      <c r="E1775">
        <v>1.9183079999999999</v>
      </c>
      <c r="F1775">
        <v>0.200909</v>
      </c>
    </row>
    <row r="1776" spans="1:6">
      <c r="A1776" s="11">
        <v>1773</v>
      </c>
      <c r="B1776">
        <v>1.1136539999999999</v>
      </c>
      <c r="C1776">
        <v>3.878091</v>
      </c>
      <c r="D1776">
        <v>0.73656600000000005</v>
      </c>
      <c r="E1776">
        <v>0.42710900000000002</v>
      </c>
      <c r="F1776">
        <v>1.5324009999999999</v>
      </c>
    </row>
    <row r="1777" spans="1:6">
      <c r="A1777" s="11">
        <v>1774</v>
      </c>
      <c r="B1777">
        <v>1.2416290000000001</v>
      </c>
      <c r="C1777">
        <v>0.97542300000000004</v>
      </c>
      <c r="D1777">
        <v>0.34581899999999999</v>
      </c>
      <c r="E1777">
        <v>0.67357100000000003</v>
      </c>
      <c r="F1777">
        <v>1.0111540000000001</v>
      </c>
    </row>
    <row r="1778" spans="1:6">
      <c r="A1778" s="11">
        <v>1775</v>
      </c>
      <c r="B1778">
        <v>4.070945</v>
      </c>
      <c r="C1778">
        <v>2.1336219999999999</v>
      </c>
      <c r="D1778">
        <v>5.1451409999999997</v>
      </c>
      <c r="E1778">
        <v>1.336846</v>
      </c>
      <c r="F1778">
        <v>1.3434969999999999</v>
      </c>
    </row>
    <row r="1779" spans="1:6">
      <c r="A1779" s="11">
        <v>1776</v>
      </c>
      <c r="B1779">
        <v>0.48032599999999998</v>
      </c>
      <c r="C1779">
        <v>0.92161000000000004</v>
      </c>
      <c r="D1779">
        <v>1.416825</v>
      </c>
      <c r="E1779">
        <v>3.094878</v>
      </c>
      <c r="F1779">
        <v>1.515158</v>
      </c>
    </row>
    <row r="1780" spans="1:6">
      <c r="A1780" s="11">
        <v>1777</v>
      </c>
      <c r="B1780">
        <v>0.70369800000000005</v>
      </c>
      <c r="C1780">
        <v>0.50118200000000002</v>
      </c>
      <c r="D1780">
        <v>6.0195930000000004</v>
      </c>
      <c r="E1780">
        <v>1.0180210000000001</v>
      </c>
      <c r="F1780">
        <v>2.41873</v>
      </c>
    </row>
    <row r="1781" spans="1:6">
      <c r="A1781" s="11">
        <v>1778</v>
      </c>
      <c r="B1781">
        <v>0.48603000000000002</v>
      </c>
      <c r="C1781">
        <v>1.6934499999999999</v>
      </c>
      <c r="D1781">
        <v>0.94442800000000005</v>
      </c>
      <c r="E1781">
        <v>4.3582080000000003</v>
      </c>
      <c r="F1781">
        <v>1.139783</v>
      </c>
    </row>
    <row r="1782" spans="1:6">
      <c r="A1782" s="11">
        <v>1779</v>
      </c>
      <c r="B1782">
        <v>2.566954</v>
      </c>
      <c r="C1782">
        <v>2.350482</v>
      </c>
      <c r="D1782">
        <v>0.58928700000000001</v>
      </c>
      <c r="E1782">
        <v>1.279501</v>
      </c>
      <c r="F1782">
        <v>0.215863</v>
      </c>
    </row>
    <row r="1783" spans="1:6">
      <c r="A1783" s="11">
        <v>1780</v>
      </c>
      <c r="B1783">
        <v>0.39885900000000002</v>
      </c>
      <c r="C1783">
        <v>1.6226659999999999</v>
      </c>
      <c r="D1783">
        <v>0.77152399999999999</v>
      </c>
      <c r="E1783">
        <v>0.34936699999999998</v>
      </c>
      <c r="F1783">
        <v>1.7771950000000001</v>
      </c>
    </row>
    <row r="1784" spans="1:6">
      <c r="A1784" s="11">
        <v>1781</v>
      </c>
      <c r="B1784">
        <v>0.81078300000000003</v>
      </c>
      <c r="C1784">
        <v>3.2768350000000002</v>
      </c>
      <c r="D1784">
        <v>1.9290259999999999</v>
      </c>
      <c r="E1784">
        <v>0.288439</v>
      </c>
      <c r="F1784">
        <v>0.57888099999999998</v>
      </c>
    </row>
    <row r="1785" spans="1:6">
      <c r="A1785" s="11">
        <v>1782</v>
      </c>
      <c r="B1785">
        <v>2.5386760000000002</v>
      </c>
      <c r="C1785">
        <v>1.604112</v>
      </c>
      <c r="D1785">
        <v>1.0880890000000001</v>
      </c>
      <c r="E1785">
        <v>0.187974</v>
      </c>
      <c r="F1785">
        <v>1.551796</v>
      </c>
    </row>
    <row r="1786" spans="1:6">
      <c r="A1786" s="11">
        <v>1783</v>
      </c>
      <c r="B1786">
        <v>1.870333</v>
      </c>
      <c r="C1786">
        <v>0.65918900000000002</v>
      </c>
      <c r="D1786">
        <v>3.9192849999999999</v>
      </c>
      <c r="E1786">
        <v>1.528694</v>
      </c>
      <c r="F1786">
        <v>0.96296599999999999</v>
      </c>
    </row>
    <row r="1787" spans="1:6">
      <c r="A1787" s="11">
        <v>1784</v>
      </c>
      <c r="B1787">
        <v>1.168323</v>
      </c>
      <c r="C1787">
        <v>0.90088000000000001</v>
      </c>
      <c r="D1787">
        <v>1.9553050000000001</v>
      </c>
      <c r="E1787">
        <v>0.19622999999999999</v>
      </c>
      <c r="F1787">
        <v>0.37389600000000001</v>
      </c>
    </row>
    <row r="1788" spans="1:6">
      <c r="A1788" s="11">
        <v>1785</v>
      </c>
      <c r="B1788">
        <v>0.76680400000000004</v>
      </c>
      <c r="C1788">
        <v>0.40798800000000002</v>
      </c>
      <c r="D1788">
        <v>0.34852499999999997</v>
      </c>
      <c r="E1788">
        <v>2.1284269999999998</v>
      </c>
      <c r="F1788">
        <v>0.99378200000000005</v>
      </c>
    </row>
    <row r="1789" spans="1:6">
      <c r="A1789" s="11">
        <v>1786</v>
      </c>
      <c r="B1789">
        <v>2.4379339999999998</v>
      </c>
      <c r="C1789">
        <v>0.49356</v>
      </c>
      <c r="D1789">
        <v>0.69476400000000005</v>
      </c>
      <c r="E1789">
        <v>0.48252899999999999</v>
      </c>
      <c r="F1789">
        <v>1.8505</v>
      </c>
    </row>
    <row r="1790" spans="1:6">
      <c r="A1790" s="11">
        <v>1787</v>
      </c>
      <c r="B1790">
        <v>0.79578199999999999</v>
      </c>
      <c r="C1790">
        <v>1.769603</v>
      </c>
      <c r="D1790">
        <v>1.1399349999999999</v>
      </c>
      <c r="E1790">
        <v>0.57804599999999995</v>
      </c>
      <c r="F1790">
        <v>8.3573780000000006</v>
      </c>
    </row>
    <row r="1791" spans="1:6">
      <c r="A1791" s="11">
        <v>1788</v>
      </c>
      <c r="B1791">
        <v>0.47087699999999999</v>
      </c>
      <c r="C1791">
        <v>0.28674699999999997</v>
      </c>
      <c r="D1791">
        <v>0.36176199999999997</v>
      </c>
      <c r="E1791">
        <v>4.7605310000000003</v>
      </c>
      <c r="F1791">
        <v>2.3481809999999999</v>
      </c>
    </row>
    <row r="1792" spans="1:6">
      <c r="A1792" s="11">
        <v>1789</v>
      </c>
      <c r="B1792">
        <v>2.644647</v>
      </c>
      <c r="C1792">
        <v>2.990761</v>
      </c>
      <c r="D1792">
        <v>2.271461</v>
      </c>
      <c r="E1792">
        <v>0.28954000000000002</v>
      </c>
      <c r="F1792">
        <v>1.884584</v>
      </c>
    </row>
    <row r="1793" spans="1:6">
      <c r="A1793" s="11">
        <v>1790</v>
      </c>
      <c r="B1793">
        <v>2.3850159999999998</v>
      </c>
      <c r="C1793">
        <v>1.826184</v>
      </c>
      <c r="D1793">
        <v>3.6954280000000002</v>
      </c>
      <c r="E1793">
        <v>1.612169</v>
      </c>
      <c r="F1793">
        <v>1.2240180000000001</v>
      </c>
    </row>
    <row r="1794" spans="1:6">
      <c r="A1794" s="11">
        <v>1791</v>
      </c>
      <c r="B1794">
        <v>2.7607110000000001</v>
      </c>
      <c r="C1794">
        <v>4.7620240000000003</v>
      </c>
      <c r="D1794">
        <v>2.5327670000000002</v>
      </c>
      <c r="E1794">
        <v>0.22988600000000001</v>
      </c>
      <c r="F1794">
        <v>2.3875600000000001</v>
      </c>
    </row>
    <row r="1795" spans="1:6">
      <c r="A1795" s="11">
        <v>1792</v>
      </c>
      <c r="B1795">
        <v>0.93225199999999997</v>
      </c>
      <c r="C1795">
        <v>1.1346579999999999</v>
      </c>
      <c r="D1795">
        <v>1.4127780000000001</v>
      </c>
      <c r="E1795">
        <v>2.3104089999999999</v>
      </c>
      <c r="F1795">
        <v>1.4687399999999999</v>
      </c>
    </row>
    <row r="1796" spans="1:6">
      <c r="A1796" s="11">
        <v>1793</v>
      </c>
      <c r="B1796">
        <v>1.5077970000000001</v>
      </c>
      <c r="C1796">
        <v>3.0352109999999999</v>
      </c>
      <c r="D1796">
        <v>2.892614</v>
      </c>
      <c r="E1796">
        <v>0.14136799999999999</v>
      </c>
      <c r="F1796">
        <v>0.87029000000000001</v>
      </c>
    </row>
    <row r="1797" spans="1:6">
      <c r="A1797" s="11">
        <v>1794</v>
      </c>
      <c r="B1797">
        <v>0.79257200000000005</v>
      </c>
      <c r="C1797">
        <v>1.3919280000000001</v>
      </c>
      <c r="D1797">
        <v>1.2643500000000001</v>
      </c>
      <c r="E1797">
        <v>1.6965790000000001</v>
      </c>
      <c r="F1797">
        <v>0.206647</v>
      </c>
    </row>
    <row r="1798" spans="1:6">
      <c r="A1798" s="11">
        <v>1795</v>
      </c>
      <c r="B1798">
        <v>1.1952689999999999</v>
      </c>
      <c r="C1798">
        <v>0.85297000000000001</v>
      </c>
      <c r="D1798">
        <v>1.8898969999999999</v>
      </c>
      <c r="E1798">
        <v>9.2360430000000004</v>
      </c>
      <c r="F1798">
        <v>1.246496</v>
      </c>
    </row>
    <row r="1799" spans="1:6">
      <c r="A1799" s="11">
        <v>1796</v>
      </c>
      <c r="B1799">
        <v>0.32983299999999999</v>
      </c>
      <c r="C1799">
        <v>1.6165639999999999</v>
      </c>
      <c r="D1799">
        <v>0.169985</v>
      </c>
      <c r="E1799">
        <v>0.92635800000000001</v>
      </c>
      <c r="F1799">
        <v>2.3090449999999998</v>
      </c>
    </row>
    <row r="1800" spans="1:6">
      <c r="A1800" s="11">
        <v>1797</v>
      </c>
      <c r="B1800">
        <v>0.78583499999999995</v>
      </c>
      <c r="C1800">
        <v>2.6359309999999998</v>
      </c>
      <c r="D1800">
        <v>0.88328899999999999</v>
      </c>
      <c r="E1800">
        <v>0.97686700000000004</v>
      </c>
      <c r="F1800">
        <v>0.84990500000000002</v>
      </c>
    </row>
    <row r="1801" spans="1:6">
      <c r="A1801" s="11">
        <v>1798</v>
      </c>
      <c r="B1801">
        <v>2.2835930000000002</v>
      </c>
      <c r="C1801">
        <v>0.47279199999999999</v>
      </c>
      <c r="D1801">
        <v>0.186142</v>
      </c>
      <c r="E1801">
        <v>8.4740800000000007</v>
      </c>
      <c r="F1801">
        <v>2.409243</v>
      </c>
    </row>
    <row r="1802" spans="1:6">
      <c r="A1802" s="11">
        <v>1799</v>
      </c>
      <c r="B1802">
        <v>1.625189</v>
      </c>
      <c r="C1802">
        <v>0.34585199999999999</v>
      </c>
      <c r="D1802">
        <v>2.9140700000000002</v>
      </c>
      <c r="E1802">
        <v>0.78222199999999997</v>
      </c>
      <c r="F1802">
        <v>0.75015799999999999</v>
      </c>
    </row>
    <row r="1803" spans="1:6">
      <c r="A1803" s="11">
        <v>1800</v>
      </c>
      <c r="B1803">
        <v>0.358209</v>
      </c>
      <c r="C1803">
        <v>0.94055</v>
      </c>
      <c r="D1803">
        <v>6.6994999999999996</v>
      </c>
      <c r="E1803">
        <v>1.6626510000000001</v>
      </c>
      <c r="F1803">
        <v>1.9006829999999999</v>
      </c>
    </row>
    <row r="1804" spans="1:6">
      <c r="A1804" s="11">
        <v>1801</v>
      </c>
      <c r="B1804">
        <v>0.261461</v>
      </c>
      <c r="C1804">
        <v>0.65150600000000003</v>
      </c>
      <c r="D1804">
        <v>0.36022999999999999</v>
      </c>
      <c r="E1804">
        <v>3.2936160000000001</v>
      </c>
      <c r="F1804">
        <v>0.58679499999999996</v>
      </c>
    </row>
    <row r="1805" spans="1:6">
      <c r="A1805" s="11">
        <v>1802</v>
      </c>
      <c r="B1805">
        <v>1.8589690000000001</v>
      </c>
      <c r="C1805">
        <v>2.925532</v>
      </c>
      <c r="D1805">
        <v>0.59124399999999999</v>
      </c>
      <c r="E1805">
        <v>0.54278999999999999</v>
      </c>
      <c r="F1805">
        <v>0.39490599999999998</v>
      </c>
    </row>
    <row r="1806" spans="1:6">
      <c r="A1806" s="11">
        <v>1803</v>
      </c>
      <c r="B1806">
        <v>9.1065999999999994E-2</v>
      </c>
      <c r="C1806">
        <v>1.0095419999999999</v>
      </c>
      <c r="D1806">
        <v>1.038789</v>
      </c>
      <c r="E1806">
        <v>2.7890570000000001</v>
      </c>
      <c r="F1806">
        <v>0.23067199999999999</v>
      </c>
    </row>
    <row r="1807" spans="1:6">
      <c r="A1807" s="11">
        <v>1804</v>
      </c>
      <c r="B1807">
        <v>2.2065939999999999</v>
      </c>
      <c r="C1807">
        <v>2.0225460000000002</v>
      </c>
      <c r="D1807">
        <v>2.886876</v>
      </c>
      <c r="E1807">
        <v>1.23316</v>
      </c>
      <c r="F1807">
        <v>1.4765410000000001</v>
      </c>
    </row>
    <row r="1808" spans="1:6">
      <c r="A1808" s="11">
        <v>1805</v>
      </c>
      <c r="B1808">
        <v>0.81353799999999998</v>
      </c>
      <c r="C1808">
        <v>0.65010900000000005</v>
      </c>
      <c r="D1808">
        <v>0.99599899999999997</v>
      </c>
      <c r="E1808">
        <v>1.4827360000000001</v>
      </c>
      <c r="F1808">
        <v>0.32304100000000002</v>
      </c>
    </row>
    <row r="1809" spans="1:6">
      <c r="A1809" s="11">
        <v>1806</v>
      </c>
      <c r="B1809">
        <v>2.8867449999999999</v>
      </c>
      <c r="C1809">
        <v>0.71687999999999996</v>
      </c>
      <c r="D1809">
        <v>2.3758379999999999</v>
      </c>
      <c r="E1809">
        <v>2.0505599999999999</v>
      </c>
      <c r="F1809">
        <v>1.1923569999999999</v>
      </c>
    </row>
    <row r="1810" spans="1:6">
      <c r="A1810" s="11">
        <v>1807</v>
      </c>
      <c r="B1810">
        <v>0.72797699999999999</v>
      </c>
      <c r="C1810">
        <v>0.96709299999999998</v>
      </c>
      <c r="D1810">
        <v>0.76702300000000001</v>
      </c>
      <c r="E1810">
        <v>2.5445869999999999</v>
      </c>
      <c r="F1810">
        <v>0.96185399999999999</v>
      </c>
    </row>
    <row r="1811" spans="1:6">
      <c r="A1811" s="11">
        <v>1808</v>
      </c>
      <c r="B1811">
        <v>0.556203</v>
      </c>
      <c r="C1811">
        <v>0.30338999999999999</v>
      </c>
      <c r="D1811">
        <v>3.6433E-2</v>
      </c>
      <c r="E1811">
        <v>1.0241100000000001</v>
      </c>
      <c r="F1811">
        <v>1.0177959999999999</v>
      </c>
    </row>
    <row r="1812" spans="1:6">
      <c r="A1812" s="11">
        <v>1809</v>
      </c>
      <c r="B1812">
        <v>1.097823</v>
      </c>
      <c r="C1812">
        <v>2.289596</v>
      </c>
      <c r="D1812">
        <v>0.43071900000000002</v>
      </c>
      <c r="E1812">
        <v>0.75950899999999999</v>
      </c>
      <c r="F1812">
        <v>1.643324</v>
      </c>
    </row>
    <row r="1813" spans="1:6">
      <c r="A1813" s="11">
        <v>1810</v>
      </c>
      <c r="B1813">
        <v>4.1145930000000002</v>
      </c>
      <c r="C1813">
        <v>1.2890090000000001</v>
      </c>
      <c r="D1813">
        <v>7.4174000000000004E-2</v>
      </c>
      <c r="E1813">
        <v>1.456887</v>
      </c>
      <c r="F1813">
        <v>0.58474700000000002</v>
      </c>
    </row>
    <row r="1814" spans="1:6">
      <c r="A1814" s="11">
        <v>1811</v>
      </c>
      <c r="B1814">
        <v>3.5962269999999998</v>
      </c>
      <c r="C1814">
        <v>2.082147</v>
      </c>
      <c r="D1814">
        <v>12.879663000000001</v>
      </c>
      <c r="E1814">
        <v>1.4130640000000001</v>
      </c>
      <c r="F1814">
        <v>0.54137000000000002</v>
      </c>
    </row>
    <row r="1815" spans="1:6">
      <c r="A1815" s="11">
        <v>1812</v>
      </c>
      <c r="B1815">
        <v>0.54360600000000003</v>
      </c>
      <c r="C1815">
        <v>0.70882900000000004</v>
      </c>
      <c r="D1815">
        <v>0.56222799999999995</v>
      </c>
      <c r="E1815">
        <v>21.540344999999999</v>
      </c>
      <c r="F1815">
        <v>6.2796000000000005E-2</v>
      </c>
    </row>
    <row r="1816" spans="1:6">
      <c r="A1816" s="11">
        <v>1813</v>
      </c>
      <c r="B1816">
        <v>6.0870490000000004</v>
      </c>
      <c r="C1816">
        <v>8.021801</v>
      </c>
      <c r="D1816">
        <v>2.3762089999999998</v>
      </c>
      <c r="E1816">
        <v>1.243142</v>
      </c>
      <c r="F1816">
        <v>2.4302839999999999</v>
      </c>
    </row>
    <row r="1817" spans="1:6">
      <c r="A1817" s="11">
        <v>1814</v>
      </c>
      <c r="B1817">
        <v>0.91568700000000003</v>
      </c>
      <c r="C1817">
        <v>8.0721109999999996</v>
      </c>
      <c r="D1817">
        <v>4.7142569999999999</v>
      </c>
      <c r="E1817">
        <v>3.364582</v>
      </c>
      <c r="F1817">
        <v>1.2559670000000001</v>
      </c>
    </row>
    <row r="1818" spans="1:6">
      <c r="A1818" s="11">
        <v>1815</v>
      </c>
      <c r="B1818">
        <v>0.56232599999999999</v>
      </c>
      <c r="C1818">
        <v>1.440793</v>
      </c>
      <c r="D1818">
        <v>1.5896870000000001</v>
      </c>
      <c r="E1818">
        <v>1.9540010000000001</v>
      </c>
      <c r="F1818">
        <v>0.585314</v>
      </c>
    </row>
    <row r="1819" spans="1:6">
      <c r="A1819" s="11">
        <v>1816</v>
      </c>
      <c r="B1819">
        <v>0.49903999999999998</v>
      </c>
      <c r="C1819">
        <v>4.7387940000000004</v>
      </c>
      <c r="D1819">
        <v>0.34292699999999998</v>
      </c>
      <c r="E1819">
        <v>2.0624410000000002</v>
      </c>
      <c r="F1819">
        <v>0.33759</v>
      </c>
    </row>
    <row r="1820" spans="1:6">
      <c r="A1820" s="11">
        <v>1817</v>
      </c>
      <c r="B1820">
        <v>0.49222500000000002</v>
      </c>
      <c r="C1820">
        <v>0.35204400000000002</v>
      </c>
      <c r="D1820">
        <v>1.220118</v>
      </c>
      <c r="E1820">
        <v>2.8994170000000001</v>
      </c>
      <c r="F1820">
        <v>0.48570400000000002</v>
      </c>
    </row>
    <row r="1821" spans="1:6">
      <c r="A1821" s="11">
        <v>1818</v>
      </c>
      <c r="B1821">
        <v>2.6172930000000001</v>
      </c>
      <c r="C1821">
        <v>3.7163240000000002</v>
      </c>
      <c r="D1821">
        <v>0.24527299999999999</v>
      </c>
      <c r="E1821">
        <v>23.959911000000002</v>
      </c>
      <c r="F1821">
        <v>0.56382500000000002</v>
      </c>
    </row>
    <row r="1822" spans="1:6">
      <c r="A1822" s="11">
        <v>1819</v>
      </c>
      <c r="B1822">
        <v>1.4835529999999999</v>
      </c>
      <c r="C1822">
        <v>5.324446</v>
      </c>
      <c r="D1822">
        <v>0.90260700000000005</v>
      </c>
      <c r="E1822">
        <v>0.549871</v>
      </c>
      <c r="F1822">
        <v>3.8688669999999998</v>
      </c>
    </row>
    <row r="1823" spans="1:6">
      <c r="A1823" s="11">
        <v>1820</v>
      </c>
      <c r="B1823">
        <v>25.4604</v>
      </c>
      <c r="C1823">
        <v>0.86941599999999997</v>
      </c>
      <c r="D1823">
        <v>0.22667999999999999</v>
      </c>
      <c r="E1823">
        <v>1.1238509999999999</v>
      </c>
      <c r="F1823">
        <v>0.63410699999999998</v>
      </c>
    </row>
    <row r="1824" spans="1:6">
      <c r="A1824" s="11">
        <v>1821</v>
      </c>
      <c r="B1824">
        <v>0.84788399999999997</v>
      </c>
      <c r="C1824">
        <v>1.227039</v>
      </c>
      <c r="D1824">
        <v>1.2621899999999999</v>
      </c>
      <c r="E1824">
        <v>2.86463</v>
      </c>
      <c r="F1824">
        <v>0.13019900000000001</v>
      </c>
    </row>
    <row r="1825" spans="1:6">
      <c r="A1825" s="11">
        <v>1822</v>
      </c>
      <c r="B1825">
        <v>0.46628500000000001</v>
      </c>
      <c r="C1825">
        <v>4.5556299999999998</v>
      </c>
      <c r="D1825">
        <v>5.7415000000000001E-2</v>
      </c>
      <c r="E1825">
        <v>0.32935799999999998</v>
      </c>
      <c r="F1825">
        <v>0.22492799999999999</v>
      </c>
    </row>
    <row r="1826" spans="1:6">
      <c r="A1826" s="11">
        <v>1823</v>
      </c>
      <c r="B1826">
        <v>0.261486</v>
      </c>
      <c r="C1826">
        <v>0.24698999999999999</v>
      </c>
      <c r="D1826">
        <v>0.96643699999999999</v>
      </c>
      <c r="E1826">
        <v>0.42597299999999999</v>
      </c>
      <c r="F1826">
        <v>0.86529599999999995</v>
      </c>
    </row>
    <row r="1827" spans="1:6">
      <c r="A1827" s="11">
        <v>1824</v>
      </c>
      <c r="B1827">
        <v>2.6995900000000002</v>
      </c>
      <c r="C1827">
        <v>0.54061800000000004</v>
      </c>
      <c r="D1827">
        <v>2.5980110000000001</v>
      </c>
      <c r="E1827">
        <v>1.0490619999999999</v>
      </c>
      <c r="F1827">
        <v>11.316815999999999</v>
      </c>
    </row>
    <row r="1828" spans="1:6">
      <c r="A1828" s="11">
        <v>1825</v>
      </c>
      <c r="B1828">
        <v>8.7620000000000003E-2</v>
      </c>
      <c r="C1828">
        <v>0.57974000000000003</v>
      </c>
      <c r="D1828">
        <v>0.16144700000000001</v>
      </c>
      <c r="E1828">
        <v>4.1669219999999996</v>
      </c>
      <c r="F1828">
        <v>0.384571</v>
      </c>
    </row>
    <row r="1829" spans="1:6">
      <c r="A1829" s="11">
        <v>1826</v>
      </c>
      <c r="B1829">
        <v>0.31359300000000001</v>
      </c>
      <c r="C1829">
        <v>0.54705899999999996</v>
      </c>
      <c r="D1829">
        <v>0.86280400000000002</v>
      </c>
      <c r="E1829">
        <v>0.52446099999999996</v>
      </c>
      <c r="F1829">
        <v>0.380577</v>
      </c>
    </row>
    <row r="1830" spans="1:6">
      <c r="A1830" s="11">
        <v>1827</v>
      </c>
      <c r="B1830">
        <v>0.26285999999999998</v>
      </c>
      <c r="C1830">
        <v>5.3710199999999997</v>
      </c>
      <c r="D1830">
        <v>0.91088000000000002</v>
      </c>
      <c r="E1830">
        <v>1.009031</v>
      </c>
      <c r="F1830">
        <v>4.2714819999999998</v>
      </c>
    </row>
    <row r="1831" spans="1:6">
      <c r="A1831" s="11">
        <v>1828</v>
      </c>
      <c r="B1831">
        <v>0.98764300000000005</v>
      </c>
      <c r="C1831">
        <v>0.34984300000000002</v>
      </c>
      <c r="D1831">
        <v>9.5313739999999996</v>
      </c>
      <c r="E1831">
        <v>2.4869300000000001</v>
      </c>
      <c r="F1831">
        <v>1.222907</v>
      </c>
    </row>
    <row r="1832" spans="1:6">
      <c r="A1832" s="11">
        <v>1829</v>
      </c>
      <c r="B1832">
        <v>2.328532</v>
      </c>
      <c r="C1832">
        <v>0.177756</v>
      </c>
      <c r="D1832">
        <v>1.5484279999999999</v>
      </c>
      <c r="E1832">
        <v>1.0822560000000001</v>
      </c>
      <c r="F1832">
        <v>3.2016200000000001</v>
      </c>
    </row>
    <row r="1833" spans="1:6">
      <c r="A1833" s="11">
        <v>1830</v>
      </c>
      <c r="B1833">
        <v>1.14473</v>
      </c>
      <c r="C1833">
        <v>4.9697610000000001</v>
      </c>
      <c r="D1833">
        <v>0.88144</v>
      </c>
      <c r="E1833">
        <v>0.73180100000000003</v>
      </c>
      <c r="F1833">
        <v>0.36596099999999998</v>
      </c>
    </row>
    <row r="1834" spans="1:6">
      <c r="A1834" s="11">
        <v>1831</v>
      </c>
      <c r="B1834">
        <v>1.594328</v>
      </c>
      <c r="C1834">
        <v>0.42423899999999998</v>
      </c>
      <c r="D1834">
        <v>0.42627900000000002</v>
      </c>
      <c r="E1834">
        <v>0.20208300000000001</v>
      </c>
      <c r="F1834">
        <v>1.291447</v>
      </c>
    </row>
    <row r="1835" spans="1:6">
      <c r="A1835" s="11">
        <v>1832</v>
      </c>
      <c r="B1835">
        <v>0.94152800000000003</v>
      </c>
      <c r="C1835">
        <v>0.108137</v>
      </c>
      <c r="D1835">
        <v>2.9524159999999999</v>
      </c>
      <c r="E1835">
        <v>2.8870640000000001</v>
      </c>
      <c r="F1835">
        <v>2.2525460000000002</v>
      </c>
    </row>
    <row r="1836" spans="1:6">
      <c r="A1836" s="11">
        <v>1833</v>
      </c>
      <c r="B1836">
        <v>1.4515629999999999</v>
      </c>
      <c r="C1836">
        <v>1.3708849999999999</v>
      </c>
      <c r="D1836">
        <v>2.5167869999999999</v>
      </c>
      <c r="E1836">
        <v>2.216952</v>
      </c>
      <c r="F1836">
        <v>1.586517</v>
      </c>
    </row>
    <row r="1837" spans="1:6">
      <c r="A1837" s="11">
        <v>1834</v>
      </c>
      <c r="B1837">
        <v>1.6701969999999999</v>
      </c>
      <c r="C1837">
        <v>2.263004</v>
      </c>
      <c r="D1837">
        <v>2.110182</v>
      </c>
      <c r="E1837">
        <v>0.23180999999999999</v>
      </c>
      <c r="F1837">
        <v>1.755549</v>
      </c>
    </row>
    <row r="1838" spans="1:6">
      <c r="A1838" s="11">
        <v>1835</v>
      </c>
      <c r="B1838">
        <v>0.57320400000000005</v>
      </c>
      <c r="C1838">
        <v>1.9655050000000001</v>
      </c>
      <c r="D1838">
        <v>0.81409100000000001</v>
      </c>
      <c r="E1838">
        <v>3.7311359999999998</v>
      </c>
      <c r="F1838">
        <v>0.11183800000000001</v>
      </c>
    </row>
    <row r="1839" spans="1:6">
      <c r="A1839" s="11">
        <v>1836</v>
      </c>
      <c r="B1839">
        <v>1.4579230000000001</v>
      </c>
      <c r="C1839">
        <v>2.465182</v>
      </c>
      <c r="D1839">
        <v>0.40081</v>
      </c>
      <c r="E1839">
        <v>0.85814999999999997</v>
      </c>
      <c r="F1839">
        <v>0.643652</v>
      </c>
    </row>
    <row r="1840" spans="1:6">
      <c r="A1840" s="11">
        <v>1837</v>
      </c>
      <c r="B1840">
        <v>0.44532500000000003</v>
      </c>
      <c r="C1840">
        <v>0.80025900000000005</v>
      </c>
      <c r="D1840">
        <v>1.1705399999999999</v>
      </c>
      <c r="E1840">
        <v>6.1126560000000003</v>
      </c>
      <c r="F1840">
        <v>2.8794369999999998</v>
      </c>
    </row>
    <row r="1841" spans="1:6">
      <c r="A1841" s="11">
        <v>1838</v>
      </c>
      <c r="B1841">
        <v>9.9728999999999998E-2</v>
      </c>
      <c r="C1841">
        <v>0.31759399999999999</v>
      </c>
      <c r="D1841">
        <v>4.9913429999999996</v>
      </c>
      <c r="E1841">
        <v>13.179963000000001</v>
      </c>
      <c r="F1841">
        <v>2.1901809999999999</v>
      </c>
    </row>
    <row r="1842" spans="1:6">
      <c r="A1842" s="11">
        <v>1839</v>
      </c>
      <c r="B1842">
        <v>2.5050140000000001</v>
      </c>
      <c r="C1842">
        <v>0.50239599999999995</v>
      </c>
      <c r="D1842">
        <v>7.0886420000000001</v>
      </c>
      <c r="E1842">
        <v>4.7020819999999999</v>
      </c>
      <c r="F1842">
        <v>0.86801200000000001</v>
      </c>
    </row>
    <row r="1843" spans="1:6">
      <c r="A1843" s="11">
        <v>1840</v>
      </c>
      <c r="B1843">
        <v>0.48490800000000001</v>
      </c>
      <c r="C1843">
        <v>0.71839799999999998</v>
      </c>
      <c r="D1843">
        <v>0.85245199999999999</v>
      </c>
      <c r="E1843">
        <v>6.6185590000000003</v>
      </c>
      <c r="F1843">
        <v>0.124183</v>
      </c>
    </row>
    <row r="1844" spans="1:6">
      <c r="A1844" s="11">
        <v>1841</v>
      </c>
      <c r="B1844">
        <v>0.186971</v>
      </c>
      <c r="C1844">
        <v>0.617394</v>
      </c>
      <c r="D1844">
        <v>5.4532920000000003</v>
      </c>
      <c r="E1844">
        <v>0.47863099999999997</v>
      </c>
      <c r="F1844">
        <v>6.3406719999999996</v>
      </c>
    </row>
    <row r="1845" spans="1:6">
      <c r="A1845" s="11">
        <v>1842</v>
      </c>
      <c r="B1845">
        <v>1.6044879999999999</v>
      </c>
      <c r="C1845">
        <v>2.3253330000000001</v>
      </c>
      <c r="D1845">
        <v>0.35606199999999999</v>
      </c>
      <c r="E1845">
        <v>0.44694299999999998</v>
      </c>
      <c r="F1845">
        <v>3.4454880000000001</v>
      </c>
    </row>
    <row r="1846" spans="1:6">
      <c r="A1846" s="11">
        <v>1843</v>
      </c>
      <c r="B1846">
        <v>6.6685980000000002</v>
      </c>
      <c r="C1846">
        <v>1.526543</v>
      </c>
      <c r="D1846">
        <v>0.57304900000000003</v>
      </c>
      <c r="E1846">
        <v>0.94786199999999998</v>
      </c>
      <c r="F1846">
        <v>2.8262890000000001</v>
      </c>
    </row>
    <row r="1847" spans="1:6">
      <c r="A1847" s="11">
        <v>1844</v>
      </c>
      <c r="B1847">
        <v>2.1918229999999999</v>
      </c>
      <c r="C1847">
        <v>0.14002700000000001</v>
      </c>
      <c r="D1847">
        <v>0.40969</v>
      </c>
      <c r="E1847">
        <v>0.80398899999999995</v>
      </c>
      <c r="F1847">
        <v>2.4445570000000001</v>
      </c>
    </row>
    <row r="1848" spans="1:6">
      <c r="A1848" s="11">
        <v>1845</v>
      </c>
      <c r="B1848">
        <v>0.34861500000000001</v>
      </c>
      <c r="C1848">
        <v>0.268036</v>
      </c>
      <c r="D1848">
        <v>0.223549</v>
      </c>
      <c r="E1848">
        <v>0.63443700000000003</v>
      </c>
      <c r="F1848">
        <v>1.608873</v>
      </c>
    </row>
    <row r="1849" spans="1:6">
      <c r="A1849" s="11">
        <v>1846</v>
      </c>
      <c r="B1849">
        <v>0.60923899999999998</v>
      </c>
      <c r="C1849">
        <v>0.28516399999999997</v>
      </c>
      <c r="D1849">
        <v>0.88790000000000002</v>
      </c>
      <c r="E1849">
        <v>0.60350300000000001</v>
      </c>
      <c r="F1849">
        <v>0.394202</v>
      </c>
    </row>
    <row r="1850" spans="1:6">
      <c r="A1850" s="11">
        <v>1847</v>
      </c>
      <c r="B1850">
        <v>0.744556</v>
      </c>
      <c r="C1850">
        <v>3.4027620000000001</v>
      </c>
      <c r="D1850">
        <v>0.30857499999999999</v>
      </c>
      <c r="E1850">
        <v>0.39587499999999998</v>
      </c>
      <c r="F1850">
        <v>1.613713</v>
      </c>
    </row>
    <row r="1851" spans="1:6">
      <c r="A1851" s="11">
        <v>1848</v>
      </c>
      <c r="B1851">
        <v>3.1512880000000001</v>
      </c>
      <c r="C1851">
        <v>2.5303369999999998</v>
      </c>
      <c r="D1851">
        <v>0.338169</v>
      </c>
      <c r="E1851">
        <v>3.1306590000000001</v>
      </c>
      <c r="F1851">
        <v>0.80098999999999998</v>
      </c>
    </row>
    <row r="1852" spans="1:6">
      <c r="A1852" s="11">
        <v>1849</v>
      </c>
      <c r="B1852">
        <v>1.3051360000000001</v>
      </c>
      <c r="C1852">
        <v>0.30955700000000003</v>
      </c>
      <c r="D1852">
        <v>3.26315</v>
      </c>
      <c r="E1852">
        <v>1.2721899999999999</v>
      </c>
      <c r="F1852">
        <v>0.493259</v>
      </c>
    </row>
    <row r="1853" spans="1:6">
      <c r="A1853" s="11">
        <v>1850</v>
      </c>
      <c r="B1853">
        <v>1.2453479999999999</v>
      </c>
      <c r="C1853">
        <v>4.1106189999999998</v>
      </c>
      <c r="D1853">
        <v>0.34785700000000003</v>
      </c>
      <c r="E1853">
        <v>0.57048600000000005</v>
      </c>
      <c r="F1853">
        <v>1.048945</v>
      </c>
    </row>
    <row r="1854" spans="1:6">
      <c r="A1854" s="11">
        <v>1851</v>
      </c>
      <c r="B1854">
        <v>0.163549</v>
      </c>
      <c r="C1854">
        <v>0.80668499999999999</v>
      </c>
      <c r="D1854">
        <v>0.30651699999999998</v>
      </c>
      <c r="E1854">
        <v>0.24140400000000001</v>
      </c>
      <c r="F1854">
        <v>0.87987800000000005</v>
      </c>
    </row>
    <row r="1855" spans="1:6">
      <c r="A1855" s="11">
        <v>1852</v>
      </c>
      <c r="B1855">
        <v>1.555995</v>
      </c>
      <c r="C1855">
        <v>2.900118</v>
      </c>
      <c r="D1855">
        <v>1.214941</v>
      </c>
      <c r="E1855">
        <v>0.104895</v>
      </c>
      <c r="F1855">
        <v>0.26514599999999999</v>
      </c>
    </row>
    <row r="1856" spans="1:6">
      <c r="A1856" s="11">
        <v>1853</v>
      </c>
      <c r="B1856">
        <v>0.70169800000000004</v>
      </c>
      <c r="C1856">
        <v>0.52884900000000001</v>
      </c>
      <c r="D1856">
        <v>2.1713480000000001</v>
      </c>
      <c r="E1856">
        <v>3.951238</v>
      </c>
      <c r="F1856">
        <v>1.519393</v>
      </c>
    </row>
    <row r="1857" spans="1:6">
      <c r="A1857" s="11">
        <v>1854</v>
      </c>
      <c r="B1857">
        <v>0.71891099999999997</v>
      </c>
      <c r="C1857">
        <v>2.5689139999999999</v>
      </c>
      <c r="D1857">
        <v>0.46037699999999998</v>
      </c>
      <c r="E1857">
        <v>0.40604699999999999</v>
      </c>
      <c r="F1857">
        <v>0.73650499999999997</v>
      </c>
    </row>
    <row r="1858" spans="1:6">
      <c r="A1858" s="11">
        <v>1855</v>
      </c>
      <c r="B1858">
        <v>1.1282650000000001</v>
      </c>
      <c r="C1858">
        <v>0.50340600000000002</v>
      </c>
      <c r="D1858">
        <v>1.2249639999999999</v>
      </c>
      <c r="E1858">
        <v>5.4557000000000001E-2</v>
      </c>
      <c r="F1858">
        <v>0.30617800000000001</v>
      </c>
    </row>
    <row r="1859" spans="1:6">
      <c r="A1859" s="11">
        <v>1856</v>
      </c>
      <c r="B1859">
        <v>0.15476599999999999</v>
      </c>
      <c r="C1859">
        <v>0.53251300000000001</v>
      </c>
      <c r="D1859">
        <v>1.7808729999999999</v>
      </c>
      <c r="E1859">
        <v>8.5809639999999998</v>
      </c>
      <c r="F1859">
        <v>0.83213899999999996</v>
      </c>
    </row>
    <row r="1860" spans="1:6">
      <c r="A1860" s="11">
        <v>1857</v>
      </c>
      <c r="B1860">
        <v>3.0002219999999999</v>
      </c>
      <c r="C1860">
        <v>3.6812849999999999</v>
      </c>
      <c r="D1860">
        <v>2.7721909999999998</v>
      </c>
      <c r="E1860">
        <v>1.646474</v>
      </c>
      <c r="F1860">
        <v>2.5585450000000001</v>
      </c>
    </row>
    <row r="1861" spans="1:6">
      <c r="A1861" s="11">
        <v>1858</v>
      </c>
      <c r="B1861">
        <v>0.71202600000000005</v>
      </c>
      <c r="C1861">
        <v>1.128924</v>
      </c>
      <c r="D1861">
        <v>3.410107</v>
      </c>
      <c r="E1861">
        <v>0.192852</v>
      </c>
      <c r="F1861">
        <v>0.43749100000000002</v>
      </c>
    </row>
    <row r="1862" spans="1:6">
      <c r="A1862" s="11">
        <v>1859</v>
      </c>
      <c r="B1862">
        <v>0.54546700000000004</v>
      </c>
      <c r="C1862">
        <v>1.649526</v>
      </c>
      <c r="D1862">
        <v>2.2801960000000001</v>
      </c>
      <c r="E1862">
        <v>2.0461559999999999</v>
      </c>
      <c r="F1862">
        <v>1.488184</v>
      </c>
    </row>
    <row r="1863" spans="1:6">
      <c r="A1863" s="11">
        <v>1860</v>
      </c>
      <c r="B1863">
        <v>4.6971550000000004</v>
      </c>
      <c r="C1863">
        <v>0.67960600000000004</v>
      </c>
      <c r="D1863">
        <v>0.31296400000000002</v>
      </c>
      <c r="E1863">
        <v>0.79500499999999996</v>
      </c>
      <c r="F1863">
        <v>3.4786039999999998</v>
      </c>
    </row>
    <row r="1864" spans="1:6">
      <c r="A1864" s="11">
        <v>1861</v>
      </c>
      <c r="B1864">
        <v>3.2623470000000001</v>
      </c>
      <c r="C1864">
        <v>0.12683900000000001</v>
      </c>
      <c r="D1864">
        <v>0.50398900000000002</v>
      </c>
      <c r="E1864">
        <v>7.6807290000000004</v>
      </c>
      <c r="F1864">
        <v>0.84463900000000003</v>
      </c>
    </row>
    <row r="1865" spans="1:6">
      <c r="A1865" s="11">
        <v>1862</v>
      </c>
      <c r="B1865">
        <v>4.1227970000000003</v>
      </c>
      <c r="C1865">
        <v>0.86300299999999996</v>
      </c>
      <c r="D1865">
        <v>0.68005700000000002</v>
      </c>
      <c r="E1865">
        <v>0.443386</v>
      </c>
      <c r="F1865">
        <v>0.35798000000000002</v>
      </c>
    </row>
    <row r="1866" spans="1:6">
      <c r="A1866" s="11">
        <v>1863</v>
      </c>
      <c r="B1866">
        <v>0.54470200000000002</v>
      </c>
      <c r="C1866">
        <v>0.36116999999999999</v>
      </c>
      <c r="D1866">
        <v>0.82874899999999996</v>
      </c>
      <c r="E1866">
        <v>1.2404649999999999</v>
      </c>
      <c r="F1866">
        <v>0.27246300000000001</v>
      </c>
    </row>
    <row r="1867" spans="1:6">
      <c r="A1867" s="11">
        <v>1864</v>
      </c>
      <c r="B1867">
        <v>3.9444889999999999</v>
      </c>
      <c r="C1867">
        <v>0.53378099999999995</v>
      </c>
      <c r="D1867">
        <v>0.21623999999999999</v>
      </c>
      <c r="E1867">
        <v>2.7829290000000002</v>
      </c>
      <c r="F1867">
        <v>0.18983700000000001</v>
      </c>
    </row>
    <row r="1868" spans="1:6">
      <c r="A1868" s="11">
        <v>1865</v>
      </c>
      <c r="B1868">
        <v>0.90432599999999996</v>
      </c>
      <c r="C1868">
        <v>0.32836199999999999</v>
      </c>
      <c r="D1868">
        <v>1.6932970000000001</v>
      </c>
      <c r="E1868">
        <v>2.9237310000000001</v>
      </c>
      <c r="F1868">
        <v>0.53210500000000005</v>
      </c>
    </row>
    <row r="1869" spans="1:6">
      <c r="A1869" s="11">
        <v>1866</v>
      </c>
      <c r="B1869">
        <v>0.22226599999999999</v>
      </c>
      <c r="C1869">
        <v>2.9226899999999998</v>
      </c>
      <c r="D1869">
        <v>4.6938380000000004</v>
      </c>
      <c r="E1869">
        <v>0.11757099999999999</v>
      </c>
      <c r="F1869">
        <v>0.52102499999999996</v>
      </c>
    </row>
    <row r="1870" spans="1:6">
      <c r="A1870" s="11">
        <v>1867</v>
      </c>
      <c r="B1870">
        <v>1.877867</v>
      </c>
      <c r="C1870">
        <v>1.434291</v>
      </c>
      <c r="D1870">
        <v>1.0740190000000001</v>
      </c>
      <c r="E1870">
        <v>0.625278</v>
      </c>
      <c r="F1870">
        <v>0.30312800000000001</v>
      </c>
    </row>
    <row r="1871" spans="1:6">
      <c r="A1871" s="11">
        <v>1868</v>
      </c>
      <c r="B1871">
        <v>5.0290189999999999</v>
      </c>
      <c r="C1871">
        <v>0.87913699999999995</v>
      </c>
      <c r="D1871">
        <v>0.46055000000000001</v>
      </c>
      <c r="E1871">
        <v>0.63001799999999997</v>
      </c>
      <c r="F1871">
        <v>6.1256389999999996</v>
      </c>
    </row>
    <row r="1872" spans="1:6">
      <c r="A1872" s="11">
        <v>1869</v>
      </c>
      <c r="B1872">
        <v>2.7309070000000002</v>
      </c>
      <c r="C1872">
        <v>2.103704</v>
      </c>
      <c r="D1872">
        <v>0.30985600000000002</v>
      </c>
      <c r="E1872">
        <v>0.59707299999999996</v>
      </c>
      <c r="F1872">
        <v>0.44578299999999998</v>
      </c>
    </row>
    <row r="1873" spans="1:6">
      <c r="A1873" s="11">
        <v>1870</v>
      </c>
      <c r="B1873">
        <v>0.61030399999999996</v>
      </c>
      <c r="C1873">
        <v>0.32027099999999997</v>
      </c>
      <c r="D1873">
        <v>2.7951090000000001</v>
      </c>
      <c r="E1873">
        <v>0.52127800000000002</v>
      </c>
      <c r="F1873">
        <v>1.5115149999999999</v>
      </c>
    </row>
    <row r="1874" spans="1:6">
      <c r="A1874" s="11">
        <v>1871</v>
      </c>
      <c r="B1874">
        <v>7.3335239999999997</v>
      </c>
      <c r="C1874">
        <v>0.80318100000000003</v>
      </c>
      <c r="D1874">
        <v>2.4473220000000002</v>
      </c>
      <c r="E1874">
        <v>0.42733199999999999</v>
      </c>
      <c r="F1874">
        <v>0.43391299999999999</v>
      </c>
    </row>
    <row r="1875" spans="1:6">
      <c r="A1875" s="11">
        <v>1872</v>
      </c>
      <c r="B1875">
        <v>0.38858599999999999</v>
      </c>
      <c r="C1875">
        <v>0.66889799999999999</v>
      </c>
      <c r="D1875">
        <v>3.29948</v>
      </c>
      <c r="E1875">
        <v>17.852751999999999</v>
      </c>
      <c r="F1875">
        <v>1.273855</v>
      </c>
    </row>
    <row r="1876" spans="1:6">
      <c r="A1876" s="11">
        <v>1873</v>
      </c>
      <c r="B1876">
        <v>0.55607300000000004</v>
      </c>
      <c r="C1876">
        <v>5.6367390000000004</v>
      </c>
      <c r="D1876">
        <v>2.8728349999999998</v>
      </c>
      <c r="E1876">
        <v>0.83384000000000003</v>
      </c>
      <c r="F1876">
        <v>0.19936999999999999</v>
      </c>
    </row>
    <row r="1877" spans="1:6">
      <c r="A1877" s="11">
        <v>1874</v>
      </c>
      <c r="B1877">
        <v>18.637649</v>
      </c>
      <c r="C1877">
        <v>1.609961</v>
      </c>
      <c r="D1877">
        <v>1.6972689999999999</v>
      </c>
      <c r="E1877">
        <v>1.130633</v>
      </c>
      <c r="F1877">
        <v>1.8006489999999999</v>
      </c>
    </row>
    <row r="1878" spans="1:6">
      <c r="A1878" s="11">
        <v>1875</v>
      </c>
      <c r="B1878">
        <v>0.58470800000000001</v>
      </c>
      <c r="C1878">
        <v>0.96387199999999995</v>
      </c>
      <c r="D1878">
        <v>3.2223320000000002</v>
      </c>
      <c r="E1878">
        <v>7.221813</v>
      </c>
      <c r="F1878">
        <v>0.51287499999999997</v>
      </c>
    </row>
    <row r="1879" spans="1:6">
      <c r="A1879" s="11">
        <v>1876</v>
      </c>
      <c r="B1879">
        <v>3.5540609999999999</v>
      </c>
      <c r="C1879">
        <v>1.0104299999999999</v>
      </c>
      <c r="D1879">
        <v>0.97392800000000002</v>
      </c>
      <c r="E1879">
        <v>2.7426520000000001</v>
      </c>
      <c r="F1879">
        <v>1.7763519999999999</v>
      </c>
    </row>
    <row r="1880" spans="1:6">
      <c r="A1880" s="11">
        <v>1877</v>
      </c>
      <c r="B1880">
        <v>0.66020500000000004</v>
      </c>
      <c r="C1880">
        <v>0.31178899999999998</v>
      </c>
      <c r="D1880">
        <v>0.32741399999999998</v>
      </c>
      <c r="E1880">
        <v>0.648281</v>
      </c>
      <c r="F1880">
        <v>0.87282099999999996</v>
      </c>
    </row>
    <row r="1881" spans="1:6">
      <c r="A1881" s="11">
        <v>1878</v>
      </c>
      <c r="B1881">
        <v>1.2583960000000001</v>
      </c>
      <c r="C1881">
        <v>0.49567099999999997</v>
      </c>
      <c r="D1881">
        <v>0.73274499999999998</v>
      </c>
      <c r="E1881">
        <v>0.15871399999999999</v>
      </c>
      <c r="F1881">
        <v>0.358346</v>
      </c>
    </row>
    <row r="1882" spans="1:6">
      <c r="A1882" s="11">
        <v>1879</v>
      </c>
      <c r="B1882">
        <v>4.4355060000000002</v>
      </c>
      <c r="C1882">
        <v>0.44165599999999999</v>
      </c>
      <c r="D1882">
        <v>1.3003070000000001</v>
      </c>
      <c r="E1882">
        <v>0.145342</v>
      </c>
      <c r="F1882">
        <v>0.56273499999999999</v>
      </c>
    </row>
    <row r="1883" spans="1:6">
      <c r="A1883" s="11">
        <v>1880</v>
      </c>
      <c r="B1883">
        <v>5.977519</v>
      </c>
      <c r="C1883">
        <v>0.48328900000000002</v>
      </c>
      <c r="D1883">
        <v>0.42689300000000002</v>
      </c>
      <c r="E1883">
        <v>2.3719830000000002</v>
      </c>
      <c r="F1883">
        <v>0.61256999999999995</v>
      </c>
    </row>
    <row r="1884" spans="1:6">
      <c r="A1884" s="11">
        <v>1881</v>
      </c>
      <c r="B1884">
        <v>0.37003999999999998</v>
      </c>
      <c r="C1884">
        <v>0.47568100000000002</v>
      </c>
      <c r="D1884">
        <v>0.44705099999999998</v>
      </c>
      <c r="E1884">
        <v>0.90629400000000004</v>
      </c>
      <c r="F1884">
        <v>5.4414920000000002</v>
      </c>
    </row>
    <row r="1885" spans="1:6">
      <c r="A1885" s="11">
        <v>1882</v>
      </c>
      <c r="B1885">
        <v>4.6161440000000002</v>
      </c>
      <c r="C1885">
        <v>0.76999499999999999</v>
      </c>
      <c r="D1885">
        <v>0.767679</v>
      </c>
      <c r="E1885">
        <v>16.333262999999999</v>
      </c>
      <c r="F1885">
        <v>0.331816</v>
      </c>
    </row>
    <row r="1886" spans="1:6">
      <c r="A1886" s="11">
        <v>1883</v>
      </c>
      <c r="B1886">
        <v>0.73428700000000002</v>
      </c>
      <c r="C1886">
        <v>3.0101059999999999</v>
      </c>
      <c r="D1886">
        <v>5.4803940000000004</v>
      </c>
      <c r="E1886">
        <v>8.5190509999999993</v>
      </c>
      <c r="F1886">
        <v>1.955981</v>
      </c>
    </row>
    <row r="1887" spans="1:6">
      <c r="A1887" s="11">
        <v>1884</v>
      </c>
      <c r="B1887">
        <v>2.1830690000000001</v>
      </c>
      <c r="C1887">
        <v>1.021577</v>
      </c>
      <c r="D1887">
        <v>0.57774300000000001</v>
      </c>
      <c r="E1887">
        <v>0.225046</v>
      </c>
      <c r="F1887">
        <v>1.360922</v>
      </c>
    </row>
    <row r="1888" spans="1:6">
      <c r="A1888" s="11">
        <v>1885</v>
      </c>
      <c r="B1888">
        <v>3.1256590000000002</v>
      </c>
      <c r="C1888">
        <v>0.392461</v>
      </c>
      <c r="D1888">
        <v>0.658721</v>
      </c>
      <c r="E1888">
        <v>0.43936700000000001</v>
      </c>
      <c r="F1888">
        <v>0.25380200000000003</v>
      </c>
    </row>
    <row r="1889" spans="1:6">
      <c r="A1889" s="11">
        <v>1886</v>
      </c>
      <c r="B1889">
        <v>2.5034900000000002</v>
      </c>
      <c r="C1889">
        <v>0.579017</v>
      </c>
      <c r="D1889">
        <v>0.216224</v>
      </c>
      <c r="E1889">
        <v>3.8289309999999999</v>
      </c>
      <c r="F1889">
        <v>6.0574589999999997</v>
      </c>
    </row>
    <row r="1890" spans="1:6">
      <c r="A1890" s="11">
        <v>1887</v>
      </c>
      <c r="B1890">
        <v>6.5079999999999999E-2</v>
      </c>
      <c r="C1890">
        <v>1.2401720000000001</v>
      </c>
      <c r="D1890">
        <v>0.81956499999999999</v>
      </c>
      <c r="E1890">
        <v>1.663348</v>
      </c>
      <c r="F1890">
        <v>0.38178299999999998</v>
      </c>
    </row>
    <row r="1891" spans="1:6">
      <c r="A1891" s="11">
        <v>1888</v>
      </c>
      <c r="B1891">
        <v>6.3236489999999996</v>
      </c>
      <c r="C1891">
        <v>5.5473540000000003</v>
      </c>
      <c r="D1891">
        <v>1.0314000000000001</v>
      </c>
      <c r="E1891">
        <v>0.71095399999999997</v>
      </c>
      <c r="F1891">
        <v>0.31953799999999999</v>
      </c>
    </row>
    <row r="1892" spans="1:6">
      <c r="A1892" s="11">
        <v>1889</v>
      </c>
      <c r="B1892">
        <v>2.1610100000000001</v>
      </c>
      <c r="C1892">
        <v>0.14321400000000001</v>
      </c>
      <c r="D1892">
        <v>0.52975000000000005</v>
      </c>
      <c r="E1892">
        <v>0.84054300000000004</v>
      </c>
      <c r="F1892">
        <v>0.23699700000000001</v>
      </c>
    </row>
    <row r="1893" spans="1:6">
      <c r="A1893" s="11">
        <v>1890</v>
      </c>
      <c r="B1893">
        <v>1.1833830000000001</v>
      </c>
      <c r="C1893">
        <v>2.4316209999999998</v>
      </c>
      <c r="D1893">
        <v>2.7880660000000002</v>
      </c>
      <c r="E1893">
        <v>4.4581689999999998</v>
      </c>
      <c r="F1893">
        <v>9.4557000000000002E-2</v>
      </c>
    </row>
    <row r="1894" spans="1:6">
      <c r="A1894" s="11">
        <v>1891</v>
      </c>
      <c r="B1894">
        <v>1.1361019999999999</v>
      </c>
      <c r="C1894">
        <v>1.402398</v>
      </c>
      <c r="D1894">
        <v>1.3848609999999999</v>
      </c>
      <c r="E1894">
        <v>5.4671709999999996</v>
      </c>
      <c r="F1894">
        <v>0.24407000000000001</v>
      </c>
    </row>
    <row r="1895" spans="1:6">
      <c r="A1895" s="11">
        <v>1892</v>
      </c>
      <c r="B1895">
        <v>0.20119999999999999</v>
      </c>
      <c r="C1895">
        <v>0.54341600000000001</v>
      </c>
      <c r="D1895">
        <v>0.66509799999999997</v>
      </c>
      <c r="E1895">
        <v>0.26036300000000001</v>
      </c>
      <c r="F1895">
        <v>1.053914</v>
      </c>
    </row>
    <row r="1896" spans="1:6">
      <c r="A1896" s="11">
        <v>1893</v>
      </c>
      <c r="B1896">
        <v>14.250162</v>
      </c>
      <c r="C1896">
        <v>4.0318550000000002</v>
      </c>
      <c r="D1896">
        <v>1.3175969999999999</v>
      </c>
      <c r="E1896">
        <v>1.655224</v>
      </c>
      <c r="F1896">
        <v>0.695963</v>
      </c>
    </row>
    <row r="1897" spans="1:6">
      <c r="A1897" s="11">
        <v>1894</v>
      </c>
      <c r="B1897">
        <v>5.2449909999999997</v>
      </c>
      <c r="C1897">
        <v>0.50800400000000001</v>
      </c>
      <c r="D1897">
        <v>0.71240300000000001</v>
      </c>
      <c r="E1897">
        <v>0.47095900000000002</v>
      </c>
      <c r="F1897">
        <v>1.3489739999999999</v>
      </c>
    </row>
    <row r="1898" spans="1:6">
      <c r="A1898" s="11">
        <v>1895</v>
      </c>
      <c r="B1898">
        <v>0.35508499999999998</v>
      </c>
      <c r="C1898">
        <v>0.25706800000000002</v>
      </c>
      <c r="D1898">
        <v>2.1626180000000002</v>
      </c>
      <c r="E1898">
        <v>2.1549680000000002</v>
      </c>
      <c r="F1898">
        <v>2.6364000000000001</v>
      </c>
    </row>
    <row r="1899" spans="1:6">
      <c r="A1899" s="11">
        <v>1896</v>
      </c>
      <c r="B1899">
        <v>0.84802900000000003</v>
      </c>
      <c r="C1899">
        <v>2.3081839999999998</v>
      </c>
      <c r="D1899">
        <v>6.0436839999999998</v>
      </c>
      <c r="E1899">
        <v>0.43930599999999997</v>
      </c>
      <c r="F1899">
        <v>0.80414300000000005</v>
      </c>
    </row>
    <row r="1900" spans="1:6">
      <c r="A1900" s="11">
        <v>1897</v>
      </c>
      <c r="B1900">
        <v>14.890446000000001</v>
      </c>
      <c r="C1900">
        <v>3.053048</v>
      </c>
      <c r="D1900">
        <v>0.550624</v>
      </c>
      <c r="E1900">
        <v>2.9756390000000001</v>
      </c>
      <c r="F1900">
        <v>0.571936</v>
      </c>
    </row>
    <row r="1901" spans="1:6">
      <c r="A1901" s="11">
        <v>1898</v>
      </c>
      <c r="B1901">
        <v>5.4669350000000003</v>
      </c>
      <c r="C1901">
        <v>0.48067500000000002</v>
      </c>
      <c r="D1901">
        <v>9.7739999999999994E-2</v>
      </c>
      <c r="E1901">
        <v>0.55228299999999997</v>
      </c>
      <c r="F1901">
        <v>1.733552</v>
      </c>
    </row>
    <row r="1902" spans="1:6">
      <c r="A1902" s="11">
        <v>1899</v>
      </c>
      <c r="B1902">
        <v>2.5622720000000001</v>
      </c>
      <c r="C1902">
        <v>0.76729199999999997</v>
      </c>
      <c r="D1902">
        <v>0.206153</v>
      </c>
      <c r="E1902">
        <v>0.47528999999999999</v>
      </c>
      <c r="F1902">
        <v>6.1758379999999997</v>
      </c>
    </row>
    <row r="1903" spans="1:6">
      <c r="A1903" s="11">
        <v>1900</v>
      </c>
      <c r="B1903">
        <v>0.73457399999999995</v>
      </c>
      <c r="C1903">
        <v>0.58394999999999997</v>
      </c>
      <c r="D1903">
        <v>1.796567</v>
      </c>
      <c r="E1903">
        <v>1.278381</v>
      </c>
      <c r="F1903">
        <v>0.19674900000000001</v>
      </c>
    </row>
    <row r="1904" spans="1:6">
      <c r="A1904" s="11">
        <v>1901</v>
      </c>
      <c r="B1904">
        <v>0.66187300000000004</v>
      </c>
      <c r="C1904">
        <v>5.0821209999999999</v>
      </c>
      <c r="D1904">
        <v>0.85978699999999997</v>
      </c>
      <c r="E1904">
        <v>1.8048660000000001</v>
      </c>
      <c r="F1904">
        <v>2.186731</v>
      </c>
    </row>
    <row r="1905" spans="1:6">
      <c r="A1905" s="11">
        <v>1902</v>
      </c>
      <c r="B1905">
        <v>0.99827100000000002</v>
      </c>
      <c r="C1905">
        <v>4.7151959999999997</v>
      </c>
      <c r="D1905">
        <v>0.422099</v>
      </c>
      <c r="E1905">
        <v>0.17619499999999999</v>
      </c>
      <c r="F1905">
        <v>6.0185690000000003</v>
      </c>
    </row>
    <row r="1906" spans="1:6">
      <c r="A1906" s="11">
        <v>1903</v>
      </c>
      <c r="B1906">
        <v>1.191748</v>
      </c>
      <c r="C1906">
        <v>0.47343800000000003</v>
      </c>
      <c r="D1906">
        <v>0.93695700000000004</v>
      </c>
      <c r="E1906">
        <v>2.1450849999999999</v>
      </c>
      <c r="F1906">
        <v>0.46648499999999998</v>
      </c>
    </row>
    <row r="1907" spans="1:6">
      <c r="A1907" s="11">
        <v>1904</v>
      </c>
      <c r="B1907">
        <v>7.642709</v>
      </c>
      <c r="C1907">
        <v>1.1477489999999999</v>
      </c>
      <c r="D1907">
        <v>0.74108099999999999</v>
      </c>
      <c r="E1907">
        <v>6.6127000000000005E-2</v>
      </c>
      <c r="F1907">
        <v>1.543282</v>
      </c>
    </row>
    <row r="1908" spans="1:6">
      <c r="A1908" s="11">
        <v>1905</v>
      </c>
      <c r="B1908">
        <v>0.26835100000000001</v>
      </c>
      <c r="C1908">
        <v>4.8251000000000002E-2</v>
      </c>
      <c r="D1908">
        <v>0.75581600000000004</v>
      </c>
      <c r="E1908">
        <v>0.35129100000000002</v>
      </c>
      <c r="F1908">
        <v>12.54745</v>
      </c>
    </row>
    <row r="1909" spans="1:6">
      <c r="A1909" s="11">
        <v>1906</v>
      </c>
      <c r="B1909">
        <v>3.3639749999999999</v>
      </c>
      <c r="C1909">
        <v>2.3336269999999999</v>
      </c>
      <c r="D1909">
        <v>1.7566109999999999</v>
      </c>
      <c r="E1909">
        <v>2.3811680000000002</v>
      </c>
      <c r="F1909">
        <v>2.9235959999999999</v>
      </c>
    </row>
    <row r="1910" spans="1:6">
      <c r="A1910" s="11">
        <v>1907</v>
      </c>
      <c r="B1910">
        <v>2.2791429999999999</v>
      </c>
      <c r="C1910">
        <v>3.5607500000000001</v>
      </c>
      <c r="D1910">
        <v>1.790246</v>
      </c>
      <c r="E1910">
        <v>0.24713399999999999</v>
      </c>
      <c r="F1910">
        <v>2.225282</v>
      </c>
    </row>
    <row r="1911" spans="1:6">
      <c r="A1911" s="11">
        <v>1908</v>
      </c>
      <c r="B1911">
        <v>0.94840100000000005</v>
      </c>
      <c r="C1911">
        <v>0.34419499999999997</v>
      </c>
      <c r="D1911">
        <v>4.6062690000000002</v>
      </c>
      <c r="E1911">
        <v>0.61316999999999999</v>
      </c>
      <c r="F1911">
        <v>1.7852239999999999</v>
      </c>
    </row>
    <row r="1912" spans="1:6">
      <c r="A1912" s="11">
        <v>1909</v>
      </c>
      <c r="B1912">
        <v>0.46108100000000002</v>
      </c>
      <c r="C1912">
        <v>0.53367699999999996</v>
      </c>
      <c r="D1912">
        <v>1.2716339999999999</v>
      </c>
      <c r="E1912">
        <v>0.19223799999999999</v>
      </c>
      <c r="F1912">
        <v>3.818441</v>
      </c>
    </row>
    <row r="1913" spans="1:6">
      <c r="A1913" s="11">
        <v>1910</v>
      </c>
      <c r="B1913">
        <v>1.4897549999999999</v>
      </c>
      <c r="C1913">
        <v>0.68032999999999999</v>
      </c>
      <c r="D1913">
        <v>2.1308880000000001</v>
      </c>
      <c r="E1913">
        <v>0.85936500000000005</v>
      </c>
      <c r="F1913">
        <v>0.94790200000000002</v>
      </c>
    </row>
    <row r="1914" spans="1:6">
      <c r="A1914" s="11">
        <v>1911</v>
      </c>
      <c r="B1914">
        <v>3.7617080000000001</v>
      </c>
      <c r="C1914">
        <v>8.1649279999999997</v>
      </c>
      <c r="D1914">
        <v>1.0823959999999999</v>
      </c>
      <c r="E1914">
        <v>0.69825800000000005</v>
      </c>
      <c r="F1914">
        <v>0.59996099999999997</v>
      </c>
    </row>
    <row r="1915" spans="1:6">
      <c r="A1915" s="11">
        <v>1912</v>
      </c>
      <c r="B1915">
        <v>0.52308100000000002</v>
      </c>
      <c r="C1915">
        <v>0.64903</v>
      </c>
      <c r="D1915">
        <v>0.85753400000000002</v>
      </c>
      <c r="E1915">
        <v>0.66572900000000002</v>
      </c>
      <c r="F1915">
        <v>0.86087100000000005</v>
      </c>
    </row>
    <row r="1916" spans="1:6">
      <c r="A1916" s="11">
        <v>1913</v>
      </c>
      <c r="B1916">
        <v>2.5532949999999999</v>
      </c>
      <c r="C1916">
        <v>2.2316449999999999</v>
      </c>
      <c r="D1916">
        <v>3.0367000000000002</v>
      </c>
      <c r="E1916">
        <v>0.68314900000000001</v>
      </c>
      <c r="F1916">
        <v>0.99439999999999995</v>
      </c>
    </row>
    <row r="1917" spans="1:6">
      <c r="A1917" s="11">
        <v>1914</v>
      </c>
      <c r="B1917">
        <v>15.965641</v>
      </c>
      <c r="C1917">
        <v>4.156021</v>
      </c>
      <c r="D1917">
        <v>1.7842899999999999</v>
      </c>
      <c r="E1917">
        <v>4.3740059999999996</v>
      </c>
      <c r="F1917">
        <v>0.333511</v>
      </c>
    </row>
    <row r="1918" spans="1:6">
      <c r="A1918" s="11">
        <v>1915</v>
      </c>
      <c r="B1918">
        <v>1.0987210000000001</v>
      </c>
      <c r="C1918">
        <v>0.97567599999999999</v>
      </c>
      <c r="D1918">
        <v>0.198465</v>
      </c>
      <c r="E1918">
        <v>3.074821</v>
      </c>
      <c r="F1918">
        <v>0.954434</v>
      </c>
    </row>
    <row r="1919" spans="1:6">
      <c r="A1919" s="11">
        <v>1916</v>
      </c>
      <c r="B1919">
        <v>2.3321209999999999</v>
      </c>
      <c r="C1919">
        <v>3.7404099999999998</v>
      </c>
      <c r="D1919">
        <v>1.395133</v>
      </c>
      <c r="E1919">
        <v>3.893818</v>
      </c>
      <c r="F1919">
        <v>1.776621</v>
      </c>
    </row>
    <row r="1920" spans="1:6">
      <c r="A1920" s="11">
        <v>1917</v>
      </c>
      <c r="B1920">
        <v>0.50681799999999999</v>
      </c>
      <c r="C1920">
        <v>0.69386000000000003</v>
      </c>
      <c r="D1920">
        <v>2.336881</v>
      </c>
      <c r="E1920">
        <v>0.30087599999999998</v>
      </c>
      <c r="F1920">
        <v>3.008292</v>
      </c>
    </row>
    <row r="1921" spans="1:6">
      <c r="A1921" s="11">
        <v>1918</v>
      </c>
      <c r="B1921">
        <v>0.357817</v>
      </c>
      <c r="C1921">
        <v>1.7941659999999999</v>
      </c>
      <c r="D1921">
        <v>1.9964379999999999</v>
      </c>
      <c r="E1921">
        <v>4.1375999999999999</v>
      </c>
      <c r="F1921">
        <v>2.1848700000000001</v>
      </c>
    </row>
    <row r="1922" spans="1:6">
      <c r="A1922" s="11">
        <v>1919</v>
      </c>
      <c r="B1922">
        <v>9.5607999999999999E-2</v>
      </c>
      <c r="C1922">
        <v>3.6041280000000002</v>
      </c>
      <c r="D1922">
        <v>0.22722899999999999</v>
      </c>
      <c r="E1922">
        <v>1.473787</v>
      </c>
      <c r="F1922">
        <v>0.66991800000000001</v>
      </c>
    </row>
    <row r="1923" spans="1:6">
      <c r="A1923" s="11">
        <v>1920</v>
      </c>
      <c r="B1923">
        <v>2.4370250000000002</v>
      </c>
      <c r="C1923">
        <v>4.2550879999999998</v>
      </c>
      <c r="D1923">
        <v>0.29928700000000003</v>
      </c>
      <c r="E1923">
        <v>2.678715</v>
      </c>
      <c r="F1923">
        <v>1.0287649999999999</v>
      </c>
    </row>
    <row r="1924" spans="1:6">
      <c r="A1924" s="11">
        <v>1921</v>
      </c>
      <c r="B1924">
        <v>1.7529889999999999</v>
      </c>
      <c r="C1924">
        <v>3.3289110000000002</v>
      </c>
      <c r="D1924">
        <v>2.819369</v>
      </c>
      <c r="E1924">
        <v>0.14693600000000001</v>
      </c>
      <c r="F1924">
        <v>0.80582699999999996</v>
      </c>
    </row>
    <row r="1925" spans="1:6">
      <c r="A1925" s="11">
        <v>1922</v>
      </c>
      <c r="B1925">
        <v>0.93077399999999999</v>
      </c>
      <c r="C1925">
        <v>4.4836640000000001</v>
      </c>
      <c r="D1925">
        <v>2.8023180000000001</v>
      </c>
      <c r="E1925">
        <v>0.16661699999999999</v>
      </c>
      <c r="F1925">
        <v>1.791766</v>
      </c>
    </row>
    <row r="1926" spans="1:6">
      <c r="A1926" s="11">
        <v>1923</v>
      </c>
      <c r="B1926">
        <v>5.7969710000000001</v>
      </c>
      <c r="C1926">
        <v>0.98605900000000002</v>
      </c>
      <c r="D1926">
        <v>2.0335860000000001</v>
      </c>
      <c r="E1926">
        <v>0.75020500000000001</v>
      </c>
      <c r="F1926">
        <v>0.60372499999999996</v>
      </c>
    </row>
    <row r="1927" spans="1:6">
      <c r="A1927" s="11">
        <v>1924</v>
      </c>
      <c r="B1927">
        <v>1.475484</v>
      </c>
      <c r="C1927">
        <v>0.49453599999999998</v>
      </c>
      <c r="D1927">
        <v>0.58673799999999998</v>
      </c>
      <c r="E1927">
        <v>0.93837599999999999</v>
      </c>
      <c r="F1927">
        <v>2.2382019999999998</v>
      </c>
    </row>
    <row r="1928" spans="1:6">
      <c r="A1928" s="11">
        <v>1925</v>
      </c>
      <c r="B1928">
        <v>18.405290000000001</v>
      </c>
      <c r="C1928">
        <v>5.1178530000000002</v>
      </c>
      <c r="D1928">
        <v>3.056384</v>
      </c>
      <c r="E1928">
        <v>1.260365</v>
      </c>
      <c r="F1928">
        <v>0.178924</v>
      </c>
    </row>
    <row r="1929" spans="1:6">
      <c r="A1929" s="11">
        <v>1926</v>
      </c>
      <c r="B1929">
        <v>0.98456399999999999</v>
      </c>
      <c r="C1929">
        <v>0.55444000000000004</v>
      </c>
      <c r="D1929">
        <v>1.1097669999999999</v>
      </c>
      <c r="E1929">
        <v>2.8396520000000001</v>
      </c>
      <c r="F1929">
        <v>1.984648</v>
      </c>
    </row>
    <row r="1930" spans="1:6">
      <c r="A1930" s="11">
        <v>1927</v>
      </c>
      <c r="B1930">
        <v>22.966913000000002</v>
      </c>
      <c r="C1930">
        <v>4.858428</v>
      </c>
      <c r="D1930">
        <v>0.61546400000000001</v>
      </c>
      <c r="E1930">
        <v>1.6208370000000001</v>
      </c>
      <c r="F1930">
        <v>3.703503</v>
      </c>
    </row>
    <row r="1931" spans="1:6">
      <c r="A1931" s="11">
        <v>1928</v>
      </c>
      <c r="B1931">
        <v>0.32152199999999997</v>
      </c>
      <c r="C1931">
        <v>1.0283199999999999</v>
      </c>
      <c r="D1931">
        <v>0.71200200000000002</v>
      </c>
      <c r="E1931">
        <v>3.3618809999999999</v>
      </c>
      <c r="F1931">
        <v>2.2592289999999999</v>
      </c>
    </row>
    <row r="1932" spans="1:6">
      <c r="A1932" s="11">
        <v>1929</v>
      </c>
      <c r="B1932">
        <v>5.3303919999999998</v>
      </c>
      <c r="C1932">
        <v>0.42546899999999999</v>
      </c>
      <c r="D1932">
        <v>2.8217819999999998</v>
      </c>
      <c r="E1932">
        <v>2.2371059999999998</v>
      </c>
      <c r="F1932">
        <v>1.3241780000000001</v>
      </c>
    </row>
    <row r="1933" spans="1:6">
      <c r="A1933" s="11">
        <v>1930</v>
      </c>
      <c r="B1933">
        <v>0.49493900000000002</v>
      </c>
      <c r="C1933">
        <v>2.8285849999999999</v>
      </c>
      <c r="D1933">
        <v>0.67491999999999996</v>
      </c>
      <c r="E1933">
        <v>3.831928</v>
      </c>
      <c r="F1933">
        <v>2.212526</v>
      </c>
    </row>
    <row r="1934" spans="1:6">
      <c r="A1934" s="11">
        <v>1931</v>
      </c>
      <c r="B1934">
        <v>1.299547</v>
      </c>
      <c r="C1934">
        <v>0.68454499999999996</v>
      </c>
      <c r="D1934">
        <v>3.1497579999999998</v>
      </c>
      <c r="E1934">
        <v>2.504508</v>
      </c>
      <c r="F1934">
        <v>1.5547740000000001</v>
      </c>
    </row>
    <row r="1935" spans="1:6">
      <c r="A1935" s="11">
        <v>1932</v>
      </c>
      <c r="B1935">
        <v>0.20802100000000001</v>
      </c>
      <c r="C1935">
        <v>0.38508799999999999</v>
      </c>
      <c r="D1935">
        <v>2.311906</v>
      </c>
      <c r="E1935">
        <v>3.6302810000000001</v>
      </c>
      <c r="F1935">
        <v>1.1523049999999999</v>
      </c>
    </row>
    <row r="1936" spans="1:6">
      <c r="A1936" s="11">
        <v>1933</v>
      </c>
      <c r="B1936">
        <v>0.46726099999999998</v>
      </c>
      <c r="C1936">
        <v>0.46082600000000001</v>
      </c>
      <c r="D1936">
        <v>0.50701399999999996</v>
      </c>
      <c r="E1936">
        <v>1.0779479999999999</v>
      </c>
      <c r="F1936">
        <v>1.5410280000000001</v>
      </c>
    </row>
    <row r="1937" spans="1:6">
      <c r="A1937" s="11">
        <v>1934</v>
      </c>
      <c r="B1937">
        <v>1.974005</v>
      </c>
      <c r="C1937">
        <v>1.902957</v>
      </c>
      <c r="D1937">
        <v>2.6523310000000002</v>
      </c>
      <c r="E1937">
        <v>1.014586</v>
      </c>
      <c r="F1937">
        <v>2.1391710000000002</v>
      </c>
    </row>
    <row r="1938" spans="1:6">
      <c r="A1938" s="11">
        <v>1935</v>
      </c>
      <c r="B1938">
        <v>0.407329</v>
      </c>
      <c r="C1938">
        <v>2.2341820000000001</v>
      </c>
      <c r="D1938">
        <v>0.32548500000000002</v>
      </c>
      <c r="E1938">
        <v>0.70770599999999995</v>
      </c>
      <c r="F1938">
        <v>3.2979470000000002</v>
      </c>
    </row>
    <row r="1939" spans="1:6">
      <c r="A1939" s="11">
        <v>1936</v>
      </c>
      <c r="B1939">
        <v>0.50811399999999995</v>
      </c>
      <c r="C1939">
        <v>1.504105</v>
      </c>
      <c r="D1939">
        <v>0.45411699999999999</v>
      </c>
      <c r="E1939">
        <v>0.92091900000000004</v>
      </c>
      <c r="F1939">
        <v>1.5683530000000001</v>
      </c>
    </row>
    <row r="1940" spans="1:6">
      <c r="A1940" s="11">
        <v>1937</v>
      </c>
      <c r="B1940">
        <v>2.5786150000000001</v>
      </c>
      <c r="C1940">
        <v>0.43968800000000002</v>
      </c>
      <c r="D1940">
        <v>0.56836200000000003</v>
      </c>
      <c r="E1940">
        <v>0.37584899999999999</v>
      </c>
      <c r="F1940">
        <v>4.4774570000000002</v>
      </c>
    </row>
    <row r="1941" spans="1:6">
      <c r="A1941" s="11">
        <v>1938</v>
      </c>
      <c r="B1941">
        <v>0.40673999999999999</v>
      </c>
      <c r="C1941">
        <v>0.89479699999999995</v>
      </c>
      <c r="D1941">
        <v>10.130165999999999</v>
      </c>
      <c r="E1941">
        <v>1.9958769999999999</v>
      </c>
      <c r="F1941">
        <v>3.0704889999999998</v>
      </c>
    </row>
    <row r="1942" spans="1:6">
      <c r="A1942" s="11">
        <v>1939</v>
      </c>
      <c r="B1942">
        <v>1.2939000000000001</v>
      </c>
      <c r="C1942">
        <v>8.6722629999999992</v>
      </c>
      <c r="D1942">
        <v>4.2037449999999996</v>
      </c>
      <c r="E1942">
        <v>4.7448069999999998</v>
      </c>
      <c r="F1942">
        <v>1.0552980000000001</v>
      </c>
    </row>
    <row r="1943" spans="1:6">
      <c r="A1943" s="11">
        <v>1940</v>
      </c>
      <c r="B1943">
        <v>2.7527020000000002</v>
      </c>
      <c r="C1943">
        <v>0.92803500000000005</v>
      </c>
      <c r="D1943">
        <v>1.595542</v>
      </c>
      <c r="E1943">
        <v>3.1334390000000001</v>
      </c>
      <c r="F1943">
        <v>4.1947679999999998</v>
      </c>
    </row>
    <row r="1944" spans="1:6">
      <c r="A1944" s="11">
        <v>1941</v>
      </c>
      <c r="B1944">
        <v>4.9165200000000002</v>
      </c>
      <c r="C1944">
        <v>2.5508609999999998</v>
      </c>
      <c r="D1944">
        <v>2.247557</v>
      </c>
      <c r="E1944">
        <v>0.95918000000000003</v>
      </c>
      <c r="F1944">
        <v>8.6361109999999996</v>
      </c>
    </row>
    <row r="1945" spans="1:6">
      <c r="A1945" s="11">
        <v>1942</v>
      </c>
      <c r="B1945">
        <v>1.13422</v>
      </c>
      <c r="C1945">
        <v>3.5844360000000002</v>
      </c>
      <c r="D1945">
        <v>2.6761520000000001</v>
      </c>
      <c r="E1945">
        <v>0.173147</v>
      </c>
      <c r="F1945">
        <v>1.2665630000000001</v>
      </c>
    </row>
    <row r="1946" spans="1:6">
      <c r="A1946" s="11">
        <v>1943</v>
      </c>
      <c r="B1946">
        <v>2.2654559999999999</v>
      </c>
      <c r="C1946">
        <v>1.4603489999999999</v>
      </c>
      <c r="D1946">
        <v>1.4760789999999999</v>
      </c>
      <c r="E1946">
        <v>1.6256379999999999</v>
      </c>
      <c r="F1946">
        <v>2.3701340000000002</v>
      </c>
    </row>
    <row r="1947" spans="1:6">
      <c r="A1947" s="11">
        <v>1944</v>
      </c>
      <c r="B1947">
        <v>0.63935799999999998</v>
      </c>
      <c r="C1947">
        <v>4.5738089999999998</v>
      </c>
      <c r="D1947">
        <v>6.4737600000000004</v>
      </c>
      <c r="E1947">
        <v>7.5294590000000001</v>
      </c>
      <c r="F1947">
        <v>2.8529149999999999</v>
      </c>
    </row>
    <row r="1948" spans="1:6">
      <c r="A1948" s="11">
        <v>1945</v>
      </c>
      <c r="B1948">
        <v>8.9914439999999995</v>
      </c>
      <c r="C1948">
        <v>2.7503090000000001</v>
      </c>
      <c r="D1948">
        <v>0.215811</v>
      </c>
      <c r="E1948">
        <v>1.876633</v>
      </c>
      <c r="F1948">
        <v>2.7285490000000001</v>
      </c>
    </row>
    <row r="1949" spans="1:6">
      <c r="A1949" s="11">
        <v>1946</v>
      </c>
      <c r="B1949">
        <v>1.1452899999999999</v>
      </c>
      <c r="C1949">
        <v>0.43516899999999997</v>
      </c>
      <c r="D1949">
        <v>0.156474</v>
      </c>
      <c r="E1949">
        <v>0.84138400000000002</v>
      </c>
      <c r="F1949">
        <v>2.3335669999999999</v>
      </c>
    </row>
    <row r="1950" spans="1:6">
      <c r="A1950" s="11">
        <v>1947</v>
      </c>
      <c r="B1950">
        <v>0.31107099999999999</v>
      </c>
      <c r="C1950">
        <v>1.1933039999999999</v>
      </c>
      <c r="D1950">
        <v>0.988591</v>
      </c>
      <c r="E1950">
        <v>12.915385000000001</v>
      </c>
      <c r="F1950">
        <v>0.89480999999999999</v>
      </c>
    </row>
    <row r="1951" spans="1:6">
      <c r="A1951" s="11">
        <v>1948</v>
      </c>
      <c r="B1951">
        <v>2.0522469999999999</v>
      </c>
      <c r="C1951">
        <v>0.80962100000000004</v>
      </c>
      <c r="D1951">
        <v>0.43413200000000002</v>
      </c>
      <c r="E1951">
        <v>0.51303799999999999</v>
      </c>
      <c r="F1951">
        <v>3.0845940000000001</v>
      </c>
    </row>
    <row r="1952" spans="1:6">
      <c r="A1952" s="11">
        <v>1949</v>
      </c>
      <c r="B1952">
        <v>0.44627600000000001</v>
      </c>
      <c r="C1952">
        <v>0.66478899999999996</v>
      </c>
      <c r="D1952">
        <v>3.8757999999999999</v>
      </c>
      <c r="E1952">
        <v>0.36419600000000002</v>
      </c>
      <c r="F1952">
        <v>1.2826090000000001</v>
      </c>
    </row>
    <row r="1953" spans="1:6">
      <c r="A1953" s="11">
        <v>1950</v>
      </c>
      <c r="B1953">
        <v>3.416102</v>
      </c>
      <c r="C1953">
        <v>1.755231</v>
      </c>
      <c r="D1953">
        <v>0.46211600000000003</v>
      </c>
      <c r="E1953">
        <v>2.5994039999999998</v>
      </c>
      <c r="F1953">
        <v>0.66701200000000005</v>
      </c>
    </row>
    <row r="1954" spans="1:6">
      <c r="A1954" s="11">
        <v>1951</v>
      </c>
      <c r="B1954">
        <v>0.68384500000000004</v>
      </c>
      <c r="C1954">
        <v>0.25053399999999998</v>
      </c>
      <c r="D1954">
        <v>0.49940299999999999</v>
      </c>
      <c r="E1954">
        <v>4.0375430000000003</v>
      </c>
      <c r="F1954">
        <v>0.89483400000000002</v>
      </c>
    </row>
    <row r="1955" spans="1:6">
      <c r="A1955" s="11">
        <v>1952</v>
      </c>
      <c r="B1955">
        <v>0.62267499999999998</v>
      </c>
      <c r="C1955">
        <v>2.0122179999999998</v>
      </c>
      <c r="D1955">
        <v>0.958206</v>
      </c>
      <c r="E1955">
        <v>0.92125800000000002</v>
      </c>
      <c r="F1955">
        <v>2.185241</v>
      </c>
    </row>
    <row r="1956" spans="1:6">
      <c r="A1956" s="11">
        <v>1953</v>
      </c>
      <c r="B1956">
        <v>0.52800499999999995</v>
      </c>
      <c r="C1956">
        <v>1.7438450000000001</v>
      </c>
      <c r="D1956">
        <v>0.27344099999999999</v>
      </c>
      <c r="E1956">
        <v>0.64456999999999998</v>
      </c>
      <c r="F1956">
        <v>1.086667</v>
      </c>
    </row>
    <row r="1957" spans="1:6">
      <c r="A1957" s="11">
        <v>1954</v>
      </c>
      <c r="B1957">
        <v>0.331312</v>
      </c>
      <c r="C1957">
        <v>0.64150499999999999</v>
      </c>
      <c r="D1957">
        <v>18.653203999999999</v>
      </c>
      <c r="E1957">
        <v>3.2806250000000001</v>
      </c>
      <c r="F1957">
        <v>0.20077400000000001</v>
      </c>
    </row>
    <row r="1958" spans="1:6">
      <c r="A1958" s="11">
        <v>1955</v>
      </c>
      <c r="B1958">
        <v>2.711859</v>
      </c>
      <c r="C1958">
        <v>0.50146999999999997</v>
      </c>
      <c r="D1958">
        <v>3.7093699999999998</v>
      </c>
      <c r="E1958">
        <v>2.4283380000000001</v>
      </c>
      <c r="F1958">
        <v>6.0256049999999997</v>
      </c>
    </row>
    <row r="1959" spans="1:6">
      <c r="A1959" s="11">
        <v>1956</v>
      </c>
      <c r="B1959">
        <v>0.74997499999999995</v>
      </c>
      <c r="C1959">
        <v>0.30143599999999998</v>
      </c>
      <c r="D1959">
        <v>1.7225839999999999</v>
      </c>
      <c r="E1959">
        <v>0.74149100000000001</v>
      </c>
      <c r="F1959">
        <v>3.1066750000000001</v>
      </c>
    </row>
    <row r="1960" spans="1:6">
      <c r="A1960" s="11">
        <v>1957</v>
      </c>
      <c r="B1960">
        <v>1.089712</v>
      </c>
      <c r="C1960">
        <v>2.65551</v>
      </c>
      <c r="D1960">
        <v>3.1099969999999999</v>
      </c>
      <c r="E1960">
        <v>9.0256000000000003E-2</v>
      </c>
      <c r="F1960">
        <v>0.49647200000000002</v>
      </c>
    </row>
    <row r="1961" spans="1:6">
      <c r="A1961" s="11">
        <v>1958</v>
      </c>
      <c r="B1961">
        <v>0.168098</v>
      </c>
      <c r="C1961">
        <v>0.81049099999999996</v>
      </c>
      <c r="D1961">
        <v>0.96516900000000005</v>
      </c>
      <c r="E1961">
        <v>5.2392940000000001</v>
      </c>
      <c r="F1961">
        <v>0.28696700000000003</v>
      </c>
    </row>
    <row r="1962" spans="1:6">
      <c r="A1962" s="11">
        <v>1959</v>
      </c>
      <c r="B1962">
        <v>0.90373999999999999</v>
      </c>
      <c r="C1962">
        <v>0.108309</v>
      </c>
      <c r="D1962">
        <v>0.11942</v>
      </c>
      <c r="E1962">
        <v>0.24601000000000001</v>
      </c>
      <c r="F1962">
        <v>0.33705499999999999</v>
      </c>
    </row>
    <row r="1963" spans="1:6">
      <c r="A1963" s="11">
        <v>1960</v>
      </c>
      <c r="B1963">
        <v>0.57818999999999998</v>
      </c>
      <c r="C1963">
        <v>1.185721</v>
      </c>
      <c r="D1963">
        <v>0.58083200000000001</v>
      </c>
      <c r="E1963">
        <v>2.2394949999999998</v>
      </c>
      <c r="F1963">
        <v>1.7581869999999999</v>
      </c>
    </row>
    <row r="1964" spans="1:6">
      <c r="A1964" s="11">
        <v>1961</v>
      </c>
      <c r="B1964">
        <v>0.35695300000000002</v>
      </c>
      <c r="C1964">
        <v>2.4795090000000002</v>
      </c>
      <c r="D1964">
        <v>0.39138200000000001</v>
      </c>
      <c r="E1964">
        <v>1.4116249999999999</v>
      </c>
      <c r="F1964">
        <v>2.0145390000000001</v>
      </c>
    </row>
    <row r="1965" spans="1:6">
      <c r="A1965" s="11">
        <v>1962</v>
      </c>
      <c r="B1965">
        <v>4.6716800000000003</v>
      </c>
      <c r="C1965">
        <v>0.20452100000000001</v>
      </c>
      <c r="D1965">
        <v>0.59082400000000002</v>
      </c>
      <c r="E1965">
        <v>0.99644200000000005</v>
      </c>
      <c r="F1965">
        <v>0.29039199999999998</v>
      </c>
    </row>
    <row r="1966" spans="1:6">
      <c r="A1966" s="11">
        <v>1963</v>
      </c>
      <c r="B1966">
        <v>4.6897010000000003</v>
      </c>
      <c r="C1966">
        <v>0.425317</v>
      </c>
      <c r="D1966">
        <v>1.1336619999999999</v>
      </c>
      <c r="E1966">
        <v>0.73628899999999997</v>
      </c>
      <c r="F1966">
        <v>2.4388740000000002</v>
      </c>
    </row>
    <row r="1967" spans="1:6">
      <c r="A1967" s="11">
        <v>1964</v>
      </c>
      <c r="B1967">
        <v>1.903189</v>
      </c>
      <c r="C1967">
        <v>3.1718829999999998</v>
      </c>
      <c r="D1967">
        <v>0.73208499999999999</v>
      </c>
      <c r="E1967">
        <v>2.5730029999999999</v>
      </c>
      <c r="F1967">
        <v>0.220998</v>
      </c>
    </row>
    <row r="1968" spans="1:6">
      <c r="A1968" s="11">
        <v>1965</v>
      </c>
      <c r="B1968">
        <v>0.16420899999999999</v>
      </c>
      <c r="C1968">
        <v>0.41892099999999999</v>
      </c>
      <c r="D1968">
        <v>1.4953419999999999</v>
      </c>
      <c r="E1968">
        <v>2.400083</v>
      </c>
      <c r="F1968">
        <v>2.0039180000000001</v>
      </c>
    </row>
    <row r="1969" spans="1:6">
      <c r="A1969" s="11">
        <v>1966</v>
      </c>
      <c r="B1969">
        <v>4.511063</v>
      </c>
      <c r="C1969">
        <v>0.82559300000000002</v>
      </c>
      <c r="D1969">
        <v>0.64508500000000002</v>
      </c>
      <c r="E1969">
        <v>0.93631200000000003</v>
      </c>
      <c r="F1969">
        <v>1.5232589999999999</v>
      </c>
    </row>
    <row r="1970" spans="1:6">
      <c r="A1970" s="11">
        <v>1967</v>
      </c>
      <c r="B1970">
        <v>0.90615900000000005</v>
      </c>
      <c r="C1970">
        <v>1.8883220000000001</v>
      </c>
      <c r="D1970">
        <v>0.79373199999999999</v>
      </c>
      <c r="E1970">
        <v>0.88693699999999998</v>
      </c>
      <c r="F1970">
        <v>1.0026550000000001</v>
      </c>
    </row>
    <row r="1971" spans="1:6">
      <c r="A1971" s="11">
        <v>1968</v>
      </c>
      <c r="B1971">
        <v>1.1209480000000001</v>
      </c>
      <c r="C1971">
        <v>0.63827999999999996</v>
      </c>
      <c r="D1971">
        <v>2.0292460000000001</v>
      </c>
      <c r="E1971">
        <v>1.2106490000000001</v>
      </c>
      <c r="F1971">
        <v>5.7104730000000004</v>
      </c>
    </row>
    <row r="1972" spans="1:6">
      <c r="A1972" s="11">
        <v>1969</v>
      </c>
      <c r="B1972">
        <v>15.457445</v>
      </c>
      <c r="C1972">
        <v>0.92264299999999999</v>
      </c>
      <c r="D1972">
        <v>0.76219800000000004</v>
      </c>
      <c r="E1972">
        <v>4.0721309999999997</v>
      </c>
      <c r="F1972">
        <v>0.41462700000000002</v>
      </c>
    </row>
    <row r="1973" spans="1:6">
      <c r="A1973" s="11">
        <v>1970</v>
      </c>
      <c r="B1973">
        <v>1.334095</v>
      </c>
      <c r="C1973">
        <v>2.7452179999999999</v>
      </c>
      <c r="D1973">
        <v>0.63478999999999997</v>
      </c>
      <c r="E1973">
        <v>0.68829300000000004</v>
      </c>
      <c r="F1973">
        <v>3.5487109999999999</v>
      </c>
    </row>
    <row r="1974" spans="1:6">
      <c r="A1974" s="11">
        <v>1971</v>
      </c>
      <c r="B1974">
        <v>0.79376400000000003</v>
      </c>
      <c r="C1974">
        <v>0.37563600000000003</v>
      </c>
      <c r="D1974">
        <v>0.50281699999999996</v>
      </c>
      <c r="E1974">
        <v>6.5281450000000003</v>
      </c>
      <c r="F1974">
        <v>0.89656999999999998</v>
      </c>
    </row>
    <row r="1975" spans="1:6">
      <c r="A1975" s="11">
        <v>1972</v>
      </c>
      <c r="B1975">
        <v>2.2245550000000001</v>
      </c>
      <c r="C1975">
        <v>0.31386700000000001</v>
      </c>
      <c r="D1975">
        <v>2.7411919999999999</v>
      </c>
      <c r="E1975">
        <v>1.1579539999999999</v>
      </c>
      <c r="F1975">
        <v>5.0555120000000002</v>
      </c>
    </row>
    <row r="1976" spans="1:6">
      <c r="A1976" s="11">
        <v>1973</v>
      </c>
      <c r="B1976">
        <v>1.0991759999999999</v>
      </c>
      <c r="C1976">
        <v>2.2795999999999998</v>
      </c>
      <c r="D1976">
        <v>1.927718</v>
      </c>
      <c r="E1976">
        <v>7.9729369999999999</v>
      </c>
      <c r="F1976">
        <v>2.2271239999999999</v>
      </c>
    </row>
    <row r="1977" spans="1:6">
      <c r="A1977" s="11">
        <v>1974</v>
      </c>
      <c r="B1977">
        <v>0.31650400000000001</v>
      </c>
      <c r="C1977">
        <v>0.587422</v>
      </c>
      <c r="D1977">
        <v>4.6557659999999998</v>
      </c>
      <c r="E1977">
        <v>0.79336600000000002</v>
      </c>
      <c r="F1977">
        <v>2.718642</v>
      </c>
    </row>
    <row r="1978" spans="1:6">
      <c r="A1978" s="11">
        <v>1975</v>
      </c>
      <c r="B1978">
        <v>4.2035070000000001</v>
      </c>
      <c r="C1978">
        <v>8.5254080000000005</v>
      </c>
      <c r="D1978">
        <v>0.154086</v>
      </c>
      <c r="E1978">
        <v>1.3624909999999999</v>
      </c>
      <c r="F1978">
        <v>0.89750200000000002</v>
      </c>
    </row>
    <row r="1979" spans="1:6">
      <c r="A1979" s="11">
        <v>1976</v>
      </c>
      <c r="B1979">
        <v>1.669775</v>
      </c>
      <c r="C1979">
        <v>0.39704800000000001</v>
      </c>
      <c r="D1979">
        <v>0.91349499999999995</v>
      </c>
      <c r="E1979">
        <v>1.2903009999999999</v>
      </c>
      <c r="F1979">
        <v>1.434822</v>
      </c>
    </row>
    <row r="1980" spans="1:6">
      <c r="A1980" s="11">
        <v>1977</v>
      </c>
      <c r="B1980">
        <v>4.4457360000000001</v>
      </c>
      <c r="C1980">
        <v>0.28845300000000001</v>
      </c>
      <c r="D1980">
        <v>0.93273099999999998</v>
      </c>
      <c r="E1980">
        <v>1.8481369999999999</v>
      </c>
      <c r="F1980">
        <v>3.8527809999999998</v>
      </c>
    </row>
    <row r="1981" spans="1:6">
      <c r="A1981" s="11">
        <v>1978</v>
      </c>
      <c r="B1981">
        <v>0.26993299999999998</v>
      </c>
      <c r="C1981">
        <v>1.2562720000000001</v>
      </c>
      <c r="D1981">
        <v>0.51070800000000005</v>
      </c>
      <c r="E1981">
        <v>0.68642300000000001</v>
      </c>
      <c r="F1981">
        <v>2.1713969999999998</v>
      </c>
    </row>
    <row r="1982" spans="1:6">
      <c r="A1982" s="11">
        <v>1979</v>
      </c>
      <c r="B1982">
        <v>2.2487529999999998</v>
      </c>
      <c r="C1982">
        <v>4.730092</v>
      </c>
      <c r="D1982">
        <v>0.68790799999999996</v>
      </c>
      <c r="E1982">
        <v>1.0204850000000001</v>
      </c>
      <c r="F1982">
        <v>2.309339</v>
      </c>
    </row>
    <row r="1983" spans="1:6">
      <c r="A1983" s="11">
        <v>1980</v>
      </c>
      <c r="B1983">
        <v>0.19782</v>
      </c>
      <c r="C1983">
        <v>0.32661099999999998</v>
      </c>
      <c r="D1983">
        <v>1.0713029999999999</v>
      </c>
      <c r="E1983">
        <v>1.015423</v>
      </c>
      <c r="F1983">
        <v>0.206617</v>
      </c>
    </row>
    <row r="1984" spans="1:6">
      <c r="A1984" s="11">
        <v>1981</v>
      </c>
      <c r="B1984">
        <v>1.2168060000000001</v>
      </c>
      <c r="C1984">
        <v>3.1988379999999998</v>
      </c>
      <c r="D1984">
        <v>2.4169990000000001</v>
      </c>
      <c r="E1984">
        <v>3.193082</v>
      </c>
      <c r="F1984">
        <v>2.0291139999999999</v>
      </c>
    </row>
    <row r="1985" spans="1:6">
      <c r="A1985" s="11">
        <v>1982</v>
      </c>
      <c r="B1985">
        <v>5.5672189999999997</v>
      </c>
      <c r="C1985">
        <v>3.1017049999999999</v>
      </c>
      <c r="D1985">
        <v>3.490469</v>
      </c>
      <c r="E1985">
        <v>1.1313709999999999</v>
      </c>
      <c r="F1985">
        <v>0.89949199999999996</v>
      </c>
    </row>
    <row r="1986" spans="1:6">
      <c r="A1986" s="11">
        <v>1983</v>
      </c>
      <c r="B1986">
        <v>1.1231450000000001</v>
      </c>
      <c r="C1986">
        <v>0.39402500000000001</v>
      </c>
      <c r="D1986">
        <v>3.0555889999999999</v>
      </c>
      <c r="E1986">
        <v>1.056808</v>
      </c>
      <c r="F1986">
        <v>0.88743399999999995</v>
      </c>
    </row>
    <row r="1987" spans="1:6">
      <c r="A1987" s="11">
        <v>1984</v>
      </c>
      <c r="B1987">
        <v>1.586209</v>
      </c>
      <c r="C1987">
        <v>9.4617999999999994E-2</v>
      </c>
      <c r="D1987">
        <v>0.49807299999999999</v>
      </c>
      <c r="E1987">
        <v>6.5525419999999999</v>
      </c>
      <c r="F1987">
        <v>0.56772999999999996</v>
      </c>
    </row>
    <row r="1988" spans="1:6">
      <c r="A1988" s="11">
        <v>1985</v>
      </c>
      <c r="B1988">
        <v>0.48740499999999998</v>
      </c>
      <c r="C1988">
        <v>1.5135620000000001</v>
      </c>
      <c r="D1988">
        <v>6.5225289999999996</v>
      </c>
      <c r="E1988">
        <v>7.4379670000000004</v>
      </c>
      <c r="F1988">
        <v>5.894279</v>
      </c>
    </row>
    <row r="1989" spans="1:6">
      <c r="A1989" s="11">
        <v>1986</v>
      </c>
      <c r="B1989">
        <v>2.0686619999999998</v>
      </c>
      <c r="C1989">
        <v>0.82729200000000003</v>
      </c>
      <c r="D1989">
        <v>1.2710939999999999</v>
      </c>
      <c r="E1989">
        <v>3.8773919999999999</v>
      </c>
      <c r="F1989">
        <v>0.94851399999999997</v>
      </c>
    </row>
    <row r="1990" spans="1:6">
      <c r="A1990" s="11">
        <v>1987</v>
      </c>
      <c r="B1990">
        <v>7.3221850000000002</v>
      </c>
      <c r="C1990">
        <v>0.92011200000000004</v>
      </c>
      <c r="D1990">
        <v>1.643975</v>
      </c>
      <c r="E1990">
        <v>2.897389</v>
      </c>
      <c r="F1990">
        <v>3.4667289999999999</v>
      </c>
    </row>
    <row r="1991" spans="1:6">
      <c r="A1991" s="11">
        <v>1988</v>
      </c>
      <c r="B1991">
        <v>1.5158579999999999</v>
      </c>
      <c r="C1991">
        <v>0.43735400000000002</v>
      </c>
      <c r="D1991">
        <v>12.054043</v>
      </c>
      <c r="E1991">
        <v>1.291533</v>
      </c>
      <c r="F1991">
        <v>4.0258339999999997</v>
      </c>
    </row>
    <row r="1992" spans="1:6">
      <c r="A1992" s="11">
        <v>1989</v>
      </c>
      <c r="B1992">
        <v>0.99526099999999995</v>
      </c>
      <c r="C1992">
        <v>10.647408</v>
      </c>
      <c r="D1992">
        <v>1.0328740000000001</v>
      </c>
      <c r="E1992">
        <v>0.36050700000000002</v>
      </c>
      <c r="F1992">
        <v>2.4563100000000002</v>
      </c>
    </row>
    <row r="1993" spans="1:6">
      <c r="A1993" s="11">
        <v>1990</v>
      </c>
      <c r="B1993">
        <v>1.821053</v>
      </c>
      <c r="C1993">
        <v>0.831565</v>
      </c>
      <c r="D1993">
        <v>1.067599</v>
      </c>
      <c r="E1993">
        <v>0.82018199999999997</v>
      </c>
      <c r="F1993">
        <v>0.70086400000000004</v>
      </c>
    </row>
    <row r="1994" spans="1:6">
      <c r="A1994" s="11">
        <v>1991</v>
      </c>
      <c r="B1994">
        <v>4.9001760000000001</v>
      </c>
      <c r="C1994">
        <v>7.3443259999999997</v>
      </c>
      <c r="D1994">
        <v>12.124412</v>
      </c>
      <c r="E1994">
        <v>0.23661299999999999</v>
      </c>
      <c r="F1994">
        <v>0.53846400000000005</v>
      </c>
    </row>
    <row r="1995" spans="1:6">
      <c r="A1995" s="11">
        <v>1992</v>
      </c>
      <c r="B1995">
        <v>1.418088</v>
      </c>
      <c r="C1995">
        <v>1.134757</v>
      </c>
      <c r="D1995">
        <v>0.98425399999999996</v>
      </c>
      <c r="E1995">
        <v>2.6846199999999998</v>
      </c>
      <c r="F1995">
        <v>0.61580999999999997</v>
      </c>
    </row>
    <row r="1996" spans="1:6">
      <c r="A1996" s="11">
        <v>1993</v>
      </c>
      <c r="B1996">
        <v>0.68740599999999996</v>
      </c>
      <c r="C1996">
        <v>0.85958500000000004</v>
      </c>
      <c r="D1996">
        <v>0.28789399999999998</v>
      </c>
      <c r="E1996">
        <v>0.42773</v>
      </c>
      <c r="F1996">
        <v>0.21542800000000001</v>
      </c>
    </row>
    <row r="1997" spans="1:6">
      <c r="A1997" s="11">
        <v>1994</v>
      </c>
      <c r="B1997">
        <v>12.82076</v>
      </c>
      <c r="C1997">
        <v>5.2041880000000003</v>
      </c>
      <c r="D1997">
        <v>1.407141</v>
      </c>
      <c r="E1997">
        <v>1.907742</v>
      </c>
      <c r="F1997">
        <v>2.8600449999999999</v>
      </c>
    </row>
    <row r="1998" spans="1:6">
      <c r="A1998" s="11">
        <v>1995</v>
      </c>
      <c r="B1998">
        <v>1.0632200000000001</v>
      </c>
      <c r="C1998">
        <v>2.1444749999999999</v>
      </c>
      <c r="D1998">
        <v>1.847755</v>
      </c>
      <c r="E1998">
        <v>6.2908970000000002</v>
      </c>
      <c r="F1998">
        <v>2.7441800000000001</v>
      </c>
    </row>
    <row r="1999" spans="1:6">
      <c r="A1999" s="11">
        <v>1996</v>
      </c>
      <c r="B1999">
        <v>2.4673569999999998</v>
      </c>
      <c r="C1999">
        <v>3.6917580000000001</v>
      </c>
      <c r="D1999">
        <v>1.1753929999999999</v>
      </c>
      <c r="E1999">
        <v>18.482275999999999</v>
      </c>
      <c r="F1999">
        <v>0.71752499999999997</v>
      </c>
    </row>
    <row r="2000" spans="1:6">
      <c r="A2000" s="11">
        <v>1997</v>
      </c>
      <c r="B2000">
        <v>0.49192799999999998</v>
      </c>
      <c r="C2000">
        <v>16.548162000000001</v>
      </c>
      <c r="D2000">
        <v>0.162159</v>
      </c>
      <c r="E2000">
        <v>3.8897210000000002</v>
      </c>
      <c r="F2000">
        <v>0.40055299999999999</v>
      </c>
    </row>
    <row r="2001" spans="1:6">
      <c r="A2001" s="11">
        <v>1998</v>
      </c>
      <c r="B2001">
        <v>6.5752969999999999</v>
      </c>
      <c r="C2001">
        <v>0.95540499999999995</v>
      </c>
      <c r="D2001">
        <v>0.99832600000000005</v>
      </c>
      <c r="E2001">
        <v>0.71281099999999997</v>
      </c>
      <c r="F2001">
        <v>0.212313</v>
      </c>
    </row>
    <row r="2002" spans="1:6">
      <c r="A2002" s="11">
        <v>1999</v>
      </c>
      <c r="B2002">
        <v>0.91110500000000005</v>
      </c>
      <c r="C2002">
        <v>0.39211299999999999</v>
      </c>
      <c r="D2002">
        <v>0.56337899999999996</v>
      </c>
      <c r="E2002">
        <v>0.79791900000000004</v>
      </c>
      <c r="F2002">
        <v>1.150995</v>
      </c>
    </row>
    <row r="2003" spans="1:6">
      <c r="A2003" s="11">
        <v>2000</v>
      </c>
      <c r="B2003">
        <v>3.703687</v>
      </c>
      <c r="C2003">
        <v>0.678975</v>
      </c>
      <c r="D2003">
        <v>0.40120099999999997</v>
      </c>
      <c r="E2003">
        <v>0.55266499999999996</v>
      </c>
      <c r="F2003">
        <v>0.20704800000000001</v>
      </c>
    </row>
    <row r="2004" spans="1:6">
      <c r="A2004" s="11">
        <v>2001</v>
      </c>
    </row>
    <row r="2005" spans="1:6">
      <c r="A2005" s="11">
        <v>2002</v>
      </c>
    </row>
    <row r="2006" spans="1:6">
      <c r="A2006" s="11">
        <v>2003</v>
      </c>
    </row>
    <row r="2007" spans="1:6">
      <c r="A2007" s="11">
        <v>2004</v>
      </c>
    </row>
    <row r="2008" spans="1:6">
      <c r="A2008" s="11">
        <v>2005</v>
      </c>
    </row>
    <row r="2009" spans="1:6">
      <c r="A2009" s="11">
        <v>2006</v>
      </c>
    </row>
    <row r="2010" spans="1:6">
      <c r="A2010" s="11">
        <v>2007</v>
      </c>
    </row>
    <row r="2011" spans="1:6">
      <c r="A2011" s="11">
        <v>2008</v>
      </c>
    </row>
    <row r="2012" spans="1:6">
      <c r="A2012" s="11">
        <v>2009</v>
      </c>
    </row>
    <row r="2013" spans="1:6">
      <c r="A2013" s="11">
        <v>2010</v>
      </c>
    </row>
    <row r="2014" spans="1:6">
      <c r="A2014" s="11">
        <v>2011</v>
      </c>
    </row>
    <row r="2015" spans="1:6">
      <c r="A2015" s="11">
        <v>2012</v>
      </c>
    </row>
    <row r="2016" spans="1:6">
      <c r="A2016" s="11">
        <v>2013</v>
      </c>
    </row>
    <row r="2017" spans="1:1">
      <c r="A2017" s="11">
        <v>2014</v>
      </c>
    </row>
    <row r="2018" spans="1:1">
      <c r="A2018" s="11">
        <v>2015</v>
      </c>
    </row>
    <row r="2019" spans="1:1">
      <c r="A2019" s="11">
        <v>2016</v>
      </c>
    </row>
    <row r="2020" spans="1:1">
      <c r="A2020" s="11">
        <v>2017</v>
      </c>
    </row>
    <row r="2021" spans="1:1">
      <c r="A2021" s="11">
        <v>2018</v>
      </c>
    </row>
    <row r="2022" spans="1:1">
      <c r="A2022" s="11">
        <v>2019</v>
      </c>
    </row>
    <row r="2023" spans="1:1">
      <c r="A2023" s="11">
        <v>2020</v>
      </c>
    </row>
    <row r="2024" spans="1:1">
      <c r="A2024" s="11">
        <v>2021</v>
      </c>
    </row>
    <row r="2025" spans="1:1">
      <c r="A2025" s="11">
        <v>2022</v>
      </c>
    </row>
    <row r="2026" spans="1:1">
      <c r="A2026" s="11">
        <v>2023</v>
      </c>
    </row>
    <row r="2027" spans="1:1">
      <c r="A2027" s="11">
        <v>2024</v>
      </c>
    </row>
    <row r="2028" spans="1:1">
      <c r="A2028" s="11">
        <v>2025</v>
      </c>
    </row>
    <row r="2029" spans="1:1">
      <c r="A2029" s="11">
        <v>2026</v>
      </c>
    </row>
    <row r="2030" spans="1:1">
      <c r="A2030" s="11">
        <v>2027</v>
      </c>
    </row>
    <row r="2031" spans="1:1">
      <c r="A2031" s="11">
        <v>2028</v>
      </c>
    </row>
    <row r="2032" spans="1:1">
      <c r="A2032" s="11">
        <v>2029</v>
      </c>
    </row>
    <row r="2033" spans="1:1">
      <c r="A2033" s="11">
        <v>2030</v>
      </c>
    </row>
    <row r="2034" spans="1:1">
      <c r="A2034" s="11">
        <v>2031</v>
      </c>
    </row>
    <row r="2035" spans="1:1">
      <c r="A2035" s="11">
        <v>2032</v>
      </c>
    </row>
    <row r="2036" spans="1:1">
      <c r="A2036" s="11">
        <v>2033</v>
      </c>
    </row>
    <row r="2037" spans="1:1">
      <c r="A2037" s="11">
        <v>2034</v>
      </c>
    </row>
    <row r="2038" spans="1:1">
      <c r="A2038" s="11">
        <v>2035</v>
      </c>
    </row>
    <row r="2039" spans="1:1">
      <c r="A2039" s="11">
        <v>2036</v>
      </c>
    </row>
    <row r="2040" spans="1:1">
      <c r="A2040" s="11">
        <v>2037</v>
      </c>
    </row>
    <row r="2041" spans="1:1">
      <c r="A2041" s="11">
        <v>2038</v>
      </c>
    </row>
    <row r="2042" spans="1:1">
      <c r="A2042" s="11">
        <v>2039</v>
      </c>
    </row>
    <row r="2043" spans="1:1">
      <c r="A2043" s="11">
        <v>2040</v>
      </c>
    </row>
    <row r="2044" spans="1:1">
      <c r="A2044" s="11">
        <v>2041</v>
      </c>
    </row>
    <row r="2045" spans="1:1">
      <c r="A2045" s="11">
        <v>2042</v>
      </c>
    </row>
    <row r="2046" spans="1:1">
      <c r="A2046" s="11">
        <v>2043</v>
      </c>
    </row>
    <row r="2047" spans="1:1">
      <c r="A2047" s="11">
        <v>2044</v>
      </c>
    </row>
    <row r="2048" spans="1:1">
      <c r="A2048" s="11">
        <v>2045</v>
      </c>
    </row>
    <row r="2049" spans="1:1">
      <c r="A2049" s="11">
        <v>2046</v>
      </c>
    </row>
    <row r="2050" spans="1:1">
      <c r="A2050" s="11">
        <v>2047</v>
      </c>
    </row>
    <row r="2051" spans="1:1">
      <c r="A2051" s="11">
        <v>2048</v>
      </c>
    </row>
    <row r="2052" spans="1:1">
      <c r="A2052" s="11">
        <v>2049</v>
      </c>
    </row>
    <row r="2053" spans="1:1">
      <c r="A2053" s="11">
        <v>2050</v>
      </c>
    </row>
    <row r="2054" spans="1:1">
      <c r="A2054" s="11">
        <v>2051</v>
      </c>
    </row>
    <row r="2055" spans="1:1">
      <c r="A2055" s="11">
        <v>2052</v>
      </c>
    </row>
    <row r="2056" spans="1:1">
      <c r="A2056" s="11">
        <v>2053</v>
      </c>
    </row>
    <row r="2057" spans="1:1">
      <c r="A2057" s="11">
        <v>2054</v>
      </c>
    </row>
    <row r="2058" spans="1:1">
      <c r="A2058" s="11">
        <v>2055</v>
      </c>
    </row>
    <row r="2059" spans="1:1">
      <c r="A2059" s="11">
        <v>2056</v>
      </c>
    </row>
    <row r="2060" spans="1:1">
      <c r="A2060" s="11">
        <v>2057</v>
      </c>
    </row>
    <row r="2061" spans="1:1">
      <c r="A2061" s="11">
        <v>2058</v>
      </c>
    </row>
    <row r="2062" spans="1:1">
      <c r="A2062" s="11">
        <v>2059</v>
      </c>
    </row>
    <row r="2063" spans="1:1">
      <c r="A2063" s="11">
        <v>2060</v>
      </c>
    </row>
    <row r="2064" spans="1:1">
      <c r="A2064" s="11">
        <v>2061</v>
      </c>
    </row>
    <row r="2065" spans="1:1">
      <c r="A2065" s="11">
        <v>2062</v>
      </c>
    </row>
    <row r="2066" spans="1:1">
      <c r="A2066" s="11">
        <v>2063</v>
      </c>
    </row>
    <row r="2067" spans="1:1">
      <c r="A2067" s="11">
        <v>2064</v>
      </c>
    </row>
    <row r="2068" spans="1:1">
      <c r="A2068" s="11">
        <v>2065</v>
      </c>
    </row>
    <row r="2069" spans="1:1">
      <c r="A2069" s="11">
        <v>2066</v>
      </c>
    </row>
    <row r="2070" spans="1:1">
      <c r="A2070" s="11">
        <v>2067</v>
      </c>
    </row>
    <row r="2071" spans="1:1">
      <c r="A2071" s="11">
        <v>2068</v>
      </c>
    </row>
    <row r="2072" spans="1:1">
      <c r="A2072" s="11">
        <v>2069</v>
      </c>
    </row>
    <row r="2073" spans="1:1">
      <c r="A2073" s="11">
        <v>2070</v>
      </c>
    </row>
    <row r="2074" spans="1:1">
      <c r="A2074" s="11">
        <v>2071</v>
      </c>
    </row>
    <row r="2075" spans="1:1">
      <c r="A2075" s="11">
        <v>2072</v>
      </c>
    </row>
    <row r="2076" spans="1:1">
      <c r="A2076" s="11">
        <v>2073</v>
      </c>
    </row>
    <row r="2077" spans="1:1">
      <c r="A2077" s="11">
        <v>2074</v>
      </c>
    </row>
    <row r="2078" spans="1:1">
      <c r="A2078" s="11">
        <v>2075</v>
      </c>
    </row>
    <row r="2079" spans="1:1">
      <c r="A2079" s="11">
        <v>2076</v>
      </c>
    </row>
    <row r="2080" spans="1:1">
      <c r="A2080" s="11">
        <v>2077</v>
      </c>
    </row>
    <row r="2081" spans="1:1">
      <c r="A2081" s="11">
        <v>2078</v>
      </c>
    </row>
    <row r="2082" spans="1:1">
      <c r="A2082" s="11">
        <v>2079</v>
      </c>
    </row>
    <row r="2083" spans="1:1">
      <c r="A2083" s="11">
        <v>2080</v>
      </c>
    </row>
    <row r="2084" spans="1:1">
      <c r="A2084" s="11">
        <v>2081</v>
      </c>
    </row>
    <row r="2085" spans="1:1">
      <c r="A2085" s="11">
        <v>2082</v>
      </c>
    </row>
    <row r="2086" spans="1:1">
      <c r="A2086" s="11">
        <v>2083</v>
      </c>
    </row>
    <row r="2087" spans="1:1">
      <c r="A2087" s="11">
        <v>2084</v>
      </c>
    </row>
    <row r="2088" spans="1:1">
      <c r="A2088" s="11">
        <v>2085</v>
      </c>
    </row>
    <row r="2089" spans="1:1">
      <c r="A2089" s="11">
        <v>2086</v>
      </c>
    </row>
    <row r="2090" spans="1:1">
      <c r="A2090" s="11">
        <v>2087</v>
      </c>
    </row>
    <row r="2091" spans="1:1">
      <c r="A2091" s="11">
        <v>2088</v>
      </c>
    </row>
    <row r="2092" spans="1:1">
      <c r="A2092" s="11">
        <v>2089</v>
      </c>
    </row>
    <row r="2093" spans="1:1">
      <c r="A2093" s="11">
        <v>2090</v>
      </c>
    </row>
    <row r="2094" spans="1:1">
      <c r="A2094" s="11">
        <v>2091</v>
      </c>
    </row>
    <row r="2095" spans="1:1">
      <c r="A2095" s="11">
        <v>2092</v>
      </c>
    </row>
    <row r="2096" spans="1:1">
      <c r="A2096" s="11">
        <v>2093</v>
      </c>
    </row>
    <row r="2097" spans="1:1">
      <c r="A2097" s="11">
        <v>2094</v>
      </c>
    </row>
    <row r="2098" spans="1:1">
      <c r="A2098" s="11">
        <v>2095</v>
      </c>
    </row>
    <row r="2099" spans="1:1">
      <c r="A2099" s="11">
        <v>2096</v>
      </c>
    </row>
    <row r="2100" spans="1:1">
      <c r="A2100" s="11">
        <v>2097</v>
      </c>
    </row>
    <row r="2101" spans="1:1">
      <c r="A2101" s="11">
        <v>2098</v>
      </c>
    </row>
    <row r="2102" spans="1:1">
      <c r="A2102" s="11">
        <v>2099</v>
      </c>
    </row>
    <row r="2103" spans="1:1">
      <c r="A2103" s="11">
        <v>2100</v>
      </c>
    </row>
    <row r="2104" spans="1:1">
      <c r="A2104" s="11">
        <v>2101</v>
      </c>
    </row>
    <row r="2105" spans="1:1">
      <c r="A2105" s="11">
        <v>2102</v>
      </c>
    </row>
    <row r="2106" spans="1:1">
      <c r="A2106" s="11">
        <v>2103</v>
      </c>
    </row>
    <row r="2107" spans="1:1">
      <c r="A2107" s="11">
        <v>2104</v>
      </c>
    </row>
    <row r="2108" spans="1:1">
      <c r="A2108" s="11">
        <v>2105</v>
      </c>
    </row>
    <row r="2109" spans="1:1">
      <c r="A2109" s="11">
        <v>2106</v>
      </c>
    </row>
    <row r="2110" spans="1:1">
      <c r="A2110" s="11">
        <v>2107</v>
      </c>
    </row>
    <row r="2111" spans="1:1">
      <c r="A2111" s="11">
        <v>2108</v>
      </c>
    </row>
    <row r="2112" spans="1:1">
      <c r="A2112" s="11">
        <v>2109</v>
      </c>
    </row>
    <row r="2113" spans="1:1">
      <c r="A2113" s="11">
        <v>2110</v>
      </c>
    </row>
    <row r="2114" spans="1:1">
      <c r="A2114" s="11">
        <v>2111</v>
      </c>
    </row>
    <row r="2115" spans="1:1">
      <c r="A2115" s="11">
        <v>2112</v>
      </c>
    </row>
    <row r="2116" spans="1:1">
      <c r="A2116" s="11">
        <v>2113</v>
      </c>
    </row>
    <row r="2117" spans="1:1">
      <c r="A2117" s="11">
        <v>2114</v>
      </c>
    </row>
    <row r="2118" spans="1:1">
      <c r="A2118" s="11">
        <v>2115</v>
      </c>
    </row>
    <row r="2119" spans="1:1">
      <c r="A2119" s="11">
        <v>2116</v>
      </c>
    </row>
    <row r="2120" spans="1:1">
      <c r="A2120" s="11">
        <v>2117</v>
      </c>
    </row>
    <row r="2121" spans="1:1">
      <c r="A2121" s="11">
        <v>2118</v>
      </c>
    </row>
    <row r="2122" spans="1:1">
      <c r="A2122" s="11">
        <v>2119</v>
      </c>
    </row>
    <row r="2123" spans="1:1">
      <c r="A2123" s="11">
        <v>2120</v>
      </c>
    </row>
    <row r="2124" spans="1:1">
      <c r="A2124" s="11">
        <v>2121</v>
      </c>
    </row>
    <row r="2125" spans="1:1">
      <c r="A2125" s="11">
        <v>2122</v>
      </c>
    </row>
    <row r="2126" spans="1:1">
      <c r="A2126" s="11">
        <v>2123</v>
      </c>
    </row>
    <row r="2127" spans="1:1">
      <c r="A2127" s="11">
        <v>2124</v>
      </c>
    </row>
    <row r="2128" spans="1:1">
      <c r="A2128" s="11">
        <v>2125</v>
      </c>
    </row>
    <row r="2129" spans="1:1">
      <c r="A2129" s="11">
        <v>2126</v>
      </c>
    </row>
    <row r="2130" spans="1:1">
      <c r="A2130" s="11">
        <v>2127</v>
      </c>
    </row>
    <row r="2131" spans="1:1">
      <c r="A2131" s="11">
        <v>2128</v>
      </c>
    </row>
    <row r="2132" spans="1:1">
      <c r="A2132" s="11">
        <v>2129</v>
      </c>
    </row>
    <row r="2133" spans="1:1">
      <c r="A2133" s="11">
        <v>2130</v>
      </c>
    </row>
    <row r="2134" spans="1:1">
      <c r="A2134" s="11">
        <v>2131</v>
      </c>
    </row>
    <row r="2135" spans="1:1">
      <c r="A2135" s="11">
        <v>2132</v>
      </c>
    </row>
    <row r="2136" spans="1:1">
      <c r="A2136" s="11">
        <v>2133</v>
      </c>
    </row>
    <row r="2137" spans="1:1">
      <c r="A2137" s="11">
        <v>2134</v>
      </c>
    </row>
    <row r="2138" spans="1:1">
      <c r="A2138" s="11">
        <v>2135</v>
      </c>
    </row>
    <row r="2139" spans="1:1">
      <c r="A2139" s="11">
        <v>2136</v>
      </c>
    </row>
    <row r="2140" spans="1:1">
      <c r="A2140" s="11">
        <v>2137</v>
      </c>
    </row>
    <row r="2141" spans="1:1">
      <c r="A2141" s="11">
        <v>2138</v>
      </c>
    </row>
    <row r="2142" spans="1:1">
      <c r="A2142" s="11">
        <v>2139</v>
      </c>
    </row>
    <row r="2143" spans="1:1">
      <c r="A2143" s="11">
        <v>2140</v>
      </c>
    </row>
    <row r="2144" spans="1:1">
      <c r="A2144" s="11">
        <v>2141</v>
      </c>
    </row>
    <row r="2145" spans="1:1">
      <c r="A2145" s="11">
        <v>2142</v>
      </c>
    </row>
    <row r="2146" spans="1:1">
      <c r="A2146" s="11">
        <v>2143</v>
      </c>
    </row>
    <row r="2147" spans="1:1">
      <c r="A2147" s="11">
        <v>2144</v>
      </c>
    </row>
    <row r="2148" spans="1:1">
      <c r="A2148" s="11">
        <v>2145</v>
      </c>
    </row>
    <row r="2149" spans="1:1">
      <c r="A2149" s="11">
        <v>2146</v>
      </c>
    </row>
    <row r="2150" spans="1:1">
      <c r="A2150" s="11">
        <v>2147</v>
      </c>
    </row>
    <row r="2151" spans="1:1">
      <c r="A2151" s="11">
        <v>2148</v>
      </c>
    </row>
    <row r="2152" spans="1:1">
      <c r="A2152" s="11">
        <v>2149</v>
      </c>
    </row>
    <row r="2153" spans="1:1">
      <c r="A2153" s="11">
        <v>2150</v>
      </c>
    </row>
    <row r="2154" spans="1:1">
      <c r="A2154" s="11">
        <v>2151</v>
      </c>
    </row>
    <row r="2155" spans="1:1">
      <c r="A2155" s="11">
        <v>2152</v>
      </c>
    </row>
    <row r="2156" spans="1:1">
      <c r="A2156" s="11">
        <v>2153</v>
      </c>
    </row>
    <row r="2157" spans="1:1">
      <c r="A2157" s="11">
        <v>2154</v>
      </c>
    </row>
    <row r="2158" spans="1:1">
      <c r="A2158" s="11">
        <v>2155</v>
      </c>
    </row>
    <row r="2159" spans="1:1">
      <c r="A2159" s="11">
        <v>2156</v>
      </c>
    </row>
    <row r="2160" spans="1:1">
      <c r="A2160" s="11">
        <v>2157</v>
      </c>
    </row>
    <row r="2161" spans="1:1">
      <c r="A2161" s="11">
        <v>2158</v>
      </c>
    </row>
    <row r="2162" spans="1:1">
      <c r="A2162" s="11">
        <v>2159</v>
      </c>
    </row>
    <row r="2163" spans="1:1">
      <c r="A2163" s="11">
        <v>2160</v>
      </c>
    </row>
    <row r="2164" spans="1:1">
      <c r="A2164" s="11">
        <v>2161</v>
      </c>
    </row>
    <row r="2165" spans="1:1">
      <c r="A2165" s="11">
        <v>2162</v>
      </c>
    </row>
    <row r="2166" spans="1:1">
      <c r="A2166" s="11">
        <v>2163</v>
      </c>
    </row>
    <row r="2167" spans="1:1">
      <c r="A2167" s="11">
        <v>2164</v>
      </c>
    </row>
    <row r="2168" spans="1:1">
      <c r="A2168" s="11">
        <v>2165</v>
      </c>
    </row>
    <row r="2169" spans="1:1">
      <c r="A2169" s="11">
        <v>2166</v>
      </c>
    </row>
    <row r="2170" spans="1:1">
      <c r="A2170" s="11">
        <v>2167</v>
      </c>
    </row>
    <row r="2171" spans="1:1">
      <c r="A2171" s="11">
        <v>2168</v>
      </c>
    </row>
    <row r="2172" spans="1:1">
      <c r="A2172" s="11">
        <v>2169</v>
      </c>
    </row>
    <row r="2173" spans="1:1">
      <c r="A2173" s="11">
        <v>2170</v>
      </c>
    </row>
    <row r="2174" spans="1:1">
      <c r="A2174" s="11">
        <v>2171</v>
      </c>
    </row>
    <row r="2175" spans="1:1">
      <c r="A2175" s="11">
        <v>2172</v>
      </c>
    </row>
    <row r="2176" spans="1:1">
      <c r="A2176" s="11">
        <v>2173</v>
      </c>
    </row>
    <row r="2177" spans="1:1">
      <c r="A2177" s="11">
        <v>2174</v>
      </c>
    </row>
    <row r="2178" spans="1:1">
      <c r="A2178" s="11">
        <v>2175</v>
      </c>
    </row>
    <row r="2179" spans="1:1">
      <c r="A2179" s="11">
        <v>2176</v>
      </c>
    </row>
    <row r="2180" spans="1:1">
      <c r="A2180" s="11">
        <v>2177</v>
      </c>
    </row>
    <row r="2181" spans="1:1">
      <c r="A2181" s="11">
        <v>2178</v>
      </c>
    </row>
    <row r="2182" spans="1:1">
      <c r="A2182" s="11">
        <v>2179</v>
      </c>
    </row>
    <row r="2183" spans="1:1">
      <c r="A2183" s="11">
        <v>2180</v>
      </c>
    </row>
    <row r="2184" spans="1:1">
      <c r="A2184" s="11">
        <v>2181</v>
      </c>
    </row>
    <row r="2185" spans="1:1">
      <c r="A2185" s="11">
        <v>2182</v>
      </c>
    </row>
    <row r="2186" spans="1:1">
      <c r="A2186" s="11">
        <v>2183</v>
      </c>
    </row>
    <row r="2187" spans="1:1">
      <c r="A2187" s="11">
        <v>2184</v>
      </c>
    </row>
    <row r="2188" spans="1:1">
      <c r="A2188" s="11">
        <v>2185</v>
      </c>
    </row>
    <row r="2189" spans="1:1">
      <c r="A2189" s="11">
        <v>2186</v>
      </c>
    </row>
    <row r="2190" spans="1:1">
      <c r="A2190" s="11">
        <v>2187</v>
      </c>
    </row>
    <row r="2191" spans="1:1">
      <c r="A2191" s="11">
        <v>2188</v>
      </c>
    </row>
    <row r="2192" spans="1:1">
      <c r="A2192" s="11">
        <v>2189</v>
      </c>
    </row>
    <row r="2193" spans="1:1">
      <c r="A2193" s="11">
        <v>2190</v>
      </c>
    </row>
    <row r="2194" spans="1:1">
      <c r="A2194" s="11">
        <v>2191</v>
      </c>
    </row>
    <row r="2195" spans="1:1">
      <c r="A2195" s="11">
        <v>2192</v>
      </c>
    </row>
    <row r="2196" spans="1:1">
      <c r="A2196" s="11">
        <v>2193</v>
      </c>
    </row>
    <row r="2197" spans="1:1">
      <c r="A2197" s="11">
        <v>2194</v>
      </c>
    </row>
    <row r="2198" spans="1:1">
      <c r="A2198" s="11">
        <v>2195</v>
      </c>
    </row>
    <row r="2199" spans="1:1">
      <c r="A2199" s="11">
        <v>2196</v>
      </c>
    </row>
    <row r="2200" spans="1:1">
      <c r="A2200" s="11">
        <v>2197</v>
      </c>
    </row>
    <row r="2201" spans="1:1">
      <c r="A2201" s="11">
        <v>2198</v>
      </c>
    </row>
    <row r="2202" spans="1:1">
      <c r="A2202" s="11">
        <v>2199</v>
      </c>
    </row>
    <row r="2203" spans="1:1">
      <c r="A2203" s="11">
        <v>2200</v>
      </c>
    </row>
    <row r="2204" spans="1:1">
      <c r="A2204" s="11">
        <v>2201</v>
      </c>
    </row>
    <row r="2205" spans="1:1">
      <c r="A2205" s="11">
        <v>2202</v>
      </c>
    </row>
    <row r="2206" spans="1:1">
      <c r="A2206" s="11">
        <v>2203</v>
      </c>
    </row>
    <row r="2207" spans="1:1">
      <c r="A2207" s="11">
        <v>2204</v>
      </c>
    </row>
    <row r="2208" spans="1:1">
      <c r="A2208" s="11">
        <v>2205</v>
      </c>
    </row>
    <row r="2209" spans="1:1">
      <c r="A2209" s="11">
        <v>2206</v>
      </c>
    </row>
    <row r="2210" spans="1:1">
      <c r="A2210" s="11">
        <v>2207</v>
      </c>
    </row>
    <row r="2211" spans="1:1">
      <c r="A2211" s="11">
        <v>2208</v>
      </c>
    </row>
    <row r="2212" spans="1:1">
      <c r="A2212" s="11">
        <v>2209</v>
      </c>
    </row>
    <row r="2213" spans="1:1">
      <c r="A2213" s="11">
        <v>2210</v>
      </c>
    </row>
    <row r="2214" spans="1:1">
      <c r="A2214" s="11">
        <v>2211</v>
      </c>
    </row>
    <row r="2215" spans="1:1">
      <c r="A2215" s="11">
        <v>2212</v>
      </c>
    </row>
    <row r="2216" spans="1:1">
      <c r="A2216" s="11">
        <v>2213</v>
      </c>
    </row>
    <row r="2217" spans="1:1">
      <c r="A2217" s="11">
        <v>2214</v>
      </c>
    </row>
    <row r="2218" spans="1:1">
      <c r="A2218" s="11">
        <v>2215</v>
      </c>
    </row>
    <row r="2219" spans="1:1">
      <c r="A2219" s="11">
        <v>2216</v>
      </c>
    </row>
    <row r="2220" spans="1:1">
      <c r="A2220" s="11">
        <v>2217</v>
      </c>
    </row>
    <row r="2221" spans="1:1">
      <c r="A2221" s="11">
        <v>2218</v>
      </c>
    </row>
    <row r="2222" spans="1:1">
      <c r="A2222" s="11">
        <v>2219</v>
      </c>
    </row>
    <row r="2223" spans="1:1">
      <c r="A2223" s="11">
        <v>2220</v>
      </c>
    </row>
    <row r="2224" spans="1:1">
      <c r="A2224" s="11">
        <v>2221</v>
      </c>
    </row>
    <row r="2225" spans="1:1">
      <c r="A2225" s="11">
        <v>2222</v>
      </c>
    </row>
    <row r="2226" spans="1:1">
      <c r="A2226" s="11">
        <v>2223</v>
      </c>
    </row>
    <row r="2227" spans="1:1">
      <c r="A2227" s="11">
        <v>2224</v>
      </c>
    </row>
    <row r="2228" spans="1:1">
      <c r="A2228" s="11">
        <v>2225</v>
      </c>
    </row>
    <row r="2229" spans="1:1">
      <c r="A2229" s="11">
        <v>2226</v>
      </c>
    </row>
    <row r="2230" spans="1:1">
      <c r="A2230" s="11">
        <v>2227</v>
      </c>
    </row>
    <row r="2231" spans="1:1">
      <c r="A2231" s="11">
        <v>2228</v>
      </c>
    </row>
    <row r="2232" spans="1:1">
      <c r="A2232" s="11">
        <v>2229</v>
      </c>
    </row>
    <row r="2233" spans="1:1">
      <c r="A2233" s="11">
        <v>2230</v>
      </c>
    </row>
    <row r="2234" spans="1:1">
      <c r="A2234" s="11">
        <v>2231</v>
      </c>
    </row>
    <row r="2235" spans="1:1">
      <c r="A2235" s="11">
        <v>2232</v>
      </c>
    </row>
    <row r="2236" spans="1:1">
      <c r="A2236" s="11">
        <v>2233</v>
      </c>
    </row>
    <row r="2237" spans="1:1">
      <c r="A2237" s="11">
        <v>2234</v>
      </c>
    </row>
    <row r="2238" spans="1:1">
      <c r="A2238" s="11">
        <v>2235</v>
      </c>
    </row>
    <row r="2239" spans="1:1">
      <c r="A2239" s="11">
        <v>2236</v>
      </c>
    </row>
    <row r="2240" spans="1:1">
      <c r="A2240" s="11">
        <v>2237</v>
      </c>
    </row>
    <row r="2241" spans="1:1">
      <c r="A2241" s="11">
        <v>2238</v>
      </c>
    </row>
    <row r="2242" spans="1:1">
      <c r="A2242" s="11">
        <v>2239</v>
      </c>
    </row>
    <row r="2243" spans="1:1">
      <c r="A2243" s="11">
        <v>2240</v>
      </c>
    </row>
    <row r="2244" spans="1:1">
      <c r="A2244" s="11">
        <v>2241</v>
      </c>
    </row>
    <row r="2245" spans="1:1">
      <c r="A2245" s="11">
        <v>2242</v>
      </c>
    </row>
    <row r="2246" spans="1:1">
      <c r="A2246" s="11">
        <v>2243</v>
      </c>
    </row>
    <row r="2247" spans="1:1">
      <c r="A2247" s="11">
        <v>2244</v>
      </c>
    </row>
    <row r="2248" spans="1:1">
      <c r="A2248" s="11">
        <v>2245</v>
      </c>
    </row>
    <row r="2249" spans="1:1">
      <c r="A2249" s="11">
        <v>2246</v>
      </c>
    </row>
    <row r="2250" spans="1:1">
      <c r="A2250" s="11">
        <v>2247</v>
      </c>
    </row>
    <row r="2251" spans="1:1">
      <c r="A2251" s="11">
        <v>2248</v>
      </c>
    </row>
    <row r="2252" spans="1:1">
      <c r="A2252" s="11">
        <v>2249</v>
      </c>
    </row>
    <row r="2253" spans="1:1">
      <c r="A2253" s="11">
        <v>2250</v>
      </c>
    </row>
    <row r="2254" spans="1:1">
      <c r="A2254" s="11">
        <v>2251</v>
      </c>
    </row>
    <row r="2255" spans="1:1">
      <c r="A2255" s="11">
        <v>2252</v>
      </c>
    </row>
    <row r="2256" spans="1:1">
      <c r="A2256" s="11">
        <v>2253</v>
      </c>
    </row>
    <row r="2257" spans="1:1">
      <c r="A2257" s="11">
        <v>2254</v>
      </c>
    </row>
    <row r="2258" spans="1:1">
      <c r="A2258" s="11">
        <v>2255</v>
      </c>
    </row>
    <row r="2259" spans="1:1">
      <c r="A2259" s="11">
        <v>2256</v>
      </c>
    </row>
    <row r="2260" spans="1:1">
      <c r="A2260" s="11">
        <v>2257</v>
      </c>
    </row>
    <row r="2261" spans="1:1">
      <c r="A2261" s="11">
        <v>2258</v>
      </c>
    </row>
    <row r="2262" spans="1:1">
      <c r="A2262" s="11">
        <v>2259</v>
      </c>
    </row>
    <row r="2263" spans="1:1">
      <c r="A2263" s="11">
        <v>2260</v>
      </c>
    </row>
    <row r="2264" spans="1:1">
      <c r="A2264" s="11">
        <v>2261</v>
      </c>
    </row>
    <row r="2265" spans="1:1">
      <c r="A2265" s="11">
        <v>2262</v>
      </c>
    </row>
    <row r="2266" spans="1:1">
      <c r="A2266" s="11">
        <v>2263</v>
      </c>
    </row>
    <row r="2267" spans="1:1">
      <c r="A2267" s="11">
        <v>2264</v>
      </c>
    </row>
    <row r="2268" spans="1:1">
      <c r="A2268" s="11">
        <v>2265</v>
      </c>
    </row>
    <row r="2269" spans="1:1">
      <c r="A2269" s="11">
        <v>2266</v>
      </c>
    </row>
    <row r="2270" spans="1:1">
      <c r="A2270" s="11">
        <v>2267</v>
      </c>
    </row>
    <row r="2271" spans="1:1">
      <c r="A2271" s="11">
        <v>2268</v>
      </c>
    </row>
    <row r="2272" spans="1:1">
      <c r="A2272" s="11">
        <v>2269</v>
      </c>
    </row>
    <row r="2273" spans="1:1">
      <c r="A2273" s="11">
        <v>2270</v>
      </c>
    </row>
    <row r="2274" spans="1:1">
      <c r="A2274" s="11">
        <v>2271</v>
      </c>
    </row>
    <row r="2275" spans="1:1">
      <c r="A2275" s="11">
        <v>2272</v>
      </c>
    </row>
    <row r="2276" spans="1:1">
      <c r="A2276" s="11">
        <v>2273</v>
      </c>
    </row>
    <row r="2277" spans="1:1">
      <c r="A2277" s="11">
        <v>2274</v>
      </c>
    </row>
    <row r="2278" spans="1:1">
      <c r="A2278" s="11">
        <v>2275</v>
      </c>
    </row>
    <row r="2279" spans="1:1">
      <c r="A2279" s="11">
        <v>2276</v>
      </c>
    </row>
    <row r="2280" spans="1:1">
      <c r="A2280" s="11">
        <v>2277</v>
      </c>
    </row>
    <row r="2281" spans="1:1">
      <c r="A2281" s="11">
        <v>2278</v>
      </c>
    </row>
    <row r="2282" spans="1:1">
      <c r="A2282" s="11">
        <v>2279</v>
      </c>
    </row>
    <row r="2283" spans="1:1">
      <c r="A2283" s="11">
        <v>2280</v>
      </c>
    </row>
    <row r="2284" spans="1:1">
      <c r="A2284" s="11">
        <v>2281</v>
      </c>
    </row>
    <row r="2285" spans="1:1">
      <c r="A2285" s="11">
        <v>2282</v>
      </c>
    </row>
    <row r="2286" spans="1:1">
      <c r="A2286" s="11">
        <v>2283</v>
      </c>
    </row>
    <row r="2287" spans="1:1">
      <c r="A2287" s="11">
        <v>2284</v>
      </c>
    </row>
    <row r="2288" spans="1:1">
      <c r="A2288" s="11">
        <v>2285</v>
      </c>
    </row>
    <row r="2289" spans="1:1">
      <c r="A2289" s="11">
        <v>2286</v>
      </c>
    </row>
    <row r="2290" spans="1:1">
      <c r="A2290" s="11">
        <v>2287</v>
      </c>
    </row>
    <row r="2291" spans="1:1">
      <c r="A2291" s="11">
        <v>2288</v>
      </c>
    </row>
    <row r="2292" spans="1:1">
      <c r="A2292" s="11">
        <v>2289</v>
      </c>
    </row>
    <row r="2293" spans="1:1">
      <c r="A2293" s="11">
        <v>2290</v>
      </c>
    </row>
    <row r="2294" spans="1:1">
      <c r="A2294" s="11">
        <v>2291</v>
      </c>
    </row>
    <row r="2295" spans="1:1">
      <c r="A2295" s="11">
        <v>2292</v>
      </c>
    </row>
    <row r="2296" spans="1:1">
      <c r="A2296" s="11">
        <v>2293</v>
      </c>
    </row>
    <row r="2297" spans="1:1">
      <c r="A2297" s="11">
        <v>2294</v>
      </c>
    </row>
    <row r="2298" spans="1:1">
      <c r="A2298" s="11">
        <v>2295</v>
      </c>
    </row>
    <row r="2299" spans="1:1">
      <c r="A2299" s="11">
        <v>2296</v>
      </c>
    </row>
    <row r="2300" spans="1:1">
      <c r="A2300" s="11">
        <v>2297</v>
      </c>
    </row>
    <row r="2301" spans="1:1">
      <c r="A2301" s="11">
        <v>2298</v>
      </c>
    </row>
    <row r="2302" spans="1:1">
      <c r="A2302" s="11">
        <v>2299</v>
      </c>
    </row>
    <row r="2303" spans="1:1">
      <c r="A2303" s="11">
        <v>2300</v>
      </c>
    </row>
    <row r="2304" spans="1:1">
      <c r="A2304" s="11">
        <v>2301</v>
      </c>
    </row>
    <row r="2305" spans="1:1">
      <c r="A2305" s="11">
        <v>2302</v>
      </c>
    </row>
    <row r="2306" spans="1:1">
      <c r="A2306" s="11">
        <v>2303</v>
      </c>
    </row>
    <row r="2307" spans="1:1">
      <c r="A2307" s="11">
        <v>2304</v>
      </c>
    </row>
    <row r="2308" spans="1:1">
      <c r="A2308" s="11">
        <v>2305</v>
      </c>
    </row>
    <row r="2309" spans="1:1">
      <c r="A2309" s="11">
        <v>2306</v>
      </c>
    </row>
    <row r="2310" spans="1:1">
      <c r="A2310" s="11">
        <v>2307</v>
      </c>
    </row>
    <row r="2311" spans="1:1">
      <c r="A2311" s="11">
        <v>2308</v>
      </c>
    </row>
    <row r="2312" spans="1:1">
      <c r="A2312" s="11">
        <v>2309</v>
      </c>
    </row>
    <row r="2313" spans="1:1">
      <c r="A2313" s="11">
        <v>2310</v>
      </c>
    </row>
    <row r="2314" spans="1:1">
      <c r="A2314" s="11">
        <v>2311</v>
      </c>
    </row>
    <row r="2315" spans="1:1">
      <c r="A2315" s="11">
        <v>2312</v>
      </c>
    </row>
    <row r="2316" spans="1:1">
      <c r="A2316" s="11">
        <v>2313</v>
      </c>
    </row>
    <row r="2317" spans="1:1">
      <c r="A2317" s="11">
        <v>2314</v>
      </c>
    </row>
    <row r="2318" spans="1:1">
      <c r="A2318" s="11">
        <v>2315</v>
      </c>
    </row>
    <row r="2319" spans="1:1">
      <c r="A2319" s="11">
        <v>2316</v>
      </c>
    </row>
    <row r="2320" spans="1:1">
      <c r="A2320" s="11">
        <v>2317</v>
      </c>
    </row>
    <row r="2321" spans="1:1">
      <c r="A2321" s="11">
        <v>2318</v>
      </c>
    </row>
    <row r="2322" spans="1:1">
      <c r="A2322" s="11">
        <v>2319</v>
      </c>
    </row>
    <row r="2323" spans="1:1">
      <c r="A2323" s="11">
        <v>2320</v>
      </c>
    </row>
    <row r="2324" spans="1:1">
      <c r="A2324" s="11">
        <v>2321</v>
      </c>
    </row>
    <row r="2325" spans="1:1">
      <c r="A2325" s="11">
        <v>2322</v>
      </c>
    </row>
    <row r="2326" spans="1:1">
      <c r="A2326" s="11">
        <v>2323</v>
      </c>
    </row>
    <row r="2327" spans="1:1">
      <c r="A2327" s="11">
        <v>2324</v>
      </c>
    </row>
    <row r="2328" spans="1:1">
      <c r="A2328" s="11">
        <v>2325</v>
      </c>
    </row>
    <row r="2329" spans="1:1">
      <c r="A2329" s="11">
        <v>2326</v>
      </c>
    </row>
    <row r="2330" spans="1:1">
      <c r="A2330" s="11">
        <v>2327</v>
      </c>
    </row>
    <row r="2331" spans="1:1">
      <c r="A2331" s="11">
        <v>2328</v>
      </c>
    </row>
    <row r="2332" spans="1:1">
      <c r="A2332" s="11">
        <v>2329</v>
      </c>
    </row>
    <row r="2333" spans="1:1">
      <c r="A2333" s="11">
        <v>2330</v>
      </c>
    </row>
    <row r="2334" spans="1:1">
      <c r="A2334" s="11">
        <v>2331</v>
      </c>
    </row>
    <row r="2335" spans="1:1">
      <c r="A2335" s="11">
        <v>2332</v>
      </c>
    </row>
    <row r="2336" spans="1:1">
      <c r="A2336" s="11">
        <v>2333</v>
      </c>
    </row>
    <row r="2337" spans="1:1">
      <c r="A2337" s="11">
        <v>2334</v>
      </c>
    </row>
    <row r="2338" spans="1:1">
      <c r="A2338" s="11">
        <v>2335</v>
      </c>
    </row>
    <row r="2339" spans="1:1">
      <c r="A2339" s="11">
        <v>2336</v>
      </c>
    </row>
    <row r="2340" spans="1:1">
      <c r="A2340" s="11">
        <v>2337</v>
      </c>
    </row>
    <row r="2341" spans="1:1">
      <c r="A2341" s="11">
        <v>2338</v>
      </c>
    </row>
    <row r="2342" spans="1:1">
      <c r="A2342" s="11">
        <v>2339</v>
      </c>
    </row>
    <row r="2343" spans="1:1">
      <c r="A2343" s="11">
        <v>2340</v>
      </c>
    </row>
    <row r="2344" spans="1:1">
      <c r="A2344" s="11">
        <v>2341</v>
      </c>
    </row>
    <row r="2345" spans="1:1">
      <c r="A2345" s="11">
        <v>2342</v>
      </c>
    </row>
    <row r="2346" spans="1:1">
      <c r="A2346" s="11">
        <v>2343</v>
      </c>
    </row>
    <row r="2347" spans="1:1">
      <c r="A2347" s="11">
        <v>2344</v>
      </c>
    </row>
    <row r="2348" spans="1:1">
      <c r="A2348" s="11">
        <v>2345</v>
      </c>
    </row>
    <row r="2349" spans="1:1">
      <c r="A2349" s="11">
        <v>2346</v>
      </c>
    </row>
    <row r="2350" spans="1:1">
      <c r="A2350" s="11">
        <v>2347</v>
      </c>
    </row>
    <row r="2351" spans="1:1">
      <c r="A2351" s="11">
        <v>2348</v>
      </c>
    </row>
    <row r="2352" spans="1:1">
      <c r="A2352" s="11">
        <v>2349</v>
      </c>
    </row>
    <row r="2353" spans="1:1">
      <c r="A2353" s="11">
        <v>2350</v>
      </c>
    </row>
    <row r="2354" spans="1:1">
      <c r="A2354" s="11">
        <v>2351</v>
      </c>
    </row>
    <row r="2355" spans="1:1">
      <c r="A2355" s="11">
        <v>2352</v>
      </c>
    </row>
    <row r="2356" spans="1:1">
      <c r="A2356" s="11">
        <v>2353</v>
      </c>
    </row>
    <row r="2357" spans="1:1">
      <c r="A2357" s="11">
        <v>2354</v>
      </c>
    </row>
    <row r="2358" spans="1:1">
      <c r="A2358" s="11">
        <v>2355</v>
      </c>
    </row>
    <row r="2359" spans="1:1">
      <c r="A2359" s="11">
        <v>2356</v>
      </c>
    </row>
    <row r="2360" spans="1:1">
      <c r="A2360" s="11">
        <v>2357</v>
      </c>
    </row>
    <row r="2361" spans="1:1">
      <c r="A2361" s="11">
        <v>2358</v>
      </c>
    </row>
    <row r="2362" spans="1:1">
      <c r="A2362" s="11">
        <v>2359</v>
      </c>
    </row>
    <row r="2363" spans="1:1">
      <c r="A2363" s="11">
        <v>2360</v>
      </c>
    </row>
    <row r="2364" spans="1:1">
      <c r="A2364" s="11">
        <v>2361</v>
      </c>
    </row>
    <row r="2365" spans="1:1">
      <c r="A2365" s="11">
        <v>2362</v>
      </c>
    </row>
    <row r="2366" spans="1:1">
      <c r="A2366" s="11">
        <v>2363</v>
      </c>
    </row>
    <row r="2367" spans="1:1">
      <c r="A2367" s="11">
        <v>2364</v>
      </c>
    </row>
    <row r="2368" spans="1:1">
      <c r="A2368" s="11">
        <v>2365</v>
      </c>
    </row>
    <row r="2369" spans="1:1">
      <c r="A2369" s="11">
        <v>2366</v>
      </c>
    </row>
    <row r="2370" spans="1:1">
      <c r="A2370" s="11">
        <v>2367</v>
      </c>
    </row>
    <row r="2371" spans="1:1">
      <c r="A2371" s="11">
        <v>2368</v>
      </c>
    </row>
    <row r="2372" spans="1:1">
      <c r="A2372" s="11">
        <v>2369</v>
      </c>
    </row>
    <row r="2373" spans="1:1">
      <c r="A2373" s="11">
        <v>2370</v>
      </c>
    </row>
    <row r="2374" spans="1:1">
      <c r="A2374" s="11">
        <v>2371</v>
      </c>
    </row>
    <row r="2375" spans="1:1">
      <c r="A2375" s="11">
        <v>2372</v>
      </c>
    </row>
    <row r="2376" spans="1:1">
      <c r="A2376" s="11">
        <v>2373</v>
      </c>
    </row>
    <row r="2377" spans="1:1">
      <c r="A2377" s="11">
        <v>2374</v>
      </c>
    </row>
    <row r="2378" spans="1:1">
      <c r="A2378" s="11">
        <v>2375</v>
      </c>
    </row>
    <row r="2379" spans="1:1">
      <c r="A2379" s="11">
        <v>2376</v>
      </c>
    </row>
    <row r="2380" spans="1:1">
      <c r="A2380" s="11">
        <v>2377</v>
      </c>
    </row>
    <row r="2381" spans="1:1">
      <c r="A2381" s="11">
        <v>2378</v>
      </c>
    </row>
    <row r="2382" spans="1:1">
      <c r="A2382" s="11">
        <v>2379</v>
      </c>
    </row>
    <row r="2383" spans="1:1">
      <c r="A2383" s="11">
        <v>2380</v>
      </c>
    </row>
    <row r="2384" spans="1:1">
      <c r="A2384" s="11">
        <v>2381</v>
      </c>
    </row>
    <row r="2385" spans="1:1">
      <c r="A2385" s="11">
        <v>2382</v>
      </c>
    </row>
    <row r="2386" spans="1:1">
      <c r="A2386" s="11">
        <v>2383</v>
      </c>
    </row>
    <row r="2387" spans="1:1">
      <c r="A2387" s="11">
        <v>2384</v>
      </c>
    </row>
    <row r="2388" spans="1:1">
      <c r="A2388" s="11">
        <v>2385</v>
      </c>
    </row>
    <row r="2389" spans="1:1">
      <c r="A2389" s="11">
        <v>2386</v>
      </c>
    </row>
    <row r="2390" spans="1:1">
      <c r="A2390" s="11">
        <v>2387</v>
      </c>
    </row>
    <row r="2391" spans="1:1">
      <c r="A2391" s="11">
        <v>2388</v>
      </c>
    </row>
    <row r="2392" spans="1:1">
      <c r="A2392" s="11">
        <v>2389</v>
      </c>
    </row>
    <row r="2393" spans="1:1">
      <c r="A2393" s="11">
        <v>2390</v>
      </c>
    </row>
    <row r="2394" spans="1:1">
      <c r="A2394" s="11">
        <v>2391</v>
      </c>
    </row>
    <row r="2395" spans="1:1">
      <c r="A2395" s="11">
        <v>2392</v>
      </c>
    </row>
    <row r="2396" spans="1:1">
      <c r="A2396" s="11">
        <v>2393</v>
      </c>
    </row>
    <row r="2397" spans="1:1">
      <c r="A2397" s="11">
        <v>2394</v>
      </c>
    </row>
    <row r="2398" spans="1:1">
      <c r="A2398" s="11">
        <v>2395</v>
      </c>
    </row>
    <row r="2399" spans="1:1">
      <c r="A2399" s="11">
        <v>2396</v>
      </c>
    </row>
    <row r="2400" spans="1:1">
      <c r="A2400" s="11">
        <v>2397</v>
      </c>
    </row>
    <row r="2401" spans="1:1">
      <c r="A2401" s="11">
        <v>2398</v>
      </c>
    </row>
    <row r="2402" spans="1:1">
      <c r="A2402" s="11">
        <v>2399</v>
      </c>
    </row>
    <row r="2403" spans="1:1">
      <c r="A2403" s="11">
        <v>2400</v>
      </c>
    </row>
    <row r="2404" spans="1:1">
      <c r="A2404" s="11">
        <v>2401</v>
      </c>
    </row>
    <row r="2405" spans="1:1">
      <c r="A2405" s="11">
        <v>2402</v>
      </c>
    </row>
    <row r="2406" spans="1:1">
      <c r="A2406" s="11">
        <v>2403</v>
      </c>
    </row>
    <row r="2407" spans="1:1">
      <c r="A2407" s="11">
        <v>2404</v>
      </c>
    </row>
    <row r="2408" spans="1:1">
      <c r="A2408" s="11">
        <v>2405</v>
      </c>
    </row>
    <row r="2409" spans="1:1">
      <c r="A2409" s="11">
        <v>2406</v>
      </c>
    </row>
    <row r="2410" spans="1:1">
      <c r="A2410" s="11">
        <v>2407</v>
      </c>
    </row>
    <row r="2411" spans="1:1">
      <c r="A2411" s="11">
        <v>2408</v>
      </c>
    </row>
    <row r="2412" spans="1:1">
      <c r="A2412" s="11">
        <v>2409</v>
      </c>
    </row>
    <row r="2413" spans="1:1">
      <c r="A2413" s="11">
        <v>2410</v>
      </c>
    </row>
    <row r="2414" spans="1:1">
      <c r="A2414" s="11">
        <v>2411</v>
      </c>
    </row>
    <row r="2415" spans="1:1">
      <c r="A2415" s="11">
        <v>2412</v>
      </c>
    </row>
    <row r="2416" spans="1:1">
      <c r="A2416" s="11">
        <v>2413</v>
      </c>
    </row>
    <row r="2417" spans="1:1">
      <c r="A2417" s="11">
        <v>2414</v>
      </c>
    </row>
    <row r="2418" spans="1:1">
      <c r="A2418" s="11">
        <v>2415</v>
      </c>
    </row>
    <row r="2419" spans="1:1">
      <c r="A2419" s="11">
        <v>2416</v>
      </c>
    </row>
    <row r="2420" spans="1:1">
      <c r="A2420" s="11">
        <v>2417</v>
      </c>
    </row>
    <row r="2421" spans="1:1">
      <c r="A2421" s="11">
        <v>2418</v>
      </c>
    </row>
    <row r="2422" spans="1:1">
      <c r="A2422" s="11">
        <v>2419</v>
      </c>
    </row>
    <row r="2423" spans="1:1">
      <c r="A2423" s="11">
        <v>2420</v>
      </c>
    </row>
    <row r="2424" spans="1:1">
      <c r="A2424" s="11">
        <v>2421</v>
      </c>
    </row>
    <row r="2425" spans="1:1">
      <c r="A2425" s="11">
        <v>2422</v>
      </c>
    </row>
    <row r="2426" spans="1:1">
      <c r="A2426" s="11">
        <v>2423</v>
      </c>
    </row>
    <row r="2427" spans="1:1">
      <c r="A2427" s="11">
        <v>2424</v>
      </c>
    </row>
    <row r="2428" spans="1:1">
      <c r="A2428" s="11">
        <v>2425</v>
      </c>
    </row>
    <row r="2429" spans="1:1">
      <c r="A2429" s="11">
        <v>2426</v>
      </c>
    </row>
    <row r="2430" spans="1:1">
      <c r="A2430" s="11">
        <v>2427</v>
      </c>
    </row>
    <row r="2431" spans="1:1">
      <c r="A2431" s="11">
        <v>2428</v>
      </c>
    </row>
    <row r="2432" spans="1:1">
      <c r="A2432" s="11">
        <v>2429</v>
      </c>
    </row>
    <row r="2433" spans="1:1">
      <c r="A2433" s="11">
        <v>2430</v>
      </c>
    </row>
    <row r="2434" spans="1:1">
      <c r="A2434" s="11">
        <v>2431</v>
      </c>
    </row>
    <row r="2435" spans="1:1">
      <c r="A2435" s="11">
        <v>2432</v>
      </c>
    </row>
    <row r="2436" spans="1:1">
      <c r="A2436" s="11">
        <v>2433</v>
      </c>
    </row>
    <row r="2437" spans="1:1">
      <c r="A2437" s="11">
        <v>2434</v>
      </c>
    </row>
    <row r="2438" spans="1:1">
      <c r="A2438" s="11">
        <v>2435</v>
      </c>
    </row>
    <row r="2439" spans="1:1">
      <c r="A2439" s="11">
        <v>2436</v>
      </c>
    </row>
    <row r="2440" spans="1:1">
      <c r="A2440" s="11">
        <v>2437</v>
      </c>
    </row>
    <row r="2441" spans="1:1">
      <c r="A2441" s="11">
        <v>2438</v>
      </c>
    </row>
    <row r="2442" spans="1:1">
      <c r="A2442" s="11">
        <v>2439</v>
      </c>
    </row>
    <row r="2443" spans="1:1">
      <c r="A2443" s="11">
        <v>2440</v>
      </c>
    </row>
    <row r="2444" spans="1:1">
      <c r="A2444" s="11">
        <v>2441</v>
      </c>
    </row>
    <row r="2445" spans="1:1">
      <c r="A2445" s="11">
        <v>2442</v>
      </c>
    </row>
    <row r="2446" spans="1:1">
      <c r="A2446" s="11">
        <v>2443</v>
      </c>
    </row>
    <row r="2447" spans="1:1">
      <c r="A2447" s="11">
        <v>2444</v>
      </c>
    </row>
    <row r="2448" spans="1:1">
      <c r="A2448" s="11">
        <v>2445</v>
      </c>
    </row>
    <row r="2449" spans="1:1">
      <c r="A2449" s="11">
        <v>2446</v>
      </c>
    </row>
    <row r="2450" spans="1:1">
      <c r="A2450" s="11">
        <v>2447</v>
      </c>
    </row>
    <row r="2451" spans="1:1">
      <c r="A2451" s="11">
        <v>2448</v>
      </c>
    </row>
    <row r="2452" spans="1:1">
      <c r="A2452" s="11">
        <v>2449</v>
      </c>
    </row>
    <row r="2453" spans="1:1">
      <c r="A2453" s="11">
        <v>2450</v>
      </c>
    </row>
    <row r="2454" spans="1:1">
      <c r="A2454" s="11">
        <v>2451</v>
      </c>
    </row>
    <row r="2455" spans="1:1">
      <c r="A2455" s="11">
        <v>2452</v>
      </c>
    </row>
    <row r="2456" spans="1:1">
      <c r="A2456" s="11">
        <v>2453</v>
      </c>
    </row>
    <row r="2457" spans="1:1">
      <c r="A2457" s="11">
        <v>2454</v>
      </c>
    </row>
    <row r="2458" spans="1:1">
      <c r="A2458" s="11">
        <v>2455</v>
      </c>
    </row>
    <row r="2459" spans="1:1">
      <c r="A2459" s="11">
        <v>2456</v>
      </c>
    </row>
    <row r="2460" spans="1:1">
      <c r="A2460" s="11">
        <v>2457</v>
      </c>
    </row>
    <row r="2461" spans="1:1">
      <c r="A2461" s="11">
        <v>2458</v>
      </c>
    </row>
    <row r="2462" spans="1:1">
      <c r="A2462" s="11">
        <v>2459</v>
      </c>
    </row>
    <row r="2463" spans="1:1">
      <c r="A2463" s="11">
        <v>2460</v>
      </c>
    </row>
    <row r="2464" spans="1:1">
      <c r="A2464" s="11">
        <v>2461</v>
      </c>
    </row>
    <row r="2465" spans="1:1">
      <c r="A2465" s="11">
        <v>2462</v>
      </c>
    </row>
    <row r="2466" spans="1:1">
      <c r="A2466" s="11">
        <v>2463</v>
      </c>
    </row>
    <row r="2467" spans="1:1">
      <c r="A2467" s="11">
        <v>2464</v>
      </c>
    </row>
    <row r="2468" spans="1:1">
      <c r="A2468" s="11">
        <v>2465</v>
      </c>
    </row>
    <row r="2469" spans="1:1">
      <c r="A2469" s="11">
        <v>2466</v>
      </c>
    </row>
    <row r="2470" spans="1:1">
      <c r="A2470" s="11">
        <v>2467</v>
      </c>
    </row>
    <row r="2471" spans="1:1">
      <c r="A2471" s="11">
        <v>2468</v>
      </c>
    </row>
    <row r="2472" spans="1:1">
      <c r="A2472" s="11">
        <v>2469</v>
      </c>
    </row>
    <row r="2473" spans="1:1">
      <c r="A2473" s="11">
        <v>2470</v>
      </c>
    </row>
    <row r="2474" spans="1:1">
      <c r="A2474" s="11">
        <v>2471</v>
      </c>
    </row>
    <row r="2475" spans="1:1">
      <c r="A2475" s="11">
        <v>2472</v>
      </c>
    </row>
    <row r="2476" spans="1:1">
      <c r="A2476" s="11">
        <v>2473</v>
      </c>
    </row>
    <row r="2477" spans="1:1">
      <c r="A2477" s="11">
        <v>2474</v>
      </c>
    </row>
    <row r="2478" spans="1:1">
      <c r="A2478" s="11">
        <v>2475</v>
      </c>
    </row>
    <row r="2479" spans="1:1">
      <c r="A2479" s="11">
        <v>2476</v>
      </c>
    </row>
    <row r="2480" spans="1:1">
      <c r="A2480" s="11">
        <v>2477</v>
      </c>
    </row>
    <row r="2481" spans="1:1">
      <c r="A2481" s="11">
        <v>2478</v>
      </c>
    </row>
    <row r="2482" spans="1:1">
      <c r="A2482" s="11">
        <v>2479</v>
      </c>
    </row>
    <row r="2483" spans="1:1">
      <c r="A2483" s="11">
        <v>2480</v>
      </c>
    </row>
    <row r="2484" spans="1:1">
      <c r="A2484" s="11">
        <v>2481</v>
      </c>
    </row>
    <row r="2485" spans="1:1">
      <c r="A2485" s="11">
        <v>2482</v>
      </c>
    </row>
    <row r="2486" spans="1:1">
      <c r="A2486" s="11">
        <v>2483</v>
      </c>
    </row>
    <row r="2487" spans="1:1">
      <c r="A2487" s="11">
        <v>2484</v>
      </c>
    </row>
    <row r="2488" spans="1:1">
      <c r="A2488" s="11">
        <v>2485</v>
      </c>
    </row>
    <row r="2489" spans="1:1">
      <c r="A2489" s="11">
        <v>2486</v>
      </c>
    </row>
    <row r="2490" spans="1:1">
      <c r="A2490" s="11">
        <v>2487</v>
      </c>
    </row>
    <row r="2491" spans="1:1">
      <c r="A2491" s="11">
        <v>2488</v>
      </c>
    </row>
    <row r="2492" spans="1:1">
      <c r="A2492" s="11">
        <v>2489</v>
      </c>
    </row>
    <row r="2493" spans="1:1">
      <c r="A2493" s="11">
        <v>2490</v>
      </c>
    </row>
    <row r="2494" spans="1:1">
      <c r="A2494" s="11">
        <v>2491</v>
      </c>
    </row>
    <row r="2495" spans="1:1">
      <c r="A2495" s="11">
        <v>2492</v>
      </c>
    </row>
    <row r="2496" spans="1:1">
      <c r="A2496" s="11">
        <v>2493</v>
      </c>
    </row>
    <row r="2497" spans="1:1">
      <c r="A2497" s="11">
        <v>2494</v>
      </c>
    </row>
    <row r="2498" spans="1:1">
      <c r="A2498" s="11">
        <v>2495</v>
      </c>
    </row>
    <row r="2499" spans="1:1">
      <c r="A2499" s="11">
        <v>2496</v>
      </c>
    </row>
    <row r="2500" spans="1:1">
      <c r="A2500" s="11">
        <v>2497</v>
      </c>
    </row>
    <row r="2501" spans="1:1">
      <c r="A2501" s="11">
        <v>2498</v>
      </c>
    </row>
    <row r="2502" spans="1:1">
      <c r="A2502" s="11">
        <v>2499</v>
      </c>
    </row>
    <row r="2503" spans="1:1">
      <c r="A2503" s="11">
        <v>2500</v>
      </c>
    </row>
    <row r="2504" spans="1:1">
      <c r="A2504" s="11">
        <v>2501</v>
      </c>
    </row>
    <row r="2505" spans="1:1">
      <c r="A2505" s="11">
        <v>2502</v>
      </c>
    </row>
    <row r="2506" spans="1:1">
      <c r="A2506" s="11">
        <v>2503</v>
      </c>
    </row>
    <row r="2507" spans="1:1">
      <c r="A2507" s="11">
        <v>2504</v>
      </c>
    </row>
    <row r="2508" spans="1:1">
      <c r="A2508" s="11">
        <v>2505</v>
      </c>
    </row>
    <row r="2509" spans="1:1">
      <c r="A2509" s="11">
        <v>2506</v>
      </c>
    </row>
    <row r="2510" spans="1:1">
      <c r="A2510" s="11">
        <v>2507</v>
      </c>
    </row>
    <row r="2511" spans="1:1">
      <c r="A2511" s="11">
        <v>2508</v>
      </c>
    </row>
    <row r="2512" spans="1:1">
      <c r="A2512" s="11">
        <v>2509</v>
      </c>
    </row>
    <row r="2513" spans="1:1">
      <c r="A2513" s="11">
        <v>2510</v>
      </c>
    </row>
    <row r="2514" spans="1:1">
      <c r="A2514" s="11">
        <v>2511</v>
      </c>
    </row>
    <row r="2515" spans="1:1">
      <c r="A2515" s="11">
        <v>2512</v>
      </c>
    </row>
    <row r="2516" spans="1:1">
      <c r="A2516" s="11">
        <v>2513</v>
      </c>
    </row>
    <row r="2517" spans="1:1">
      <c r="A2517" s="11">
        <v>2514</v>
      </c>
    </row>
    <row r="2518" spans="1:1">
      <c r="A2518" s="11">
        <v>2515</v>
      </c>
    </row>
    <row r="2519" spans="1:1">
      <c r="A2519" s="11">
        <v>2516</v>
      </c>
    </row>
    <row r="2520" spans="1:1">
      <c r="A2520" s="11">
        <v>2517</v>
      </c>
    </row>
    <row r="2521" spans="1:1">
      <c r="A2521" s="11">
        <v>2518</v>
      </c>
    </row>
    <row r="2522" spans="1:1">
      <c r="A2522" s="11">
        <v>2519</v>
      </c>
    </row>
    <row r="2523" spans="1:1">
      <c r="A2523" s="11">
        <v>2520</v>
      </c>
    </row>
    <row r="2524" spans="1:1">
      <c r="A2524" s="11">
        <v>2521</v>
      </c>
    </row>
    <row r="2525" spans="1:1">
      <c r="A2525" s="11">
        <v>2522</v>
      </c>
    </row>
    <row r="2526" spans="1:1">
      <c r="A2526" s="11">
        <v>2523</v>
      </c>
    </row>
    <row r="2527" spans="1:1">
      <c r="A2527" s="11">
        <v>2524</v>
      </c>
    </row>
    <row r="2528" spans="1:1">
      <c r="A2528" s="11">
        <v>2525</v>
      </c>
    </row>
    <row r="2529" spans="1:1">
      <c r="A2529" s="11">
        <v>2526</v>
      </c>
    </row>
    <row r="2530" spans="1:1">
      <c r="A2530" s="11">
        <v>2527</v>
      </c>
    </row>
    <row r="2531" spans="1:1">
      <c r="A2531" s="11">
        <v>2528</v>
      </c>
    </row>
    <row r="2532" spans="1:1">
      <c r="A2532" s="11">
        <v>2529</v>
      </c>
    </row>
    <row r="2533" spans="1:1">
      <c r="A2533" s="11">
        <v>2530</v>
      </c>
    </row>
    <row r="2534" spans="1:1">
      <c r="A2534" s="11">
        <v>2531</v>
      </c>
    </row>
    <row r="2535" spans="1:1">
      <c r="A2535" s="11">
        <v>2532</v>
      </c>
    </row>
    <row r="2536" spans="1:1">
      <c r="A2536" s="11">
        <v>2533</v>
      </c>
    </row>
    <row r="2537" spans="1:1">
      <c r="A2537" s="11">
        <v>2534</v>
      </c>
    </row>
    <row r="2538" spans="1:1">
      <c r="A2538" s="11">
        <v>2535</v>
      </c>
    </row>
    <row r="2539" spans="1:1">
      <c r="A2539" s="11">
        <v>2536</v>
      </c>
    </row>
    <row r="2540" spans="1:1">
      <c r="A2540" s="11">
        <v>2537</v>
      </c>
    </row>
    <row r="2541" spans="1:1">
      <c r="A2541" s="11">
        <v>2538</v>
      </c>
    </row>
    <row r="2542" spans="1:1">
      <c r="A2542" s="11">
        <v>2539</v>
      </c>
    </row>
    <row r="2543" spans="1:1">
      <c r="A2543" s="11">
        <v>2540</v>
      </c>
    </row>
    <row r="2544" spans="1:1">
      <c r="A2544" s="11">
        <v>2541</v>
      </c>
    </row>
    <row r="2545" spans="1:1">
      <c r="A2545" s="11">
        <v>2542</v>
      </c>
    </row>
    <row r="2546" spans="1:1">
      <c r="A2546" s="11">
        <v>2543</v>
      </c>
    </row>
    <row r="2547" spans="1:1">
      <c r="A2547" s="11">
        <v>2544</v>
      </c>
    </row>
    <row r="2548" spans="1:1">
      <c r="A2548" s="11">
        <v>2545</v>
      </c>
    </row>
    <row r="2549" spans="1:1">
      <c r="A2549" s="11">
        <v>2546</v>
      </c>
    </row>
    <row r="2550" spans="1:1">
      <c r="A2550" s="11">
        <v>2547</v>
      </c>
    </row>
    <row r="2551" spans="1:1">
      <c r="A2551" s="11">
        <v>2548</v>
      </c>
    </row>
    <row r="2552" spans="1:1">
      <c r="A2552" s="11">
        <v>2549</v>
      </c>
    </row>
    <row r="2553" spans="1:1">
      <c r="A2553" s="11">
        <v>2550</v>
      </c>
    </row>
    <row r="2554" spans="1:1">
      <c r="A2554" s="11">
        <v>2551</v>
      </c>
    </row>
    <row r="2555" spans="1:1">
      <c r="A2555" s="11">
        <v>2552</v>
      </c>
    </row>
    <row r="2556" spans="1:1">
      <c r="A2556" s="11">
        <v>2553</v>
      </c>
    </row>
    <row r="2557" spans="1:1">
      <c r="A2557" s="11">
        <v>2554</v>
      </c>
    </row>
    <row r="2558" spans="1:1">
      <c r="A2558" s="11">
        <v>2555</v>
      </c>
    </row>
    <row r="2559" spans="1:1">
      <c r="A2559" s="11">
        <v>2556</v>
      </c>
    </row>
    <row r="2560" spans="1:1">
      <c r="A2560" s="11">
        <v>2557</v>
      </c>
    </row>
    <row r="2561" spans="1:1">
      <c r="A2561" s="11">
        <v>2558</v>
      </c>
    </row>
    <row r="2562" spans="1:1">
      <c r="A2562" s="11">
        <v>2559</v>
      </c>
    </row>
    <row r="2563" spans="1:1">
      <c r="A2563" s="11">
        <v>2560</v>
      </c>
    </row>
    <row r="2564" spans="1:1">
      <c r="A2564" s="11">
        <v>2561</v>
      </c>
    </row>
    <row r="2565" spans="1:1">
      <c r="A2565" s="11">
        <v>2562</v>
      </c>
    </row>
    <row r="2566" spans="1:1">
      <c r="A2566" s="11">
        <v>2563</v>
      </c>
    </row>
    <row r="2567" spans="1:1">
      <c r="A2567" s="11">
        <v>2564</v>
      </c>
    </row>
    <row r="2568" spans="1:1">
      <c r="A2568" s="11">
        <v>2565</v>
      </c>
    </row>
    <row r="2569" spans="1:1">
      <c r="A2569" s="11">
        <v>2566</v>
      </c>
    </row>
    <row r="2570" spans="1:1">
      <c r="A2570" s="11">
        <v>2567</v>
      </c>
    </row>
    <row r="2571" spans="1:1">
      <c r="A2571" s="11">
        <v>2568</v>
      </c>
    </row>
    <row r="2572" spans="1:1">
      <c r="A2572" s="11">
        <v>2569</v>
      </c>
    </row>
    <row r="2573" spans="1:1">
      <c r="A2573" s="11">
        <v>2570</v>
      </c>
    </row>
    <row r="2574" spans="1:1">
      <c r="A2574" s="11">
        <v>2571</v>
      </c>
    </row>
    <row r="2575" spans="1:1">
      <c r="A2575" s="11">
        <v>2572</v>
      </c>
    </row>
    <row r="2576" spans="1:1">
      <c r="A2576" s="11">
        <v>2573</v>
      </c>
    </row>
    <row r="2577" spans="1:1">
      <c r="A2577" s="11">
        <v>2574</v>
      </c>
    </row>
    <row r="2578" spans="1:1">
      <c r="A2578" s="11">
        <v>2575</v>
      </c>
    </row>
    <row r="2579" spans="1:1">
      <c r="A2579" s="11">
        <v>2576</v>
      </c>
    </row>
    <row r="2580" spans="1:1">
      <c r="A2580" s="11">
        <v>2577</v>
      </c>
    </row>
    <row r="2581" spans="1:1">
      <c r="A2581" s="11">
        <v>2578</v>
      </c>
    </row>
    <row r="2582" spans="1:1">
      <c r="A2582" s="11">
        <v>2579</v>
      </c>
    </row>
    <row r="2583" spans="1:1">
      <c r="A2583" s="11">
        <v>2580</v>
      </c>
    </row>
    <row r="2584" spans="1:1">
      <c r="A2584" s="11">
        <v>2581</v>
      </c>
    </row>
    <row r="2585" spans="1:1">
      <c r="A2585" s="11">
        <v>2582</v>
      </c>
    </row>
    <row r="2586" spans="1:1">
      <c r="A2586" s="11">
        <v>2583</v>
      </c>
    </row>
    <row r="2587" spans="1:1">
      <c r="A2587" s="11">
        <v>2584</v>
      </c>
    </row>
    <row r="2588" spans="1:1">
      <c r="A2588" s="11">
        <v>2585</v>
      </c>
    </row>
    <row r="2589" spans="1:1">
      <c r="A2589" s="11">
        <v>2586</v>
      </c>
    </row>
    <row r="2590" spans="1:1">
      <c r="A2590" s="11">
        <v>2587</v>
      </c>
    </row>
    <row r="2591" spans="1:1">
      <c r="A2591" s="11">
        <v>2588</v>
      </c>
    </row>
    <row r="2592" spans="1:1">
      <c r="A2592" s="11">
        <v>2589</v>
      </c>
    </row>
    <row r="2593" spans="1:1">
      <c r="A2593" s="11">
        <v>2590</v>
      </c>
    </row>
    <row r="2594" spans="1:1">
      <c r="A2594" s="11">
        <v>2591</v>
      </c>
    </row>
    <row r="2595" spans="1:1">
      <c r="A2595" s="11">
        <v>2592</v>
      </c>
    </row>
    <row r="2596" spans="1:1">
      <c r="A2596" s="11">
        <v>2593</v>
      </c>
    </row>
    <row r="2597" spans="1:1">
      <c r="A2597" s="11">
        <v>2594</v>
      </c>
    </row>
    <row r="2598" spans="1:1">
      <c r="A2598" s="11">
        <v>2595</v>
      </c>
    </row>
    <row r="2599" spans="1:1">
      <c r="A2599" s="11">
        <v>2596</v>
      </c>
    </row>
    <row r="2600" spans="1:1">
      <c r="A2600" s="11">
        <v>2597</v>
      </c>
    </row>
    <row r="2601" spans="1:1">
      <c r="A2601" s="11">
        <v>2598</v>
      </c>
    </row>
    <row r="2602" spans="1:1">
      <c r="A2602" s="11">
        <v>2599</v>
      </c>
    </row>
    <row r="2603" spans="1:1">
      <c r="A2603" s="11">
        <v>2600</v>
      </c>
    </row>
    <row r="2604" spans="1:1">
      <c r="A2604" s="11">
        <v>2601</v>
      </c>
    </row>
    <row r="2605" spans="1:1">
      <c r="A2605" s="11">
        <v>2602</v>
      </c>
    </row>
    <row r="2606" spans="1:1">
      <c r="A2606" s="11">
        <v>2603</v>
      </c>
    </row>
    <row r="2607" spans="1:1">
      <c r="A2607" s="11">
        <v>2604</v>
      </c>
    </row>
    <row r="2608" spans="1:1">
      <c r="A2608" s="11">
        <v>2605</v>
      </c>
    </row>
    <row r="2609" spans="1:1">
      <c r="A2609" s="11">
        <v>2606</v>
      </c>
    </row>
    <row r="2610" spans="1:1">
      <c r="A2610" s="11">
        <v>2607</v>
      </c>
    </row>
    <row r="2611" spans="1:1">
      <c r="A2611" s="11">
        <v>2608</v>
      </c>
    </row>
    <row r="2612" spans="1:1">
      <c r="A2612" s="11">
        <v>2609</v>
      </c>
    </row>
    <row r="2613" spans="1:1">
      <c r="A2613" s="11">
        <v>2610</v>
      </c>
    </row>
    <row r="2614" spans="1:1">
      <c r="A2614" s="11">
        <v>2611</v>
      </c>
    </row>
    <row r="2615" spans="1:1">
      <c r="A2615" s="11">
        <v>2612</v>
      </c>
    </row>
    <row r="2616" spans="1:1">
      <c r="A2616" s="11">
        <v>2613</v>
      </c>
    </row>
    <row r="2617" spans="1:1">
      <c r="A2617" s="11">
        <v>2614</v>
      </c>
    </row>
    <row r="2618" spans="1:1">
      <c r="A2618" s="11">
        <v>2615</v>
      </c>
    </row>
    <row r="2619" spans="1:1">
      <c r="A2619" s="11">
        <v>2616</v>
      </c>
    </row>
    <row r="2620" spans="1:1">
      <c r="A2620" s="11">
        <v>2617</v>
      </c>
    </row>
    <row r="2621" spans="1:1">
      <c r="A2621" s="11">
        <v>2618</v>
      </c>
    </row>
    <row r="2622" spans="1:1">
      <c r="A2622" s="11">
        <v>2619</v>
      </c>
    </row>
    <row r="2623" spans="1:1">
      <c r="A2623" s="11">
        <v>2620</v>
      </c>
    </row>
    <row r="2624" spans="1:1">
      <c r="A2624" s="11">
        <v>2621</v>
      </c>
    </row>
    <row r="2625" spans="1:1">
      <c r="A2625" s="11">
        <v>2622</v>
      </c>
    </row>
    <row r="2626" spans="1:1">
      <c r="A2626" s="11">
        <v>2623</v>
      </c>
    </row>
    <row r="2627" spans="1:1">
      <c r="A2627" s="11">
        <v>2624</v>
      </c>
    </row>
    <row r="2628" spans="1:1">
      <c r="A2628" s="11">
        <v>2625</v>
      </c>
    </row>
    <row r="2629" spans="1:1">
      <c r="A2629" s="11">
        <v>2626</v>
      </c>
    </row>
    <row r="2630" spans="1:1">
      <c r="A2630" s="11">
        <v>2627</v>
      </c>
    </row>
    <row r="2631" spans="1:1">
      <c r="A2631" s="11">
        <v>2628</v>
      </c>
    </row>
    <row r="2632" spans="1:1">
      <c r="A2632" s="11">
        <v>2629</v>
      </c>
    </row>
    <row r="2633" spans="1:1">
      <c r="A2633" s="11">
        <v>2630</v>
      </c>
    </row>
    <row r="2634" spans="1:1">
      <c r="A2634" s="11">
        <v>2631</v>
      </c>
    </row>
    <row r="2635" spans="1:1">
      <c r="A2635" s="11">
        <v>2632</v>
      </c>
    </row>
    <row r="2636" spans="1:1">
      <c r="A2636" s="11">
        <v>2633</v>
      </c>
    </row>
    <row r="2637" spans="1:1">
      <c r="A2637" s="11">
        <v>2634</v>
      </c>
    </row>
    <row r="2638" spans="1:1">
      <c r="A2638" s="11">
        <v>2635</v>
      </c>
    </row>
    <row r="2639" spans="1:1">
      <c r="A2639" s="11">
        <v>2636</v>
      </c>
    </row>
    <row r="2640" spans="1:1">
      <c r="A2640" s="11">
        <v>2637</v>
      </c>
    </row>
    <row r="2641" spans="1:1">
      <c r="A2641" s="11">
        <v>2638</v>
      </c>
    </row>
    <row r="2642" spans="1:1">
      <c r="A2642" s="11">
        <v>2639</v>
      </c>
    </row>
    <row r="2643" spans="1:1">
      <c r="A2643" s="11">
        <v>2640</v>
      </c>
    </row>
    <row r="2644" spans="1:1">
      <c r="A2644" s="11">
        <v>2641</v>
      </c>
    </row>
    <row r="2645" spans="1:1">
      <c r="A2645" s="11">
        <v>2642</v>
      </c>
    </row>
    <row r="2646" spans="1:1">
      <c r="A2646" s="11">
        <v>2643</v>
      </c>
    </row>
    <row r="2647" spans="1:1">
      <c r="A2647" s="11">
        <v>2644</v>
      </c>
    </row>
    <row r="2648" spans="1:1">
      <c r="A2648" s="11">
        <v>2645</v>
      </c>
    </row>
    <row r="2649" spans="1:1">
      <c r="A2649" s="11">
        <v>2646</v>
      </c>
    </row>
    <row r="2650" spans="1:1">
      <c r="A2650" s="11">
        <v>2647</v>
      </c>
    </row>
    <row r="2651" spans="1:1">
      <c r="A2651" s="11">
        <v>2648</v>
      </c>
    </row>
    <row r="2652" spans="1:1">
      <c r="A2652" s="11">
        <v>2649</v>
      </c>
    </row>
    <row r="2653" spans="1:1">
      <c r="A2653" s="11">
        <v>2650</v>
      </c>
    </row>
    <row r="2654" spans="1:1">
      <c r="A2654" s="11">
        <v>2651</v>
      </c>
    </row>
    <row r="2655" spans="1:1">
      <c r="A2655" s="11">
        <v>2652</v>
      </c>
    </row>
    <row r="2656" spans="1:1">
      <c r="A2656" s="11">
        <v>2653</v>
      </c>
    </row>
    <row r="2657" spans="1:1">
      <c r="A2657" s="11">
        <v>2654</v>
      </c>
    </row>
    <row r="2658" spans="1:1">
      <c r="A2658" s="11">
        <v>2655</v>
      </c>
    </row>
    <row r="2659" spans="1:1">
      <c r="A2659" s="11">
        <v>2656</v>
      </c>
    </row>
    <row r="2660" spans="1:1">
      <c r="A2660" s="11">
        <v>2657</v>
      </c>
    </row>
    <row r="2661" spans="1:1">
      <c r="A2661" s="11">
        <v>2658</v>
      </c>
    </row>
    <row r="2662" spans="1:1">
      <c r="A2662" s="11">
        <v>2659</v>
      </c>
    </row>
    <row r="2663" spans="1:1">
      <c r="A2663" s="11">
        <v>2660</v>
      </c>
    </row>
    <row r="2664" spans="1:1">
      <c r="A2664" s="11">
        <v>2661</v>
      </c>
    </row>
    <row r="2665" spans="1:1">
      <c r="A2665" s="11">
        <v>2662</v>
      </c>
    </row>
    <row r="2666" spans="1:1">
      <c r="A2666" s="11">
        <v>2663</v>
      </c>
    </row>
    <row r="2667" spans="1:1">
      <c r="A2667" s="11">
        <v>2664</v>
      </c>
    </row>
    <row r="2668" spans="1:1">
      <c r="A2668" s="11">
        <v>2665</v>
      </c>
    </row>
    <row r="2669" spans="1:1">
      <c r="A2669" s="11">
        <v>2666</v>
      </c>
    </row>
    <row r="2670" spans="1:1">
      <c r="A2670" s="11">
        <v>2667</v>
      </c>
    </row>
    <row r="2671" spans="1:1">
      <c r="A2671" s="11">
        <v>2668</v>
      </c>
    </row>
    <row r="2672" spans="1:1">
      <c r="A2672" s="11">
        <v>2669</v>
      </c>
    </row>
    <row r="2673" spans="1:1">
      <c r="A2673" s="11">
        <v>2670</v>
      </c>
    </row>
    <row r="2674" spans="1:1">
      <c r="A2674" s="11">
        <v>2671</v>
      </c>
    </row>
    <row r="2675" spans="1:1">
      <c r="A2675" s="11">
        <v>2672</v>
      </c>
    </row>
    <row r="2676" spans="1:1">
      <c r="A2676" s="11">
        <v>2673</v>
      </c>
    </row>
    <row r="2677" spans="1:1">
      <c r="A2677" s="11">
        <v>2674</v>
      </c>
    </row>
    <row r="2678" spans="1:1">
      <c r="A2678" s="11">
        <v>2675</v>
      </c>
    </row>
    <row r="2679" spans="1:1">
      <c r="A2679" s="11">
        <v>2676</v>
      </c>
    </row>
    <row r="2680" spans="1:1">
      <c r="A2680" s="11">
        <v>2677</v>
      </c>
    </row>
    <row r="2681" spans="1:1">
      <c r="A2681" s="11">
        <v>2678</v>
      </c>
    </row>
    <row r="2682" spans="1:1">
      <c r="A2682" s="11">
        <v>2679</v>
      </c>
    </row>
    <row r="2683" spans="1:1">
      <c r="A2683" s="11">
        <v>2680</v>
      </c>
    </row>
    <row r="2684" spans="1:1">
      <c r="A2684" s="11">
        <v>2681</v>
      </c>
    </row>
    <row r="2685" spans="1:1">
      <c r="A2685" s="11">
        <v>2682</v>
      </c>
    </row>
    <row r="2686" spans="1:1">
      <c r="A2686" s="11">
        <v>2683</v>
      </c>
    </row>
    <row r="2687" spans="1:1">
      <c r="A2687" s="11">
        <v>2684</v>
      </c>
    </row>
    <row r="2688" spans="1:1">
      <c r="A2688" s="11">
        <v>2685</v>
      </c>
    </row>
    <row r="2689" spans="1:1">
      <c r="A2689" s="11">
        <v>2686</v>
      </c>
    </row>
    <row r="2690" spans="1:1">
      <c r="A2690" s="11">
        <v>2687</v>
      </c>
    </row>
    <row r="2691" spans="1:1">
      <c r="A2691" s="11">
        <v>2688</v>
      </c>
    </row>
    <row r="2692" spans="1:1">
      <c r="A2692" s="11">
        <v>2689</v>
      </c>
    </row>
    <row r="2693" spans="1:1">
      <c r="A2693" s="11">
        <v>2690</v>
      </c>
    </row>
    <row r="2694" spans="1:1">
      <c r="A2694" s="11">
        <v>2691</v>
      </c>
    </row>
    <row r="2695" spans="1:1">
      <c r="A2695" s="11">
        <v>2692</v>
      </c>
    </row>
    <row r="2696" spans="1:1">
      <c r="A2696" s="11">
        <v>2693</v>
      </c>
    </row>
    <row r="2697" spans="1:1">
      <c r="A2697" s="11">
        <v>2694</v>
      </c>
    </row>
    <row r="2698" spans="1:1">
      <c r="A2698" s="11">
        <v>2695</v>
      </c>
    </row>
    <row r="2699" spans="1:1">
      <c r="A2699" s="11">
        <v>2696</v>
      </c>
    </row>
    <row r="2700" spans="1:1">
      <c r="A2700" s="11">
        <v>2697</v>
      </c>
    </row>
    <row r="2701" spans="1:1">
      <c r="A2701" s="11">
        <v>2698</v>
      </c>
    </row>
    <row r="2702" spans="1:1">
      <c r="A2702" s="11">
        <v>2699</v>
      </c>
    </row>
    <row r="2703" spans="1:1">
      <c r="A2703" s="11">
        <v>2700</v>
      </c>
    </row>
    <row r="2704" spans="1:1">
      <c r="A2704" s="11">
        <v>2701</v>
      </c>
    </row>
    <row r="2705" spans="1:1">
      <c r="A2705" s="11">
        <v>2702</v>
      </c>
    </row>
    <row r="2706" spans="1:1">
      <c r="A2706" s="11">
        <v>2703</v>
      </c>
    </row>
    <row r="2707" spans="1:1">
      <c r="A2707" s="11">
        <v>2704</v>
      </c>
    </row>
    <row r="2708" spans="1:1">
      <c r="A2708" s="11">
        <v>2705</v>
      </c>
    </row>
    <row r="2709" spans="1:1">
      <c r="A2709" s="11">
        <v>2706</v>
      </c>
    </row>
    <row r="2710" spans="1:1">
      <c r="A2710" s="11">
        <v>2707</v>
      </c>
    </row>
    <row r="2711" spans="1:1">
      <c r="A2711" s="11">
        <v>2708</v>
      </c>
    </row>
    <row r="2712" spans="1:1">
      <c r="A2712" s="11">
        <v>2709</v>
      </c>
    </row>
    <row r="2713" spans="1:1">
      <c r="A2713" s="11">
        <v>2710</v>
      </c>
    </row>
    <row r="2714" spans="1:1">
      <c r="A2714" s="11">
        <v>2711</v>
      </c>
    </row>
    <row r="2715" spans="1:1">
      <c r="A2715" s="11">
        <v>2712</v>
      </c>
    </row>
    <row r="2716" spans="1:1">
      <c r="A2716" s="11">
        <v>2713</v>
      </c>
    </row>
    <row r="2717" spans="1:1">
      <c r="A2717" s="11">
        <v>2714</v>
      </c>
    </row>
    <row r="2718" spans="1:1">
      <c r="A2718" s="11">
        <v>2715</v>
      </c>
    </row>
    <row r="2719" spans="1:1">
      <c r="A2719" s="11">
        <v>2716</v>
      </c>
    </row>
    <row r="2720" spans="1:1">
      <c r="A2720" s="11">
        <v>2717</v>
      </c>
    </row>
    <row r="2721" spans="1:1">
      <c r="A2721" s="11">
        <v>2718</v>
      </c>
    </row>
    <row r="2722" spans="1:1">
      <c r="A2722" s="11">
        <v>2719</v>
      </c>
    </row>
    <row r="2723" spans="1:1">
      <c r="A2723" s="11">
        <v>2720</v>
      </c>
    </row>
    <row r="2724" spans="1:1">
      <c r="A2724" s="11">
        <v>2721</v>
      </c>
    </row>
    <row r="2725" spans="1:1">
      <c r="A2725" s="11">
        <v>2722</v>
      </c>
    </row>
    <row r="2726" spans="1:1">
      <c r="A2726" s="11">
        <v>2723</v>
      </c>
    </row>
    <row r="2727" spans="1:1">
      <c r="A2727" s="11">
        <v>2724</v>
      </c>
    </row>
    <row r="2728" spans="1:1">
      <c r="A2728" s="11">
        <v>2725</v>
      </c>
    </row>
    <row r="2729" spans="1:1">
      <c r="A2729" s="11">
        <v>2726</v>
      </c>
    </row>
    <row r="2730" spans="1:1">
      <c r="A2730" s="11">
        <v>2727</v>
      </c>
    </row>
    <row r="2731" spans="1:1">
      <c r="A2731" s="11">
        <v>2728</v>
      </c>
    </row>
    <row r="2732" spans="1:1">
      <c r="A2732" s="11">
        <v>2729</v>
      </c>
    </row>
    <row r="2733" spans="1:1">
      <c r="A2733" s="11">
        <v>2730</v>
      </c>
    </row>
    <row r="2734" spans="1:1">
      <c r="A2734" s="11">
        <v>2731</v>
      </c>
    </row>
    <row r="2735" spans="1:1">
      <c r="A2735" s="11">
        <v>2732</v>
      </c>
    </row>
    <row r="2736" spans="1:1">
      <c r="A2736" s="11">
        <v>2733</v>
      </c>
    </row>
    <row r="2737" spans="1:1">
      <c r="A2737" s="11">
        <v>2734</v>
      </c>
    </row>
    <row r="2738" spans="1:1">
      <c r="A2738" s="11">
        <v>2735</v>
      </c>
    </row>
    <row r="2739" spans="1:1">
      <c r="A2739" s="11">
        <v>2736</v>
      </c>
    </row>
    <row r="2740" spans="1:1">
      <c r="A2740" s="11">
        <v>2737</v>
      </c>
    </row>
    <row r="2741" spans="1:1">
      <c r="A2741" s="11">
        <v>2738</v>
      </c>
    </row>
    <row r="2742" spans="1:1">
      <c r="A2742" s="11">
        <v>2739</v>
      </c>
    </row>
    <row r="2743" spans="1:1">
      <c r="A2743" s="11">
        <v>2740</v>
      </c>
    </row>
    <row r="2744" spans="1:1">
      <c r="A2744" s="11">
        <v>2741</v>
      </c>
    </row>
    <row r="2745" spans="1:1">
      <c r="A2745" s="11">
        <v>2742</v>
      </c>
    </row>
    <row r="2746" spans="1:1">
      <c r="A2746" s="11">
        <v>2743</v>
      </c>
    </row>
    <row r="2747" spans="1:1">
      <c r="A2747" s="11">
        <v>2744</v>
      </c>
    </row>
    <row r="2748" spans="1:1">
      <c r="A2748" s="11">
        <v>2745</v>
      </c>
    </row>
    <row r="2749" spans="1:1">
      <c r="A2749" s="11">
        <v>2746</v>
      </c>
    </row>
    <row r="2750" spans="1:1">
      <c r="A2750" s="11">
        <v>2747</v>
      </c>
    </row>
    <row r="2751" spans="1:1">
      <c r="A2751" s="11">
        <v>2748</v>
      </c>
    </row>
    <row r="2752" spans="1:1">
      <c r="A2752" s="11">
        <v>2749</v>
      </c>
    </row>
    <row r="2753" spans="1:1">
      <c r="A2753" s="11">
        <v>2750</v>
      </c>
    </row>
    <row r="2754" spans="1:1">
      <c r="A2754" s="11">
        <v>2751</v>
      </c>
    </row>
    <row r="2755" spans="1:1">
      <c r="A2755" s="11">
        <v>2752</v>
      </c>
    </row>
    <row r="2756" spans="1:1">
      <c r="A2756" s="11">
        <v>2753</v>
      </c>
    </row>
    <row r="2757" spans="1:1">
      <c r="A2757" s="11">
        <v>2754</v>
      </c>
    </row>
    <row r="2758" spans="1:1">
      <c r="A2758" s="11">
        <v>2755</v>
      </c>
    </row>
    <row r="2759" spans="1:1">
      <c r="A2759" s="11">
        <v>2756</v>
      </c>
    </row>
    <row r="2760" spans="1:1">
      <c r="A2760" s="11">
        <v>2757</v>
      </c>
    </row>
    <row r="2761" spans="1:1">
      <c r="A2761" s="11">
        <v>2758</v>
      </c>
    </row>
    <row r="2762" spans="1:1">
      <c r="A2762" s="11">
        <v>2759</v>
      </c>
    </row>
    <row r="2763" spans="1:1">
      <c r="A2763" s="11">
        <v>2760</v>
      </c>
    </row>
    <row r="2764" spans="1:1">
      <c r="A2764" s="11">
        <v>2761</v>
      </c>
    </row>
    <row r="2765" spans="1:1">
      <c r="A2765" s="11">
        <v>2762</v>
      </c>
    </row>
    <row r="2766" spans="1:1">
      <c r="A2766" s="11">
        <v>2763</v>
      </c>
    </row>
    <row r="2767" spans="1:1">
      <c r="A2767" s="11">
        <v>2764</v>
      </c>
    </row>
    <row r="2768" spans="1:1">
      <c r="A2768" s="11">
        <v>2765</v>
      </c>
    </row>
    <row r="2769" spans="1:1">
      <c r="A2769" s="11">
        <v>2766</v>
      </c>
    </row>
    <row r="2770" spans="1:1">
      <c r="A2770" s="11">
        <v>2767</v>
      </c>
    </row>
    <row r="2771" spans="1:1">
      <c r="A2771" s="11">
        <v>2768</v>
      </c>
    </row>
    <row r="2772" spans="1:1">
      <c r="A2772" s="11">
        <v>2769</v>
      </c>
    </row>
    <row r="2773" spans="1:1">
      <c r="A2773" s="11">
        <v>2770</v>
      </c>
    </row>
    <row r="2774" spans="1:1">
      <c r="A2774" s="11">
        <v>2771</v>
      </c>
    </row>
    <row r="2775" spans="1:1">
      <c r="A2775" s="11">
        <v>2772</v>
      </c>
    </row>
    <row r="2776" spans="1:1">
      <c r="A2776" s="11">
        <v>2773</v>
      </c>
    </row>
    <row r="2777" spans="1:1">
      <c r="A2777" s="11">
        <v>2774</v>
      </c>
    </row>
    <row r="2778" spans="1:1">
      <c r="A2778" s="11">
        <v>2775</v>
      </c>
    </row>
    <row r="2779" spans="1:1">
      <c r="A2779" s="11">
        <v>2776</v>
      </c>
    </row>
    <row r="2780" spans="1:1">
      <c r="A2780" s="11">
        <v>2777</v>
      </c>
    </row>
    <row r="2781" spans="1:1">
      <c r="A2781" s="11">
        <v>2778</v>
      </c>
    </row>
    <row r="2782" spans="1:1">
      <c r="A2782" s="11">
        <v>2779</v>
      </c>
    </row>
    <row r="2783" spans="1:1">
      <c r="A2783" s="11">
        <v>2780</v>
      </c>
    </row>
    <row r="2784" spans="1:1">
      <c r="A2784" s="11">
        <v>2781</v>
      </c>
    </row>
    <row r="2785" spans="1:1">
      <c r="A2785" s="11">
        <v>2782</v>
      </c>
    </row>
    <row r="2786" spans="1:1">
      <c r="A2786" s="11">
        <v>2783</v>
      </c>
    </row>
    <row r="2787" spans="1:1">
      <c r="A2787" s="11">
        <v>2784</v>
      </c>
    </row>
    <row r="2788" spans="1:1">
      <c r="A2788" s="11">
        <v>2785</v>
      </c>
    </row>
    <row r="2789" spans="1:1">
      <c r="A2789" s="11">
        <v>2786</v>
      </c>
    </row>
    <row r="2790" spans="1:1">
      <c r="A2790" s="11">
        <v>2787</v>
      </c>
    </row>
    <row r="2791" spans="1:1">
      <c r="A2791" s="11">
        <v>2788</v>
      </c>
    </row>
    <row r="2792" spans="1:1">
      <c r="A2792" s="11">
        <v>2789</v>
      </c>
    </row>
    <row r="2793" spans="1:1">
      <c r="A2793" s="11">
        <v>2790</v>
      </c>
    </row>
    <row r="2794" spans="1:1">
      <c r="A2794" s="11">
        <v>2791</v>
      </c>
    </row>
    <row r="2795" spans="1:1">
      <c r="A2795" s="11">
        <v>2792</v>
      </c>
    </row>
    <row r="2796" spans="1:1">
      <c r="A2796" s="11">
        <v>2793</v>
      </c>
    </row>
    <row r="2797" spans="1:1">
      <c r="A2797" s="11">
        <v>2794</v>
      </c>
    </row>
    <row r="2798" spans="1:1">
      <c r="A2798" s="11">
        <v>2795</v>
      </c>
    </row>
    <row r="2799" spans="1:1">
      <c r="A2799" s="11">
        <v>2796</v>
      </c>
    </row>
    <row r="2800" spans="1:1">
      <c r="A2800" s="11">
        <v>2797</v>
      </c>
    </row>
    <row r="2801" spans="1:1">
      <c r="A2801" s="11">
        <v>2798</v>
      </c>
    </row>
    <row r="2802" spans="1:1">
      <c r="A2802" s="11">
        <v>2799</v>
      </c>
    </row>
    <row r="2803" spans="1:1">
      <c r="A2803" s="11">
        <v>2800</v>
      </c>
    </row>
    <row r="2804" spans="1:1">
      <c r="A2804" s="11">
        <v>2801</v>
      </c>
    </row>
    <row r="2805" spans="1:1">
      <c r="A2805" s="11">
        <v>2802</v>
      </c>
    </row>
    <row r="2806" spans="1:1">
      <c r="A2806" s="11">
        <v>2803</v>
      </c>
    </row>
    <row r="2807" spans="1:1">
      <c r="A2807" s="11">
        <v>2804</v>
      </c>
    </row>
    <row r="2808" spans="1:1">
      <c r="A2808" s="11">
        <v>2805</v>
      </c>
    </row>
    <row r="2809" spans="1:1">
      <c r="A2809" s="11">
        <v>2806</v>
      </c>
    </row>
    <row r="2810" spans="1:1">
      <c r="A2810" s="11">
        <v>2807</v>
      </c>
    </row>
    <row r="2811" spans="1:1">
      <c r="A2811" s="11">
        <v>2808</v>
      </c>
    </row>
    <row r="2812" spans="1:1">
      <c r="A2812" s="11">
        <v>2809</v>
      </c>
    </row>
    <row r="2813" spans="1:1">
      <c r="A2813" s="11">
        <v>2810</v>
      </c>
    </row>
    <row r="2814" spans="1:1">
      <c r="A2814" s="11">
        <v>2811</v>
      </c>
    </row>
    <row r="2815" spans="1:1">
      <c r="A2815" s="11">
        <v>2812</v>
      </c>
    </row>
    <row r="2816" spans="1:1">
      <c r="A2816" s="11">
        <v>2813</v>
      </c>
    </row>
    <row r="2817" spans="1:1">
      <c r="A2817" s="11">
        <v>2814</v>
      </c>
    </row>
    <row r="2818" spans="1:1">
      <c r="A2818" s="11">
        <v>2815</v>
      </c>
    </row>
    <row r="2819" spans="1:1">
      <c r="A2819" s="11">
        <v>2816</v>
      </c>
    </row>
    <row r="2820" spans="1:1">
      <c r="A2820" s="11">
        <v>2817</v>
      </c>
    </row>
    <row r="2821" spans="1:1">
      <c r="A2821" s="11">
        <v>2818</v>
      </c>
    </row>
    <row r="2822" spans="1:1">
      <c r="A2822" s="11">
        <v>2819</v>
      </c>
    </row>
    <row r="2823" spans="1:1">
      <c r="A2823" s="11">
        <v>2820</v>
      </c>
    </row>
    <row r="2824" spans="1:1">
      <c r="A2824" s="11">
        <v>2821</v>
      </c>
    </row>
    <row r="2825" spans="1:1">
      <c r="A2825" s="11">
        <v>2822</v>
      </c>
    </row>
    <row r="2826" spans="1:1">
      <c r="A2826" s="11">
        <v>2823</v>
      </c>
    </row>
    <row r="2827" spans="1:1">
      <c r="A2827" s="11">
        <v>2824</v>
      </c>
    </row>
    <row r="2828" spans="1:1">
      <c r="A2828" s="11">
        <v>2825</v>
      </c>
    </row>
    <row r="2829" spans="1:1">
      <c r="A2829" s="11">
        <v>2826</v>
      </c>
    </row>
    <row r="2830" spans="1:1">
      <c r="A2830" s="11">
        <v>2827</v>
      </c>
    </row>
    <row r="2831" spans="1:1">
      <c r="A2831" s="11">
        <v>2828</v>
      </c>
    </row>
    <row r="2832" spans="1:1">
      <c r="A2832" s="11">
        <v>2829</v>
      </c>
    </row>
    <row r="2833" spans="1:1">
      <c r="A2833" s="11">
        <v>2830</v>
      </c>
    </row>
    <row r="2834" spans="1:1">
      <c r="A2834" s="11">
        <v>2831</v>
      </c>
    </row>
    <row r="2835" spans="1:1">
      <c r="A2835" s="11">
        <v>2832</v>
      </c>
    </row>
    <row r="2836" spans="1:1">
      <c r="A2836" s="11">
        <v>2833</v>
      </c>
    </row>
    <row r="2837" spans="1:1">
      <c r="A2837" s="11">
        <v>2834</v>
      </c>
    </row>
    <row r="2838" spans="1:1">
      <c r="A2838" s="11">
        <v>2835</v>
      </c>
    </row>
    <row r="2839" spans="1:1">
      <c r="A2839" s="11">
        <v>2836</v>
      </c>
    </row>
    <row r="2840" spans="1:1">
      <c r="A2840" s="11">
        <v>2837</v>
      </c>
    </row>
    <row r="2841" spans="1:1">
      <c r="A2841" s="11">
        <v>2838</v>
      </c>
    </row>
    <row r="2842" spans="1:1">
      <c r="A2842" s="11">
        <v>2839</v>
      </c>
    </row>
    <row r="2843" spans="1:1">
      <c r="A2843" s="11">
        <v>2840</v>
      </c>
    </row>
    <row r="2844" spans="1:1">
      <c r="A2844" s="11">
        <v>2841</v>
      </c>
    </row>
    <row r="2845" spans="1:1">
      <c r="A2845" s="11">
        <v>2842</v>
      </c>
    </row>
    <row r="2846" spans="1:1">
      <c r="A2846" s="11">
        <v>2843</v>
      </c>
    </row>
    <row r="2847" spans="1:1">
      <c r="A2847" s="11">
        <v>2844</v>
      </c>
    </row>
    <row r="2848" spans="1:1">
      <c r="A2848" s="11">
        <v>2845</v>
      </c>
    </row>
    <row r="2849" spans="1:1">
      <c r="A2849" s="11">
        <v>2846</v>
      </c>
    </row>
    <row r="2850" spans="1:1">
      <c r="A2850" s="11">
        <v>2847</v>
      </c>
    </row>
    <row r="2851" spans="1:1">
      <c r="A2851" s="11">
        <v>2848</v>
      </c>
    </row>
    <row r="2852" spans="1:1">
      <c r="A2852" s="11">
        <v>2849</v>
      </c>
    </row>
    <row r="2853" spans="1:1">
      <c r="A2853" s="11">
        <v>2850</v>
      </c>
    </row>
    <row r="2854" spans="1:1">
      <c r="A2854" s="11">
        <v>2851</v>
      </c>
    </row>
    <row r="2855" spans="1:1">
      <c r="A2855" s="11">
        <v>2852</v>
      </c>
    </row>
    <row r="2856" spans="1:1">
      <c r="A2856" s="11">
        <v>2853</v>
      </c>
    </row>
    <row r="2857" spans="1:1">
      <c r="A2857" s="11">
        <v>2854</v>
      </c>
    </row>
    <row r="2858" spans="1:1">
      <c r="A2858" s="11">
        <v>2855</v>
      </c>
    </row>
    <row r="2859" spans="1:1">
      <c r="A2859" s="11">
        <v>2856</v>
      </c>
    </row>
    <row r="2860" spans="1:1">
      <c r="A2860" s="11">
        <v>2857</v>
      </c>
    </row>
    <row r="2861" spans="1:1">
      <c r="A2861" s="11">
        <v>2858</v>
      </c>
    </row>
    <row r="2862" spans="1:1">
      <c r="A2862" s="11">
        <v>2859</v>
      </c>
    </row>
    <row r="2863" spans="1:1">
      <c r="A2863" s="11">
        <v>2860</v>
      </c>
    </row>
    <row r="2864" spans="1:1">
      <c r="A2864" s="11">
        <v>2861</v>
      </c>
    </row>
    <row r="2865" spans="1:1">
      <c r="A2865" s="11">
        <v>2862</v>
      </c>
    </row>
    <row r="2866" spans="1:1">
      <c r="A2866" s="11">
        <v>2863</v>
      </c>
    </row>
    <row r="2867" spans="1:1">
      <c r="A2867" s="11">
        <v>2864</v>
      </c>
    </row>
    <row r="2868" spans="1:1">
      <c r="A2868" s="11">
        <v>2865</v>
      </c>
    </row>
    <row r="2869" spans="1:1">
      <c r="A2869" s="11">
        <v>2866</v>
      </c>
    </row>
    <row r="2870" spans="1:1">
      <c r="A2870" s="11">
        <v>2867</v>
      </c>
    </row>
    <row r="2871" spans="1:1">
      <c r="A2871" s="11">
        <v>2868</v>
      </c>
    </row>
    <row r="2872" spans="1:1">
      <c r="A2872" s="11">
        <v>2869</v>
      </c>
    </row>
    <row r="2873" spans="1:1">
      <c r="A2873" s="11">
        <v>2870</v>
      </c>
    </row>
    <row r="2874" spans="1:1">
      <c r="A2874" s="11">
        <v>2871</v>
      </c>
    </row>
    <row r="2875" spans="1:1">
      <c r="A2875" s="11">
        <v>2872</v>
      </c>
    </row>
    <row r="2876" spans="1:1">
      <c r="A2876" s="11">
        <v>2873</v>
      </c>
    </row>
    <row r="2877" spans="1:1">
      <c r="A2877" s="11">
        <v>2874</v>
      </c>
    </row>
    <row r="2878" spans="1:1">
      <c r="A2878" s="11">
        <v>2875</v>
      </c>
    </row>
    <row r="2879" spans="1:1">
      <c r="A2879" s="11">
        <v>2876</v>
      </c>
    </row>
    <row r="2880" spans="1:1">
      <c r="A2880" s="11">
        <v>2877</v>
      </c>
    </row>
    <row r="2881" spans="1:1">
      <c r="A2881" s="11">
        <v>2878</v>
      </c>
    </row>
    <row r="2882" spans="1:1">
      <c r="A2882" s="11">
        <v>2879</v>
      </c>
    </row>
    <row r="2883" spans="1:1">
      <c r="A2883" s="11">
        <v>2880</v>
      </c>
    </row>
    <row r="2884" spans="1:1">
      <c r="A2884" s="11">
        <v>2881</v>
      </c>
    </row>
    <row r="2885" spans="1:1">
      <c r="A2885" s="11">
        <v>2882</v>
      </c>
    </row>
    <row r="2886" spans="1:1">
      <c r="A2886" s="11">
        <v>2883</v>
      </c>
    </row>
    <row r="2887" spans="1:1">
      <c r="A2887" s="11">
        <v>2884</v>
      </c>
    </row>
    <row r="2888" spans="1:1">
      <c r="A2888" s="11">
        <v>2885</v>
      </c>
    </row>
    <row r="2889" spans="1:1">
      <c r="A2889" s="11">
        <v>2886</v>
      </c>
    </row>
    <row r="2890" spans="1:1">
      <c r="A2890" s="11">
        <v>2887</v>
      </c>
    </row>
    <row r="2891" spans="1:1">
      <c r="A2891" s="11">
        <v>2888</v>
      </c>
    </row>
    <row r="2892" spans="1:1">
      <c r="A2892" s="11">
        <v>2889</v>
      </c>
    </row>
    <row r="2893" spans="1:1">
      <c r="A2893" s="11">
        <v>2890</v>
      </c>
    </row>
    <row r="2894" spans="1:1">
      <c r="A2894" s="11">
        <v>2891</v>
      </c>
    </row>
    <row r="2895" spans="1:1">
      <c r="A2895" s="11">
        <v>2892</v>
      </c>
    </row>
    <row r="2896" spans="1:1">
      <c r="A2896" s="11">
        <v>2893</v>
      </c>
    </row>
    <row r="2897" spans="1:1">
      <c r="A2897" s="11">
        <v>2894</v>
      </c>
    </row>
    <row r="2898" spans="1:1">
      <c r="A2898" s="11">
        <v>2895</v>
      </c>
    </row>
    <row r="2899" spans="1:1">
      <c r="A2899" s="11">
        <v>2896</v>
      </c>
    </row>
    <row r="2900" spans="1:1">
      <c r="A2900" s="11">
        <v>2897</v>
      </c>
    </row>
    <row r="2901" spans="1:1">
      <c r="A2901" s="11">
        <v>2898</v>
      </c>
    </row>
    <row r="2902" spans="1:1">
      <c r="A2902" s="11">
        <v>2899</v>
      </c>
    </row>
    <row r="2903" spans="1:1">
      <c r="A2903" s="11">
        <v>2900</v>
      </c>
    </row>
    <row r="2904" spans="1:1">
      <c r="A2904" s="11">
        <v>2901</v>
      </c>
    </row>
    <row r="2905" spans="1:1">
      <c r="A2905" s="11">
        <v>2902</v>
      </c>
    </row>
    <row r="2906" spans="1:1">
      <c r="A2906" s="11">
        <v>2903</v>
      </c>
    </row>
    <row r="2907" spans="1:1">
      <c r="A2907" s="11">
        <v>2904</v>
      </c>
    </row>
    <row r="2908" spans="1:1">
      <c r="A2908" s="11">
        <v>2905</v>
      </c>
    </row>
    <row r="2909" spans="1:1">
      <c r="A2909" s="11">
        <v>2906</v>
      </c>
    </row>
    <row r="2910" spans="1:1">
      <c r="A2910" s="11">
        <v>2907</v>
      </c>
    </row>
    <row r="2911" spans="1:1">
      <c r="A2911" s="11">
        <v>2908</v>
      </c>
    </row>
    <row r="2912" spans="1:1">
      <c r="A2912" s="11">
        <v>2909</v>
      </c>
    </row>
    <row r="2913" spans="1:1">
      <c r="A2913" s="11">
        <v>2910</v>
      </c>
    </row>
    <row r="2914" spans="1:1">
      <c r="A2914" s="11">
        <v>2911</v>
      </c>
    </row>
    <row r="2915" spans="1:1">
      <c r="A2915" s="11">
        <v>2912</v>
      </c>
    </row>
    <row r="2916" spans="1:1">
      <c r="A2916" s="11">
        <v>2913</v>
      </c>
    </row>
    <row r="2917" spans="1:1">
      <c r="A2917" s="11">
        <v>2914</v>
      </c>
    </row>
    <row r="2918" spans="1:1">
      <c r="A2918" s="11">
        <v>2915</v>
      </c>
    </row>
    <row r="2919" spans="1:1">
      <c r="A2919" s="11">
        <v>2916</v>
      </c>
    </row>
    <row r="2920" spans="1:1">
      <c r="A2920" s="11">
        <v>2917</v>
      </c>
    </row>
    <row r="2921" spans="1:1">
      <c r="A2921" s="11">
        <v>2918</v>
      </c>
    </row>
    <row r="2922" spans="1:1">
      <c r="A2922" s="11">
        <v>2919</v>
      </c>
    </row>
    <row r="2923" spans="1:1">
      <c r="A2923" s="11">
        <v>2920</v>
      </c>
    </row>
    <row r="2924" spans="1:1">
      <c r="A2924" s="11">
        <v>2921</v>
      </c>
    </row>
    <row r="2925" spans="1:1">
      <c r="A2925" s="11">
        <v>2922</v>
      </c>
    </row>
    <row r="2926" spans="1:1">
      <c r="A2926" s="11">
        <v>2923</v>
      </c>
    </row>
    <row r="2927" spans="1:1">
      <c r="A2927" s="11">
        <v>2924</v>
      </c>
    </row>
    <row r="2928" spans="1:1">
      <c r="A2928" s="11">
        <v>2925</v>
      </c>
    </row>
    <row r="2929" spans="1:1">
      <c r="A2929" s="11">
        <v>2926</v>
      </c>
    </row>
    <row r="2930" spans="1:1">
      <c r="A2930" s="11">
        <v>2927</v>
      </c>
    </row>
    <row r="2931" spans="1:1">
      <c r="A2931" s="11">
        <v>2928</v>
      </c>
    </row>
    <row r="2932" spans="1:1">
      <c r="A2932" s="11">
        <v>2929</v>
      </c>
    </row>
    <row r="2933" spans="1:1">
      <c r="A2933" s="11">
        <v>2930</v>
      </c>
    </row>
    <row r="2934" spans="1:1">
      <c r="A2934" s="11">
        <v>2931</v>
      </c>
    </row>
    <row r="2935" spans="1:1">
      <c r="A2935" s="11">
        <v>2932</v>
      </c>
    </row>
    <row r="2936" spans="1:1">
      <c r="A2936" s="11">
        <v>2933</v>
      </c>
    </row>
    <row r="2937" spans="1:1">
      <c r="A2937" s="11">
        <v>2934</v>
      </c>
    </row>
    <row r="2938" spans="1:1">
      <c r="A2938" s="11">
        <v>2935</v>
      </c>
    </row>
    <row r="2939" spans="1:1">
      <c r="A2939" s="11">
        <v>2936</v>
      </c>
    </row>
    <row r="2940" spans="1:1">
      <c r="A2940" s="11">
        <v>2937</v>
      </c>
    </row>
    <row r="2941" spans="1:1">
      <c r="A2941" s="11">
        <v>2938</v>
      </c>
    </row>
    <row r="2942" spans="1:1">
      <c r="A2942" s="11">
        <v>2939</v>
      </c>
    </row>
    <row r="2943" spans="1:1">
      <c r="A2943" s="11">
        <v>2940</v>
      </c>
    </row>
    <row r="2944" spans="1:1">
      <c r="A2944" s="11">
        <v>2941</v>
      </c>
    </row>
    <row r="2945" spans="1:1">
      <c r="A2945" s="11">
        <v>2942</v>
      </c>
    </row>
    <row r="2946" spans="1:1">
      <c r="A2946" s="11">
        <v>2943</v>
      </c>
    </row>
    <row r="2947" spans="1:1">
      <c r="A2947" s="11">
        <v>2944</v>
      </c>
    </row>
    <row r="2948" spans="1:1">
      <c r="A2948" s="11">
        <v>2945</v>
      </c>
    </row>
    <row r="2949" spans="1:1">
      <c r="A2949" s="11">
        <v>2946</v>
      </c>
    </row>
    <row r="2950" spans="1:1">
      <c r="A2950" s="11">
        <v>2947</v>
      </c>
    </row>
    <row r="2951" spans="1:1">
      <c r="A2951" s="11">
        <v>2948</v>
      </c>
    </row>
    <row r="2952" spans="1:1">
      <c r="A2952" s="11">
        <v>2949</v>
      </c>
    </row>
    <row r="2953" spans="1:1">
      <c r="A2953" s="11">
        <v>2950</v>
      </c>
    </row>
    <row r="2954" spans="1:1">
      <c r="A2954" s="11">
        <v>2951</v>
      </c>
    </row>
    <row r="2955" spans="1:1">
      <c r="A2955" s="11">
        <v>2952</v>
      </c>
    </row>
    <row r="2956" spans="1:1">
      <c r="A2956" s="11">
        <v>2953</v>
      </c>
    </row>
    <row r="2957" spans="1:1">
      <c r="A2957" s="11">
        <v>2954</v>
      </c>
    </row>
    <row r="2958" spans="1:1">
      <c r="A2958" s="11">
        <v>2955</v>
      </c>
    </row>
    <row r="2959" spans="1:1">
      <c r="A2959" s="11">
        <v>2956</v>
      </c>
    </row>
    <row r="2960" spans="1:1">
      <c r="A2960" s="11">
        <v>2957</v>
      </c>
    </row>
    <row r="2961" spans="1:1">
      <c r="A2961" s="11">
        <v>2958</v>
      </c>
    </row>
    <row r="2962" spans="1:1">
      <c r="A2962" s="11">
        <v>2959</v>
      </c>
    </row>
    <row r="2963" spans="1:1">
      <c r="A2963" s="11">
        <v>2960</v>
      </c>
    </row>
    <row r="2964" spans="1:1">
      <c r="A2964" s="11">
        <v>2961</v>
      </c>
    </row>
    <row r="2965" spans="1:1">
      <c r="A2965" s="11">
        <v>2962</v>
      </c>
    </row>
    <row r="2966" spans="1:1">
      <c r="A2966" s="11">
        <v>2963</v>
      </c>
    </row>
    <row r="2967" spans="1:1">
      <c r="A2967" s="11">
        <v>2964</v>
      </c>
    </row>
    <row r="2968" spans="1:1">
      <c r="A2968" s="11">
        <v>2965</v>
      </c>
    </row>
    <row r="2969" spans="1:1">
      <c r="A2969" s="11">
        <v>2966</v>
      </c>
    </row>
    <row r="2970" spans="1:1">
      <c r="A2970" s="11">
        <v>2967</v>
      </c>
    </row>
    <row r="2971" spans="1:1">
      <c r="A2971" s="11">
        <v>2968</v>
      </c>
    </row>
    <row r="2972" spans="1:1">
      <c r="A2972" s="11">
        <v>2969</v>
      </c>
    </row>
    <row r="2973" spans="1:1">
      <c r="A2973" s="11">
        <v>2970</v>
      </c>
    </row>
    <row r="2974" spans="1:1">
      <c r="A2974" s="11">
        <v>2971</v>
      </c>
    </row>
    <row r="2975" spans="1:1">
      <c r="A2975" s="11">
        <v>2972</v>
      </c>
    </row>
    <row r="2976" spans="1:1">
      <c r="A2976" s="11">
        <v>2973</v>
      </c>
    </row>
    <row r="2977" spans="1:1">
      <c r="A2977" s="11">
        <v>2974</v>
      </c>
    </row>
    <row r="2978" spans="1:1">
      <c r="A2978" s="11">
        <v>2975</v>
      </c>
    </row>
    <row r="2979" spans="1:1">
      <c r="A2979" s="11">
        <v>2976</v>
      </c>
    </row>
    <row r="2980" spans="1:1">
      <c r="A2980" s="11">
        <v>2977</v>
      </c>
    </row>
    <row r="2981" spans="1:1">
      <c r="A2981" s="11">
        <v>2978</v>
      </c>
    </row>
    <row r="2982" spans="1:1">
      <c r="A2982" s="11">
        <v>2979</v>
      </c>
    </row>
    <row r="2983" spans="1:1">
      <c r="A2983" s="11">
        <v>2980</v>
      </c>
    </row>
    <row r="2984" spans="1:1">
      <c r="A2984" s="11">
        <v>2981</v>
      </c>
    </row>
    <row r="2985" spans="1:1">
      <c r="A2985" s="11">
        <v>2982</v>
      </c>
    </row>
    <row r="2986" spans="1:1">
      <c r="A2986" s="11">
        <v>2983</v>
      </c>
    </row>
    <row r="2987" spans="1:1">
      <c r="A2987" s="11">
        <v>2984</v>
      </c>
    </row>
    <row r="2988" spans="1:1">
      <c r="A2988" s="11">
        <v>2985</v>
      </c>
    </row>
    <row r="2989" spans="1:1">
      <c r="A2989" s="11">
        <v>2986</v>
      </c>
    </row>
    <row r="2990" spans="1:1">
      <c r="A2990" s="11">
        <v>2987</v>
      </c>
    </row>
    <row r="2991" spans="1:1">
      <c r="A2991" s="11">
        <v>2988</v>
      </c>
    </row>
    <row r="2992" spans="1:1">
      <c r="A2992" s="11">
        <v>2989</v>
      </c>
    </row>
    <row r="2993" spans="1:1">
      <c r="A2993" s="11">
        <v>2990</v>
      </c>
    </row>
    <row r="2994" spans="1:1">
      <c r="A2994" s="11">
        <v>2991</v>
      </c>
    </row>
    <row r="2995" spans="1:1">
      <c r="A2995" s="11">
        <v>2992</v>
      </c>
    </row>
    <row r="2996" spans="1:1">
      <c r="A2996" s="11">
        <v>2993</v>
      </c>
    </row>
    <row r="2997" spans="1:1">
      <c r="A2997" s="11">
        <v>2994</v>
      </c>
    </row>
    <row r="2998" spans="1:1">
      <c r="A2998" s="11">
        <v>2995</v>
      </c>
    </row>
    <row r="2999" spans="1:1">
      <c r="A2999" s="11">
        <v>2996</v>
      </c>
    </row>
    <row r="3000" spans="1:1">
      <c r="A3000" s="11">
        <v>2997</v>
      </c>
    </row>
    <row r="3001" spans="1:1">
      <c r="A3001" s="11">
        <v>2998</v>
      </c>
    </row>
    <row r="3002" spans="1:1">
      <c r="A3002" s="11">
        <v>2999</v>
      </c>
    </row>
    <row r="3003" spans="1:1">
      <c r="A3003" s="11">
        <v>3000</v>
      </c>
    </row>
    <row r="3004" spans="1:1">
      <c r="A3004" s="11">
        <v>3001</v>
      </c>
    </row>
    <row r="3005" spans="1:1">
      <c r="A3005" s="11">
        <v>3002</v>
      </c>
    </row>
    <row r="3006" spans="1:1">
      <c r="A3006" s="11">
        <v>3003</v>
      </c>
    </row>
    <row r="3007" spans="1:1">
      <c r="A3007" s="11">
        <v>3004</v>
      </c>
    </row>
    <row r="3008" spans="1:1">
      <c r="A3008" s="11">
        <v>3005</v>
      </c>
    </row>
    <row r="3009" spans="1:1">
      <c r="A3009" s="11">
        <v>3006</v>
      </c>
    </row>
    <row r="3010" spans="1:1">
      <c r="A3010" s="11">
        <v>3007</v>
      </c>
    </row>
    <row r="3011" spans="1:1">
      <c r="A3011" s="11">
        <v>3008</v>
      </c>
    </row>
    <row r="3012" spans="1:1">
      <c r="A3012" s="11">
        <v>3009</v>
      </c>
    </row>
    <row r="3013" spans="1:1">
      <c r="A3013" s="11">
        <v>3010</v>
      </c>
    </row>
    <row r="3014" spans="1:1">
      <c r="A3014" s="11">
        <v>3011</v>
      </c>
    </row>
    <row r="3015" spans="1:1">
      <c r="A3015" s="11">
        <v>3012</v>
      </c>
    </row>
    <row r="3016" spans="1:1">
      <c r="A3016" s="11">
        <v>3013</v>
      </c>
    </row>
    <row r="3017" spans="1:1">
      <c r="A3017" s="11">
        <v>3014</v>
      </c>
    </row>
    <row r="3018" spans="1:1">
      <c r="A3018" s="11">
        <v>3015</v>
      </c>
    </row>
    <row r="3019" spans="1:1">
      <c r="A3019" s="11">
        <v>3016</v>
      </c>
    </row>
    <row r="3020" spans="1:1">
      <c r="A3020" s="11">
        <v>3017</v>
      </c>
    </row>
    <row r="3021" spans="1:1">
      <c r="A3021" s="11">
        <v>3018</v>
      </c>
    </row>
    <row r="3022" spans="1:1">
      <c r="A3022" s="11">
        <v>3019</v>
      </c>
    </row>
    <row r="3023" spans="1:1">
      <c r="A3023" s="11">
        <v>3020</v>
      </c>
    </row>
    <row r="3024" spans="1:1">
      <c r="A3024" s="11">
        <v>3021</v>
      </c>
    </row>
    <row r="3025" spans="1:1">
      <c r="A3025" s="11">
        <v>3022</v>
      </c>
    </row>
    <row r="3026" spans="1:1">
      <c r="A3026" s="11">
        <v>3023</v>
      </c>
    </row>
    <row r="3027" spans="1:1">
      <c r="A3027" s="11">
        <v>3024</v>
      </c>
    </row>
    <row r="3028" spans="1:1">
      <c r="A3028" s="11">
        <v>3025</v>
      </c>
    </row>
    <row r="3029" spans="1:1">
      <c r="A3029" s="11">
        <v>3026</v>
      </c>
    </row>
    <row r="3030" spans="1:1">
      <c r="A3030" s="11">
        <v>3027</v>
      </c>
    </row>
    <row r="3031" spans="1:1">
      <c r="A3031" s="11">
        <v>3028</v>
      </c>
    </row>
    <row r="3032" spans="1:1">
      <c r="A3032" s="11">
        <v>3029</v>
      </c>
    </row>
    <row r="3033" spans="1:1">
      <c r="A3033" s="11">
        <v>3030</v>
      </c>
    </row>
    <row r="3034" spans="1:1">
      <c r="A3034" s="11">
        <v>3031</v>
      </c>
    </row>
    <row r="3035" spans="1:1">
      <c r="A3035" s="11">
        <v>3032</v>
      </c>
    </row>
    <row r="3036" spans="1:1">
      <c r="A3036" s="11">
        <v>3033</v>
      </c>
    </row>
    <row r="3037" spans="1:1">
      <c r="A3037" s="11">
        <v>3034</v>
      </c>
    </row>
    <row r="3038" spans="1:1">
      <c r="A3038" s="11">
        <v>3035</v>
      </c>
    </row>
    <row r="3039" spans="1:1">
      <c r="A3039" s="11">
        <v>3036</v>
      </c>
    </row>
    <row r="3040" spans="1:1">
      <c r="A3040" s="11">
        <v>3037</v>
      </c>
    </row>
    <row r="3041" spans="1:1">
      <c r="A3041" s="11">
        <v>3038</v>
      </c>
    </row>
    <row r="3042" spans="1:1">
      <c r="A3042" s="11">
        <v>3039</v>
      </c>
    </row>
    <row r="3043" spans="1:1">
      <c r="A3043" s="11">
        <v>3040</v>
      </c>
    </row>
    <row r="3044" spans="1:1">
      <c r="A3044" s="11">
        <v>3041</v>
      </c>
    </row>
    <row r="3045" spans="1:1">
      <c r="A3045" s="11">
        <v>3042</v>
      </c>
    </row>
    <row r="3046" spans="1:1">
      <c r="A3046" s="11">
        <v>3043</v>
      </c>
    </row>
    <row r="3047" spans="1:1">
      <c r="A3047" s="11">
        <v>3044</v>
      </c>
    </row>
    <row r="3048" spans="1:1">
      <c r="A3048" s="11">
        <v>3045</v>
      </c>
    </row>
    <row r="3049" spans="1:1">
      <c r="A3049" s="11">
        <v>3046</v>
      </c>
    </row>
    <row r="3050" spans="1:1">
      <c r="A3050" s="11">
        <v>3047</v>
      </c>
    </row>
    <row r="3051" spans="1:1">
      <c r="A3051" s="11">
        <v>3048</v>
      </c>
    </row>
    <row r="3052" spans="1:1">
      <c r="A3052" s="11">
        <v>3049</v>
      </c>
    </row>
    <row r="3053" spans="1:1">
      <c r="A3053" s="11">
        <v>3050</v>
      </c>
    </row>
    <row r="3054" spans="1:1">
      <c r="A3054" s="11">
        <v>3051</v>
      </c>
    </row>
    <row r="3055" spans="1:1">
      <c r="A3055" s="11">
        <v>3052</v>
      </c>
    </row>
    <row r="3056" spans="1:1">
      <c r="A3056" s="11">
        <v>3053</v>
      </c>
    </row>
    <row r="3057" spans="1:1">
      <c r="A3057" s="11">
        <v>3054</v>
      </c>
    </row>
    <row r="3058" spans="1:1">
      <c r="A3058" s="11">
        <v>3055</v>
      </c>
    </row>
    <row r="3059" spans="1:1">
      <c r="A3059" s="11">
        <v>3056</v>
      </c>
    </row>
    <row r="3060" spans="1:1">
      <c r="A3060" s="11">
        <v>3057</v>
      </c>
    </row>
    <row r="3061" spans="1:1">
      <c r="A3061" s="11">
        <v>3058</v>
      </c>
    </row>
    <row r="3062" spans="1:1">
      <c r="A3062" s="11">
        <v>3059</v>
      </c>
    </row>
    <row r="3063" spans="1:1">
      <c r="A3063" s="11">
        <v>3060</v>
      </c>
    </row>
    <row r="3064" spans="1:1">
      <c r="A3064" s="11">
        <v>3061</v>
      </c>
    </row>
    <row r="3065" spans="1:1">
      <c r="A3065" s="11">
        <v>3062</v>
      </c>
    </row>
    <row r="3066" spans="1:1">
      <c r="A3066" s="11">
        <v>3063</v>
      </c>
    </row>
    <row r="3067" spans="1:1">
      <c r="A3067" s="11">
        <v>3064</v>
      </c>
    </row>
    <row r="3068" spans="1:1">
      <c r="A3068" s="11">
        <v>3065</v>
      </c>
    </row>
    <row r="3069" spans="1:1">
      <c r="A3069" s="11">
        <v>3066</v>
      </c>
    </row>
    <row r="3070" spans="1:1">
      <c r="A3070" s="11">
        <v>3067</v>
      </c>
    </row>
    <row r="3071" spans="1:1">
      <c r="A3071" s="11">
        <v>3068</v>
      </c>
    </row>
    <row r="3072" spans="1:1">
      <c r="A3072" s="11">
        <v>3069</v>
      </c>
    </row>
    <row r="3073" spans="1:1">
      <c r="A3073" s="11">
        <v>3070</v>
      </c>
    </row>
    <row r="3074" spans="1:1">
      <c r="A3074" s="11">
        <v>3071</v>
      </c>
    </row>
    <row r="3075" spans="1:1">
      <c r="A3075" s="11">
        <v>3072</v>
      </c>
    </row>
    <row r="3076" spans="1:1">
      <c r="A3076" s="11">
        <v>3073</v>
      </c>
    </row>
    <row r="3077" spans="1:1">
      <c r="A3077" s="11">
        <v>3074</v>
      </c>
    </row>
    <row r="3078" spans="1:1">
      <c r="A3078" s="11">
        <v>3075</v>
      </c>
    </row>
    <row r="3079" spans="1:1">
      <c r="A3079" s="11">
        <v>3076</v>
      </c>
    </row>
    <row r="3080" spans="1:1">
      <c r="A3080" s="11">
        <v>3077</v>
      </c>
    </row>
    <row r="3081" spans="1:1">
      <c r="A3081" s="11">
        <v>3078</v>
      </c>
    </row>
    <row r="3082" spans="1:1">
      <c r="A3082" s="11">
        <v>3079</v>
      </c>
    </row>
    <row r="3083" spans="1:1">
      <c r="A3083" s="11">
        <v>3080</v>
      </c>
    </row>
    <row r="3084" spans="1:1">
      <c r="A3084" s="11">
        <v>3081</v>
      </c>
    </row>
    <row r="3085" spans="1:1">
      <c r="A3085" s="11">
        <v>3082</v>
      </c>
    </row>
    <row r="3086" spans="1:1">
      <c r="A3086" s="11">
        <v>3083</v>
      </c>
    </row>
    <row r="3087" spans="1:1">
      <c r="A3087" s="11">
        <v>3084</v>
      </c>
    </row>
    <row r="3088" spans="1:1">
      <c r="A3088" s="11">
        <v>3085</v>
      </c>
    </row>
    <row r="3089" spans="1:1">
      <c r="A3089" s="11">
        <v>3086</v>
      </c>
    </row>
    <row r="3090" spans="1:1">
      <c r="A3090" s="11">
        <v>3087</v>
      </c>
    </row>
    <row r="3091" spans="1:1">
      <c r="A3091" s="11">
        <v>3088</v>
      </c>
    </row>
    <row r="3092" spans="1:1">
      <c r="A3092" s="11">
        <v>3089</v>
      </c>
    </row>
    <row r="3093" spans="1:1">
      <c r="A3093" s="11">
        <v>3090</v>
      </c>
    </row>
    <row r="3094" spans="1:1">
      <c r="A3094" s="11">
        <v>3091</v>
      </c>
    </row>
    <row r="3095" spans="1:1">
      <c r="A3095" s="11">
        <v>3092</v>
      </c>
    </row>
    <row r="3096" spans="1:1">
      <c r="A3096" s="11">
        <v>3093</v>
      </c>
    </row>
    <row r="3097" spans="1:1">
      <c r="A3097" s="11">
        <v>3094</v>
      </c>
    </row>
    <row r="3098" spans="1:1">
      <c r="A3098" s="11">
        <v>3095</v>
      </c>
    </row>
    <row r="3099" spans="1:1">
      <c r="A3099" s="11">
        <v>3096</v>
      </c>
    </row>
    <row r="3100" spans="1:1">
      <c r="A3100" s="11">
        <v>3097</v>
      </c>
    </row>
    <row r="3101" spans="1:1">
      <c r="A3101" s="11">
        <v>3098</v>
      </c>
    </row>
    <row r="3102" spans="1:1">
      <c r="A3102" s="11">
        <v>3099</v>
      </c>
    </row>
    <row r="3103" spans="1:1">
      <c r="A3103" s="11">
        <v>3100</v>
      </c>
    </row>
    <row r="3104" spans="1:1">
      <c r="A3104" s="11">
        <v>3101</v>
      </c>
    </row>
    <row r="3105" spans="1:1">
      <c r="A3105" s="11">
        <v>3102</v>
      </c>
    </row>
    <row r="3106" spans="1:1">
      <c r="A3106" s="11">
        <v>3103</v>
      </c>
    </row>
    <row r="3107" spans="1:1">
      <c r="A3107" s="11">
        <v>3104</v>
      </c>
    </row>
    <row r="3108" spans="1:1">
      <c r="A3108" s="11">
        <v>3105</v>
      </c>
    </row>
    <row r="3109" spans="1:1">
      <c r="A3109" s="11">
        <v>3106</v>
      </c>
    </row>
    <row r="3110" spans="1:1">
      <c r="A3110" s="11">
        <v>3107</v>
      </c>
    </row>
    <row r="3111" spans="1:1">
      <c r="A3111" s="11">
        <v>3108</v>
      </c>
    </row>
    <row r="3112" spans="1:1">
      <c r="A3112" s="11">
        <v>3109</v>
      </c>
    </row>
    <row r="3113" spans="1:1">
      <c r="A3113" s="11">
        <v>3110</v>
      </c>
    </row>
    <row r="3114" spans="1:1">
      <c r="A3114" s="11">
        <v>3111</v>
      </c>
    </row>
    <row r="3115" spans="1:1">
      <c r="A3115" s="11">
        <v>3112</v>
      </c>
    </row>
    <row r="3116" spans="1:1">
      <c r="A3116" s="11">
        <v>3113</v>
      </c>
    </row>
    <row r="3117" spans="1:1">
      <c r="A3117" s="11">
        <v>3114</v>
      </c>
    </row>
    <row r="3118" spans="1:1">
      <c r="A3118" s="11">
        <v>3115</v>
      </c>
    </row>
    <row r="3119" spans="1:1">
      <c r="A3119" s="11">
        <v>3116</v>
      </c>
    </row>
    <row r="3120" spans="1:1">
      <c r="A3120" s="11">
        <v>3117</v>
      </c>
    </row>
    <row r="3121" spans="1:1">
      <c r="A3121" s="11">
        <v>3118</v>
      </c>
    </row>
    <row r="3122" spans="1:1">
      <c r="A3122" s="11">
        <v>3119</v>
      </c>
    </row>
    <row r="3123" spans="1:1">
      <c r="A3123" s="11">
        <v>3120</v>
      </c>
    </row>
    <row r="3124" spans="1:1">
      <c r="A3124" s="11">
        <v>3121</v>
      </c>
    </row>
    <row r="3125" spans="1:1">
      <c r="A3125" s="11">
        <v>3122</v>
      </c>
    </row>
    <row r="3126" spans="1:1">
      <c r="A3126" s="11">
        <v>3123</v>
      </c>
    </row>
    <row r="3127" spans="1:1">
      <c r="A3127" s="11">
        <v>3124</v>
      </c>
    </row>
    <row r="3128" spans="1:1">
      <c r="A3128" s="11">
        <v>3125</v>
      </c>
    </row>
    <row r="3129" spans="1:1">
      <c r="A3129" s="11">
        <v>3126</v>
      </c>
    </row>
    <row r="3130" spans="1:1">
      <c r="A3130" s="11">
        <v>3127</v>
      </c>
    </row>
    <row r="3131" spans="1:1">
      <c r="A3131" s="11">
        <v>3128</v>
      </c>
    </row>
    <row r="3132" spans="1:1">
      <c r="A3132" s="11">
        <v>3129</v>
      </c>
    </row>
    <row r="3133" spans="1:1">
      <c r="A3133" s="11">
        <v>3130</v>
      </c>
    </row>
    <row r="3134" spans="1:1">
      <c r="A3134" s="11">
        <v>3131</v>
      </c>
    </row>
    <row r="3135" spans="1:1">
      <c r="A3135" s="11">
        <v>3132</v>
      </c>
    </row>
    <row r="3136" spans="1:1">
      <c r="A3136" s="11">
        <v>3133</v>
      </c>
    </row>
    <row r="3137" spans="1:1">
      <c r="A3137" s="11">
        <v>3134</v>
      </c>
    </row>
    <row r="3138" spans="1:1">
      <c r="A3138" s="11">
        <v>3135</v>
      </c>
    </row>
    <row r="3139" spans="1:1">
      <c r="A3139" s="11">
        <v>3136</v>
      </c>
    </row>
    <row r="3140" spans="1:1">
      <c r="A3140" s="11">
        <v>3137</v>
      </c>
    </row>
    <row r="3141" spans="1:1">
      <c r="A3141" s="11">
        <v>3138</v>
      </c>
    </row>
    <row r="3142" spans="1:1">
      <c r="A3142" s="11">
        <v>3139</v>
      </c>
    </row>
    <row r="3143" spans="1:1">
      <c r="A3143" s="11">
        <v>3140</v>
      </c>
    </row>
    <row r="3144" spans="1:1">
      <c r="A3144" s="11">
        <v>3141</v>
      </c>
    </row>
    <row r="3145" spans="1:1">
      <c r="A3145" s="11">
        <v>3142</v>
      </c>
    </row>
    <row r="3146" spans="1:1">
      <c r="A3146" s="11">
        <v>3143</v>
      </c>
    </row>
    <row r="3147" spans="1:1">
      <c r="A3147" s="11">
        <v>3144</v>
      </c>
    </row>
    <row r="3148" spans="1:1">
      <c r="A3148" s="11">
        <v>3145</v>
      </c>
    </row>
    <row r="3149" spans="1:1">
      <c r="A3149" s="11">
        <v>3146</v>
      </c>
    </row>
    <row r="3150" spans="1:1">
      <c r="A3150" s="11">
        <v>3147</v>
      </c>
    </row>
    <row r="3151" spans="1:1">
      <c r="A3151" s="11">
        <v>3148</v>
      </c>
    </row>
    <row r="3152" spans="1:1">
      <c r="A3152" s="11">
        <v>3149</v>
      </c>
    </row>
    <row r="3153" spans="1:1">
      <c r="A3153" s="11">
        <v>3150</v>
      </c>
    </row>
    <row r="3154" spans="1:1">
      <c r="A3154" s="11">
        <v>3151</v>
      </c>
    </row>
    <row r="3155" spans="1:1">
      <c r="A3155" s="11">
        <v>3152</v>
      </c>
    </row>
    <row r="3156" spans="1:1">
      <c r="A3156" s="11">
        <v>3153</v>
      </c>
    </row>
    <row r="3157" spans="1:1">
      <c r="A3157" s="11">
        <v>3154</v>
      </c>
    </row>
    <row r="3158" spans="1:1">
      <c r="A3158" s="11">
        <v>3155</v>
      </c>
    </row>
    <row r="3159" spans="1:1">
      <c r="A3159" s="11">
        <v>3156</v>
      </c>
    </row>
    <row r="3160" spans="1:1">
      <c r="A3160" s="11">
        <v>3157</v>
      </c>
    </row>
    <row r="3161" spans="1:1">
      <c r="A3161" s="11">
        <v>3158</v>
      </c>
    </row>
    <row r="3162" spans="1:1">
      <c r="A3162" s="11">
        <v>3159</v>
      </c>
    </row>
    <row r="3163" spans="1:1">
      <c r="A3163" s="11">
        <v>3160</v>
      </c>
    </row>
    <row r="3164" spans="1:1">
      <c r="A3164" s="11">
        <v>3161</v>
      </c>
    </row>
    <row r="3165" spans="1:1">
      <c r="A3165" s="11">
        <v>3162</v>
      </c>
    </row>
    <row r="3166" spans="1:1">
      <c r="A3166" s="11">
        <v>3163</v>
      </c>
    </row>
    <row r="3167" spans="1:1">
      <c r="A3167" s="11">
        <v>3164</v>
      </c>
    </row>
    <row r="3168" spans="1:1">
      <c r="A3168" s="11">
        <v>3165</v>
      </c>
    </row>
    <row r="3169" spans="1:1">
      <c r="A3169" s="11">
        <v>3166</v>
      </c>
    </row>
    <row r="3170" spans="1:1">
      <c r="A3170" s="11">
        <v>3167</v>
      </c>
    </row>
    <row r="3171" spans="1:1">
      <c r="A3171" s="11">
        <v>3168</v>
      </c>
    </row>
    <row r="3172" spans="1:1">
      <c r="A3172" s="11">
        <v>3169</v>
      </c>
    </row>
    <row r="3173" spans="1:1">
      <c r="A3173" s="11">
        <v>3170</v>
      </c>
    </row>
    <row r="3174" spans="1:1">
      <c r="A3174" s="11">
        <v>3171</v>
      </c>
    </row>
    <row r="3175" spans="1:1">
      <c r="A3175" s="11">
        <v>3172</v>
      </c>
    </row>
    <row r="3176" spans="1:1">
      <c r="A3176" s="11">
        <v>3173</v>
      </c>
    </row>
    <row r="3177" spans="1:1">
      <c r="A3177" s="11">
        <v>3174</v>
      </c>
    </row>
    <row r="3178" spans="1:1">
      <c r="A3178" s="11">
        <v>3175</v>
      </c>
    </row>
    <row r="3179" spans="1:1">
      <c r="A3179" s="11">
        <v>3176</v>
      </c>
    </row>
    <row r="3180" spans="1:1">
      <c r="A3180" s="11">
        <v>3177</v>
      </c>
    </row>
    <row r="3181" spans="1:1">
      <c r="A3181" s="11">
        <v>3178</v>
      </c>
    </row>
    <row r="3182" spans="1:1">
      <c r="A3182" s="11">
        <v>3179</v>
      </c>
    </row>
    <row r="3183" spans="1:1">
      <c r="A3183" s="11">
        <v>3180</v>
      </c>
    </row>
    <row r="3184" spans="1:1">
      <c r="A3184" s="11">
        <v>3181</v>
      </c>
    </row>
    <row r="3185" spans="1:1">
      <c r="A3185" s="11">
        <v>3182</v>
      </c>
    </row>
    <row r="3186" spans="1:1">
      <c r="A3186" s="11">
        <v>3183</v>
      </c>
    </row>
    <row r="3187" spans="1:1">
      <c r="A3187" s="11">
        <v>3184</v>
      </c>
    </row>
    <row r="3188" spans="1:1">
      <c r="A3188" s="11">
        <v>3185</v>
      </c>
    </row>
    <row r="3189" spans="1:1">
      <c r="A3189" s="11">
        <v>3186</v>
      </c>
    </row>
    <row r="3190" spans="1:1">
      <c r="A3190" s="11">
        <v>3187</v>
      </c>
    </row>
    <row r="3191" spans="1:1">
      <c r="A3191" s="11">
        <v>3188</v>
      </c>
    </row>
    <row r="3192" spans="1:1">
      <c r="A3192" s="11">
        <v>3189</v>
      </c>
    </row>
    <row r="3193" spans="1:1">
      <c r="A3193" s="11">
        <v>3190</v>
      </c>
    </row>
    <row r="3194" spans="1:1">
      <c r="A3194" s="11">
        <v>3191</v>
      </c>
    </row>
    <row r="3195" spans="1:1">
      <c r="A3195" s="11">
        <v>3192</v>
      </c>
    </row>
    <row r="3196" spans="1:1">
      <c r="A3196" s="11">
        <v>3193</v>
      </c>
    </row>
    <row r="3197" spans="1:1">
      <c r="A3197" s="11">
        <v>3194</v>
      </c>
    </row>
    <row r="3198" spans="1:1">
      <c r="A3198" s="11">
        <v>3195</v>
      </c>
    </row>
    <row r="3199" spans="1:1">
      <c r="A3199" s="11">
        <v>3196</v>
      </c>
    </row>
    <row r="3200" spans="1:1">
      <c r="A3200" s="11">
        <v>3197</v>
      </c>
    </row>
    <row r="3201" spans="1:1">
      <c r="A3201" s="11">
        <v>3198</v>
      </c>
    </row>
    <row r="3202" spans="1:1">
      <c r="A3202" s="11">
        <v>3199</v>
      </c>
    </row>
    <row r="3203" spans="1:1">
      <c r="A3203" s="11">
        <v>3200</v>
      </c>
    </row>
    <row r="3204" spans="1:1">
      <c r="A3204" s="11">
        <v>3201</v>
      </c>
    </row>
    <row r="3205" spans="1:1">
      <c r="A3205" s="11">
        <v>3202</v>
      </c>
    </row>
    <row r="3206" spans="1:1">
      <c r="A3206" s="11">
        <v>3203</v>
      </c>
    </row>
    <row r="3207" spans="1:1">
      <c r="A3207" s="11">
        <v>3204</v>
      </c>
    </row>
    <row r="3208" spans="1:1">
      <c r="A3208" s="11">
        <v>3205</v>
      </c>
    </row>
    <row r="3209" spans="1:1">
      <c r="A3209" s="11">
        <v>3206</v>
      </c>
    </row>
    <row r="3210" spans="1:1">
      <c r="A3210" s="11">
        <v>3207</v>
      </c>
    </row>
    <row r="3211" spans="1:1">
      <c r="A3211" s="11">
        <v>3208</v>
      </c>
    </row>
    <row r="3212" spans="1:1">
      <c r="A3212" s="11">
        <v>3209</v>
      </c>
    </row>
    <row r="3213" spans="1:1">
      <c r="A3213" s="11">
        <v>3210</v>
      </c>
    </row>
    <row r="3214" spans="1:1">
      <c r="A3214" s="11">
        <v>3211</v>
      </c>
    </row>
    <row r="3215" spans="1:1">
      <c r="A3215" s="11">
        <v>3212</v>
      </c>
    </row>
    <row r="3216" spans="1:1">
      <c r="A3216" s="11">
        <v>3213</v>
      </c>
    </row>
    <row r="3217" spans="1:1">
      <c r="A3217" s="11">
        <v>3214</v>
      </c>
    </row>
    <row r="3218" spans="1:1">
      <c r="A3218" s="11">
        <v>3215</v>
      </c>
    </row>
    <row r="3219" spans="1:1">
      <c r="A3219" s="11">
        <v>3216</v>
      </c>
    </row>
    <row r="3220" spans="1:1">
      <c r="A3220" s="11">
        <v>3217</v>
      </c>
    </row>
    <row r="3221" spans="1:1">
      <c r="A3221" s="11">
        <v>3218</v>
      </c>
    </row>
    <row r="3222" spans="1:1">
      <c r="A3222" s="11">
        <v>3219</v>
      </c>
    </row>
    <row r="3223" spans="1:1">
      <c r="A3223" s="11">
        <v>3220</v>
      </c>
    </row>
    <row r="3224" spans="1:1">
      <c r="A3224" s="11">
        <v>3221</v>
      </c>
    </row>
    <row r="3225" spans="1:1">
      <c r="A3225" s="11">
        <v>3222</v>
      </c>
    </row>
    <row r="3226" spans="1:1">
      <c r="A3226" s="11">
        <v>3223</v>
      </c>
    </row>
    <row r="3227" spans="1:1">
      <c r="A3227" s="11">
        <v>3224</v>
      </c>
    </row>
    <row r="3228" spans="1:1">
      <c r="A3228" s="11">
        <v>3225</v>
      </c>
    </row>
    <row r="3229" spans="1:1">
      <c r="A3229" s="11">
        <v>3226</v>
      </c>
    </row>
    <row r="3230" spans="1:1">
      <c r="A3230" s="11">
        <v>3227</v>
      </c>
    </row>
    <row r="3231" spans="1:1">
      <c r="A3231" s="11">
        <v>3228</v>
      </c>
    </row>
    <row r="3232" spans="1:1">
      <c r="A3232" s="11">
        <v>3229</v>
      </c>
    </row>
    <row r="3233" spans="1:1">
      <c r="A3233" s="11">
        <v>3230</v>
      </c>
    </row>
    <row r="3234" spans="1:1">
      <c r="A3234" s="11">
        <v>3231</v>
      </c>
    </row>
    <row r="3235" spans="1:1">
      <c r="A3235" s="11">
        <v>3232</v>
      </c>
    </row>
    <row r="3236" spans="1:1">
      <c r="A3236" s="11">
        <v>3233</v>
      </c>
    </row>
    <row r="3237" spans="1:1">
      <c r="A3237" s="11">
        <v>3234</v>
      </c>
    </row>
    <row r="3238" spans="1:1">
      <c r="A3238" s="11">
        <v>3235</v>
      </c>
    </row>
    <row r="3239" spans="1:1">
      <c r="A3239" s="11">
        <v>3236</v>
      </c>
    </row>
    <row r="3240" spans="1:1">
      <c r="A3240" s="11">
        <v>3237</v>
      </c>
    </row>
    <row r="3241" spans="1:1">
      <c r="A3241" s="11">
        <v>3238</v>
      </c>
    </row>
    <row r="3242" spans="1:1">
      <c r="A3242" s="11">
        <v>3239</v>
      </c>
    </row>
    <row r="3243" spans="1:1">
      <c r="A3243" s="11">
        <v>3240</v>
      </c>
    </row>
    <row r="3244" spans="1:1">
      <c r="A3244" s="11">
        <v>3241</v>
      </c>
    </row>
    <row r="3245" spans="1:1">
      <c r="A3245" s="11">
        <v>3242</v>
      </c>
    </row>
    <row r="3246" spans="1:1">
      <c r="A3246" s="11">
        <v>3243</v>
      </c>
    </row>
    <row r="3247" spans="1:1">
      <c r="A3247" s="11">
        <v>3244</v>
      </c>
    </row>
    <row r="3248" spans="1:1">
      <c r="A3248" s="11">
        <v>3245</v>
      </c>
    </row>
    <row r="3249" spans="1:1">
      <c r="A3249" s="11">
        <v>3246</v>
      </c>
    </row>
    <row r="3250" spans="1:1">
      <c r="A3250" s="11">
        <v>3247</v>
      </c>
    </row>
    <row r="3251" spans="1:1">
      <c r="A3251" s="11">
        <v>3248</v>
      </c>
    </row>
    <row r="3252" spans="1:1">
      <c r="A3252" s="11">
        <v>3249</v>
      </c>
    </row>
    <row r="3253" spans="1:1">
      <c r="A3253" s="11">
        <v>3250</v>
      </c>
    </row>
    <row r="3254" spans="1:1">
      <c r="A3254" s="11">
        <v>3251</v>
      </c>
    </row>
    <row r="3255" spans="1:1">
      <c r="A3255" s="11">
        <v>3252</v>
      </c>
    </row>
    <row r="3256" spans="1:1">
      <c r="A3256" s="11">
        <v>3253</v>
      </c>
    </row>
    <row r="3257" spans="1:1">
      <c r="A3257" s="11">
        <v>3254</v>
      </c>
    </row>
    <row r="3258" spans="1:1">
      <c r="A3258" s="11">
        <v>3255</v>
      </c>
    </row>
    <row r="3259" spans="1:1">
      <c r="A3259" s="11">
        <v>3256</v>
      </c>
    </row>
    <row r="3260" spans="1:1">
      <c r="A3260" s="11">
        <v>3257</v>
      </c>
    </row>
    <row r="3261" spans="1:1">
      <c r="A3261" s="11">
        <v>3258</v>
      </c>
    </row>
    <row r="3262" spans="1:1">
      <c r="A3262" s="11">
        <v>3259</v>
      </c>
    </row>
    <row r="3263" spans="1:1">
      <c r="A3263" s="11">
        <v>3260</v>
      </c>
    </row>
    <row r="3264" spans="1:1">
      <c r="A3264" s="11">
        <v>3261</v>
      </c>
    </row>
    <row r="3265" spans="1:1">
      <c r="A3265" s="11">
        <v>3262</v>
      </c>
    </row>
    <row r="3266" spans="1:1">
      <c r="A3266" s="11">
        <v>3263</v>
      </c>
    </row>
    <row r="3267" spans="1:1">
      <c r="A3267" s="11">
        <v>3264</v>
      </c>
    </row>
    <row r="3268" spans="1:1">
      <c r="A3268" s="11">
        <v>3265</v>
      </c>
    </row>
    <row r="3269" spans="1:1">
      <c r="A3269" s="11">
        <v>3266</v>
      </c>
    </row>
    <row r="3270" spans="1:1">
      <c r="A3270" s="11">
        <v>3267</v>
      </c>
    </row>
    <row r="3271" spans="1:1">
      <c r="A3271" s="11">
        <v>3268</v>
      </c>
    </row>
    <row r="3272" spans="1:1">
      <c r="A3272" s="11">
        <v>3269</v>
      </c>
    </row>
    <row r="3273" spans="1:1">
      <c r="A3273" s="11">
        <v>3270</v>
      </c>
    </row>
    <row r="3274" spans="1:1">
      <c r="A3274" s="11">
        <v>3271</v>
      </c>
    </row>
    <row r="3275" spans="1:1">
      <c r="A3275" s="11">
        <v>3272</v>
      </c>
    </row>
    <row r="3276" spans="1:1">
      <c r="A3276" s="11">
        <v>3273</v>
      </c>
    </row>
    <row r="3277" spans="1:1">
      <c r="A3277" s="11">
        <v>3274</v>
      </c>
    </row>
    <row r="3278" spans="1:1">
      <c r="A3278" s="11">
        <v>3275</v>
      </c>
    </row>
    <row r="3279" spans="1:1">
      <c r="A3279" s="11">
        <v>3276</v>
      </c>
    </row>
    <row r="3280" spans="1:1">
      <c r="A3280" s="11">
        <v>3277</v>
      </c>
    </row>
    <row r="3281" spans="1:1">
      <c r="A3281" s="11">
        <v>3278</v>
      </c>
    </row>
    <row r="3282" spans="1:1">
      <c r="A3282" s="11">
        <v>3279</v>
      </c>
    </row>
    <row r="3283" spans="1:1">
      <c r="A3283" s="11">
        <v>3280</v>
      </c>
    </row>
    <row r="3284" spans="1:1">
      <c r="A3284" s="11">
        <v>3281</v>
      </c>
    </row>
    <row r="3285" spans="1:1">
      <c r="A3285" s="11">
        <v>3282</v>
      </c>
    </row>
    <row r="3286" spans="1:1">
      <c r="A3286" s="11">
        <v>3283</v>
      </c>
    </row>
    <row r="3287" spans="1:1">
      <c r="A3287" s="11">
        <v>3284</v>
      </c>
    </row>
    <row r="3288" spans="1:1">
      <c r="A3288" s="11">
        <v>3285</v>
      </c>
    </row>
    <row r="3289" spans="1:1">
      <c r="A3289" s="11">
        <v>3286</v>
      </c>
    </row>
    <row r="3290" spans="1:1">
      <c r="A3290" s="11">
        <v>3287</v>
      </c>
    </row>
    <row r="3291" spans="1:1">
      <c r="A3291" s="11">
        <v>3288</v>
      </c>
    </row>
    <row r="3292" spans="1:1">
      <c r="A3292" s="11">
        <v>3289</v>
      </c>
    </row>
    <row r="3293" spans="1:1">
      <c r="A3293" s="11">
        <v>3290</v>
      </c>
    </row>
    <row r="3294" spans="1:1">
      <c r="A3294" s="11">
        <v>3291</v>
      </c>
    </row>
    <row r="3295" spans="1:1">
      <c r="A3295" s="11">
        <v>3292</v>
      </c>
    </row>
    <row r="3296" spans="1:1">
      <c r="A3296" s="11">
        <v>3293</v>
      </c>
    </row>
    <row r="3297" spans="1:1">
      <c r="A3297" s="11">
        <v>3294</v>
      </c>
    </row>
    <row r="3298" spans="1:1">
      <c r="A3298" s="11">
        <v>3295</v>
      </c>
    </row>
    <row r="3299" spans="1:1">
      <c r="A3299" s="11">
        <v>3296</v>
      </c>
    </row>
    <row r="3300" spans="1:1">
      <c r="A3300" s="11">
        <v>3297</v>
      </c>
    </row>
    <row r="3301" spans="1:1">
      <c r="A3301" s="11">
        <v>3298</v>
      </c>
    </row>
    <row r="3302" spans="1:1">
      <c r="A3302" s="11">
        <v>3299</v>
      </c>
    </row>
    <row r="3303" spans="1:1">
      <c r="A3303" s="11">
        <v>3300</v>
      </c>
    </row>
    <row r="3304" spans="1:1">
      <c r="A3304" s="11">
        <v>3301</v>
      </c>
    </row>
    <row r="3305" spans="1:1">
      <c r="A3305" s="11">
        <v>3302</v>
      </c>
    </row>
    <row r="3306" spans="1:1">
      <c r="A3306" s="11">
        <v>3303</v>
      </c>
    </row>
    <row r="3307" spans="1:1">
      <c r="A3307" s="11">
        <v>3304</v>
      </c>
    </row>
    <row r="3308" spans="1:1">
      <c r="A3308" s="11">
        <v>3305</v>
      </c>
    </row>
    <row r="3309" spans="1:1">
      <c r="A3309" s="11">
        <v>3306</v>
      </c>
    </row>
    <row r="3310" spans="1:1">
      <c r="A3310" s="11">
        <v>3307</v>
      </c>
    </row>
    <row r="3311" spans="1:1">
      <c r="A3311" s="11">
        <v>3308</v>
      </c>
    </row>
    <row r="3312" spans="1:1">
      <c r="A3312" s="11">
        <v>3309</v>
      </c>
    </row>
    <row r="3313" spans="1:1">
      <c r="A3313" s="11">
        <v>3310</v>
      </c>
    </row>
    <row r="3314" spans="1:1">
      <c r="A3314" s="11">
        <v>3311</v>
      </c>
    </row>
    <row r="3315" spans="1:1">
      <c r="A3315" s="11">
        <v>3312</v>
      </c>
    </row>
    <row r="3316" spans="1:1">
      <c r="A3316" s="11">
        <v>3313</v>
      </c>
    </row>
    <row r="3317" spans="1:1">
      <c r="A3317" s="11">
        <v>3314</v>
      </c>
    </row>
    <row r="3318" spans="1:1">
      <c r="A3318" s="11">
        <v>3315</v>
      </c>
    </row>
    <row r="3319" spans="1:1">
      <c r="A3319" s="11">
        <v>3316</v>
      </c>
    </row>
    <row r="3320" spans="1:1">
      <c r="A3320" s="11">
        <v>3317</v>
      </c>
    </row>
    <row r="3321" spans="1:1">
      <c r="A3321" s="11">
        <v>3318</v>
      </c>
    </row>
    <row r="3322" spans="1:1">
      <c r="A3322" s="11">
        <v>3319</v>
      </c>
    </row>
    <row r="3323" spans="1:1">
      <c r="A3323" s="11">
        <v>3320</v>
      </c>
    </row>
    <row r="3324" spans="1:1">
      <c r="A3324" s="11">
        <v>3321</v>
      </c>
    </row>
    <row r="3325" spans="1:1">
      <c r="A3325" s="11">
        <v>3322</v>
      </c>
    </row>
    <row r="3326" spans="1:1">
      <c r="A3326" s="11">
        <v>3323</v>
      </c>
    </row>
    <row r="3327" spans="1:1">
      <c r="A3327" s="11">
        <v>3324</v>
      </c>
    </row>
    <row r="3328" spans="1:1">
      <c r="A3328" s="11">
        <v>3325</v>
      </c>
    </row>
    <row r="3329" spans="1:1">
      <c r="A3329" s="11">
        <v>3326</v>
      </c>
    </row>
    <row r="3330" spans="1:1">
      <c r="A3330" s="11">
        <v>3327</v>
      </c>
    </row>
    <row r="3331" spans="1:1">
      <c r="A3331" s="11">
        <v>3328</v>
      </c>
    </row>
    <row r="3332" spans="1:1">
      <c r="A3332" s="11">
        <v>3329</v>
      </c>
    </row>
    <row r="3333" spans="1:1">
      <c r="A3333" s="11">
        <v>3330</v>
      </c>
    </row>
    <row r="3334" spans="1:1">
      <c r="A3334" s="11">
        <v>3331</v>
      </c>
    </row>
    <row r="3335" spans="1:1">
      <c r="A3335" s="11">
        <v>3332</v>
      </c>
    </row>
    <row r="3336" spans="1:1">
      <c r="A3336" s="11">
        <v>3333</v>
      </c>
    </row>
    <row r="3337" spans="1:1">
      <c r="A3337" s="11">
        <v>3334</v>
      </c>
    </row>
    <row r="3338" spans="1:1">
      <c r="A3338" s="11">
        <v>3335</v>
      </c>
    </row>
    <row r="3339" spans="1:1">
      <c r="A3339" s="11">
        <v>3336</v>
      </c>
    </row>
    <row r="3340" spans="1:1">
      <c r="A3340" s="11">
        <v>3337</v>
      </c>
    </row>
    <row r="3341" spans="1:1">
      <c r="A3341" s="11">
        <v>3338</v>
      </c>
    </row>
    <row r="3342" spans="1:1">
      <c r="A3342" s="11">
        <v>3339</v>
      </c>
    </row>
    <row r="3343" spans="1:1">
      <c r="A3343" s="11">
        <v>3340</v>
      </c>
    </row>
    <row r="3344" spans="1:1">
      <c r="A3344" s="11">
        <v>3341</v>
      </c>
    </row>
    <row r="3345" spans="1:1">
      <c r="A3345" s="11">
        <v>3342</v>
      </c>
    </row>
    <row r="3346" spans="1:1">
      <c r="A3346" s="11">
        <v>3343</v>
      </c>
    </row>
    <row r="3347" spans="1:1">
      <c r="A3347" s="11">
        <v>3344</v>
      </c>
    </row>
    <row r="3348" spans="1:1">
      <c r="A3348" s="11">
        <v>3345</v>
      </c>
    </row>
    <row r="3349" spans="1:1">
      <c r="A3349" s="11">
        <v>3346</v>
      </c>
    </row>
    <row r="3350" spans="1:1">
      <c r="A3350" s="11">
        <v>3347</v>
      </c>
    </row>
    <row r="3351" spans="1:1">
      <c r="A3351" s="11">
        <v>3348</v>
      </c>
    </row>
    <row r="3352" spans="1:1">
      <c r="A3352" s="11">
        <v>3349</v>
      </c>
    </row>
    <row r="3353" spans="1:1">
      <c r="A3353" s="11">
        <v>3350</v>
      </c>
    </row>
    <row r="3354" spans="1:1">
      <c r="A3354" s="11">
        <v>3351</v>
      </c>
    </row>
    <row r="3355" spans="1:1">
      <c r="A3355" s="11">
        <v>3352</v>
      </c>
    </row>
    <row r="3356" spans="1:1">
      <c r="A3356" s="11">
        <v>3353</v>
      </c>
    </row>
    <row r="3357" spans="1:1">
      <c r="A3357" s="11">
        <v>3354</v>
      </c>
    </row>
    <row r="3358" spans="1:1">
      <c r="A3358" s="11">
        <v>3355</v>
      </c>
    </row>
    <row r="3359" spans="1:1">
      <c r="A3359" s="11">
        <v>3356</v>
      </c>
    </row>
    <row r="3360" spans="1:1">
      <c r="A3360" s="11">
        <v>3357</v>
      </c>
    </row>
    <row r="3361" spans="1:1">
      <c r="A3361" s="11">
        <v>3358</v>
      </c>
    </row>
    <row r="3362" spans="1:1">
      <c r="A3362" s="11">
        <v>3359</v>
      </c>
    </row>
    <row r="3363" spans="1:1">
      <c r="A3363" s="11">
        <v>3360</v>
      </c>
    </row>
    <row r="3364" spans="1:1">
      <c r="A3364" s="11">
        <v>3361</v>
      </c>
    </row>
    <row r="3365" spans="1:1">
      <c r="A3365" s="11">
        <v>3362</v>
      </c>
    </row>
    <row r="3366" spans="1:1">
      <c r="A3366" s="11">
        <v>3363</v>
      </c>
    </row>
    <row r="3367" spans="1:1">
      <c r="A3367" s="11">
        <v>3364</v>
      </c>
    </row>
    <row r="3368" spans="1:1">
      <c r="A3368" s="11">
        <v>3365</v>
      </c>
    </row>
    <row r="3369" spans="1:1">
      <c r="A3369" s="11">
        <v>3366</v>
      </c>
    </row>
    <row r="3370" spans="1:1">
      <c r="A3370" s="11">
        <v>3367</v>
      </c>
    </row>
    <row r="3371" spans="1:1">
      <c r="A3371" s="11">
        <v>3368</v>
      </c>
    </row>
    <row r="3372" spans="1:1">
      <c r="A3372" s="11">
        <v>3369</v>
      </c>
    </row>
    <row r="3373" spans="1:1">
      <c r="A3373" s="11">
        <v>3370</v>
      </c>
    </row>
    <row r="3374" spans="1:1">
      <c r="A3374" s="11">
        <v>3371</v>
      </c>
    </row>
    <row r="3375" spans="1:1">
      <c r="A3375" s="11">
        <v>3372</v>
      </c>
    </row>
    <row r="3376" spans="1:1">
      <c r="A3376" s="11">
        <v>3373</v>
      </c>
    </row>
    <row r="3377" spans="1:1">
      <c r="A3377" s="11">
        <v>3374</v>
      </c>
    </row>
    <row r="3378" spans="1:1">
      <c r="A3378" s="11">
        <v>3375</v>
      </c>
    </row>
    <row r="3379" spans="1:1">
      <c r="A3379" s="11">
        <v>3376</v>
      </c>
    </row>
    <row r="3380" spans="1:1">
      <c r="A3380" s="11">
        <v>3377</v>
      </c>
    </row>
    <row r="3381" spans="1:1">
      <c r="A3381" s="11">
        <v>3378</v>
      </c>
    </row>
    <row r="3382" spans="1:1">
      <c r="A3382" s="11">
        <v>3379</v>
      </c>
    </row>
    <row r="3383" spans="1:1">
      <c r="A3383" s="11">
        <v>3380</v>
      </c>
    </row>
    <row r="3384" spans="1:1">
      <c r="A3384" s="11">
        <v>3381</v>
      </c>
    </row>
    <row r="3385" spans="1:1">
      <c r="A3385" s="11">
        <v>3382</v>
      </c>
    </row>
    <row r="3386" spans="1:1">
      <c r="A3386" s="11">
        <v>3383</v>
      </c>
    </row>
    <row r="3387" spans="1:1">
      <c r="A3387" s="11">
        <v>3384</v>
      </c>
    </row>
    <row r="3388" spans="1:1">
      <c r="A3388" s="11">
        <v>3385</v>
      </c>
    </row>
    <row r="3389" spans="1:1">
      <c r="A3389" s="11">
        <v>3386</v>
      </c>
    </row>
    <row r="3390" spans="1:1">
      <c r="A3390" s="11">
        <v>3387</v>
      </c>
    </row>
    <row r="3391" spans="1:1">
      <c r="A3391" s="11">
        <v>3388</v>
      </c>
    </row>
    <row r="3392" spans="1:1">
      <c r="A3392" s="11">
        <v>3389</v>
      </c>
    </row>
    <row r="3393" spans="1:1">
      <c r="A3393" s="11">
        <v>3390</v>
      </c>
    </row>
    <row r="3394" spans="1:1">
      <c r="A3394" s="11">
        <v>3391</v>
      </c>
    </row>
    <row r="3395" spans="1:1">
      <c r="A3395" s="11">
        <v>3392</v>
      </c>
    </row>
    <row r="3396" spans="1:1">
      <c r="A3396" s="11">
        <v>3393</v>
      </c>
    </row>
    <row r="3397" spans="1:1">
      <c r="A3397" s="11">
        <v>3394</v>
      </c>
    </row>
    <row r="3398" spans="1:1">
      <c r="A3398" s="11">
        <v>3395</v>
      </c>
    </row>
    <row r="3399" spans="1:1">
      <c r="A3399" s="11">
        <v>3396</v>
      </c>
    </row>
    <row r="3400" spans="1:1">
      <c r="A3400" s="11">
        <v>3397</v>
      </c>
    </row>
    <row r="3401" spans="1:1">
      <c r="A3401" s="11">
        <v>3398</v>
      </c>
    </row>
    <row r="3402" spans="1:1">
      <c r="A3402" s="11">
        <v>3399</v>
      </c>
    </row>
    <row r="3403" spans="1:1">
      <c r="A3403" s="11">
        <v>3400</v>
      </c>
    </row>
    <row r="3404" spans="1:1">
      <c r="A3404" s="11">
        <v>3401</v>
      </c>
    </row>
    <row r="3405" spans="1:1">
      <c r="A3405" s="11">
        <v>3402</v>
      </c>
    </row>
    <row r="3406" spans="1:1">
      <c r="A3406" s="11">
        <v>3403</v>
      </c>
    </row>
    <row r="3407" spans="1:1">
      <c r="A3407" s="11">
        <v>3404</v>
      </c>
    </row>
    <row r="3408" spans="1:1">
      <c r="A3408" s="11">
        <v>3405</v>
      </c>
    </row>
    <row r="3409" spans="1:1">
      <c r="A3409" s="11">
        <v>3406</v>
      </c>
    </row>
    <row r="3410" spans="1:1">
      <c r="A3410" s="11">
        <v>3407</v>
      </c>
    </row>
    <row r="3411" spans="1:1">
      <c r="A3411" s="11">
        <v>3408</v>
      </c>
    </row>
    <row r="3412" spans="1:1">
      <c r="A3412" s="11">
        <v>3409</v>
      </c>
    </row>
    <row r="3413" spans="1:1">
      <c r="A3413" s="11">
        <v>3410</v>
      </c>
    </row>
    <row r="3414" spans="1:1">
      <c r="A3414" s="11">
        <v>3411</v>
      </c>
    </row>
    <row r="3415" spans="1:1">
      <c r="A3415" s="11">
        <v>3412</v>
      </c>
    </row>
    <row r="3416" spans="1:1">
      <c r="A3416" s="11">
        <v>3413</v>
      </c>
    </row>
    <row r="3417" spans="1:1">
      <c r="A3417" s="11">
        <v>3414</v>
      </c>
    </row>
    <row r="3418" spans="1:1">
      <c r="A3418" s="11">
        <v>3415</v>
      </c>
    </row>
    <row r="3419" spans="1:1">
      <c r="A3419" s="11">
        <v>3416</v>
      </c>
    </row>
    <row r="3420" spans="1:1">
      <c r="A3420" s="11">
        <v>3417</v>
      </c>
    </row>
    <row r="3421" spans="1:1">
      <c r="A3421" s="11">
        <v>3418</v>
      </c>
    </row>
    <row r="3422" spans="1:1">
      <c r="A3422" s="11">
        <v>3419</v>
      </c>
    </row>
    <row r="3423" spans="1:1">
      <c r="A3423" s="11">
        <v>3420</v>
      </c>
    </row>
    <row r="3424" spans="1:1">
      <c r="A3424" s="11">
        <v>3421</v>
      </c>
    </row>
    <row r="3425" spans="1:1">
      <c r="A3425" s="11">
        <v>3422</v>
      </c>
    </row>
    <row r="3426" spans="1:1">
      <c r="A3426" s="11">
        <v>3423</v>
      </c>
    </row>
    <row r="3427" spans="1:1">
      <c r="A3427" s="11">
        <v>3424</v>
      </c>
    </row>
    <row r="3428" spans="1:1">
      <c r="A3428" s="11">
        <v>3425</v>
      </c>
    </row>
    <row r="3429" spans="1:1">
      <c r="A3429" s="11">
        <v>3426</v>
      </c>
    </row>
    <row r="3430" spans="1:1">
      <c r="A3430" s="11">
        <v>3427</v>
      </c>
    </row>
    <row r="3431" spans="1:1">
      <c r="A3431" s="11">
        <v>3428</v>
      </c>
    </row>
    <row r="3432" spans="1:1">
      <c r="A3432" s="11">
        <v>3429</v>
      </c>
    </row>
    <row r="3433" spans="1:1">
      <c r="A3433" s="11">
        <v>3430</v>
      </c>
    </row>
    <row r="3434" spans="1:1">
      <c r="A3434" s="11">
        <v>3431</v>
      </c>
    </row>
    <row r="3435" spans="1:1">
      <c r="A3435" s="11">
        <v>3432</v>
      </c>
    </row>
    <row r="3436" spans="1:1">
      <c r="A3436" s="11">
        <v>3433</v>
      </c>
    </row>
    <row r="3437" spans="1:1">
      <c r="A3437" s="11">
        <v>3434</v>
      </c>
    </row>
    <row r="3438" spans="1:1">
      <c r="A3438" s="11">
        <v>3435</v>
      </c>
    </row>
    <row r="3439" spans="1:1">
      <c r="A3439" s="11">
        <v>3436</v>
      </c>
    </row>
    <row r="3440" spans="1:1">
      <c r="A3440" s="11">
        <v>3437</v>
      </c>
    </row>
    <row r="3441" spans="1:1">
      <c r="A3441" s="11">
        <v>3438</v>
      </c>
    </row>
    <row r="3442" spans="1:1">
      <c r="A3442" s="11">
        <v>3439</v>
      </c>
    </row>
    <row r="3443" spans="1:1">
      <c r="A3443" s="11">
        <v>3440</v>
      </c>
    </row>
    <row r="3444" spans="1:1">
      <c r="A3444" s="11">
        <v>3441</v>
      </c>
    </row>
    <row r="3445" spans="1:1">
      <c r="A3445" s="11">
        <v>3442</v>
      </c>
    </row>
    <row r="3446" spans="1:1">
      <c r="A3446" s="11">
        <v>3443</v>
      </c>
    </row>
    <row r="3447" spans="1:1">
      <c r="A3447" s="11">
        <v>3444</v>
      </c>
    </row>
    <row r="3448" spans="1:1">
      <c r="A3448" s="11">
        <v>3445</v>
      </c>
    </row>
    <row r="3449" spans="1:1">
      <c r="A3449" s="11">
        <v>3446</v>
      </c>
    </row>
    <row r="3450" spans="1:1">
      <c r="A3450" s="11">
        <v>3447</v>
      </c>
    </row>
    <row r="3451" spans="1:1">
      <c r="A3451" s="11">
        <v>3448</v>
      </c>
    </row>
    <row r="3452" spans="1:1">
      <c r="A3452" s="11">
        <v>3449</v>
      </c>
    </row>
    <row r="3453" spans="1:1">
      <c r="A3453" s="11">
        <v>3450</v>
      </c>
    </row>
    <row r="3454" spans="1:1">
      <c r="A3454" s="11">
        <v>3451</v>
      </c>
    </row>
    <row r="3455" spans="1:1">
      <c r="A3455" s="11">
        <v>3452</v>
      </c>
    </row>
    <row r="3456" spans="1:1">
      <c r="A3456" s="11">
        <v>3453</v>
      </c>
    </row>
    <row r="3457" spans="1:1">
      <c r="A3457" s="11">
        <v>3454</v>
      </c>
    </row>
    <row r="3458" spans="1:1">
      <c r="A3458" s="11">
        <v>3455</v>
      </c>
    </row>
    <row r="3459" spans="1:1">
      <c r="A3459" s="11">
        <v>3456</v>
      </c>
    </row>
    <row r="3460" spans="1:1">
      <c r="A3460" s="11">
        <v>3457</v>
      </c>
    </row>
    <row r="3461" spans="1:1">
      <c r="A3461" s="11">
        <v>3458</v>
      </c>
    </row>
    <row r="3462" spans="1:1">
      <c r="A3462" s="11">
        <v>3459</v>
      </c>
    </row>
    <row r="3463" spans="1:1">
      <c r="A3463" s="11">
        <v>3460</v>
      </c>
    </row>
    <row r="3464" spans="1:1">
      <c r="A3464" s="11">
        <v>3461</v>
      </c>
    </row>
    <row r="3465" spans="1:1">
      <c r="A3465" s="11">
        <v>3462</v>
      </c>
    </row>
    <row r="3466" spans="1:1">
      <c r="A3466" s="11">
        <v>3463</v>
      </c>
    </row>
    <row r="3467" spans="1:1">
      <c r="A3467" s="11">
        <v>3464</v>
      </c>
    </row>
    <row r="3468" spans="1:1">
      <c r="A3468" s="11">
        <v>3465</v>
      </c>
    </row>
    <row r="3469" spans="1:1">
      <c r="A3469" s="11">
        <v>3466</v>
      </c>
    </row>
    <row r="3470" spans="1:1">
      <c r="A3470" s="11">
        <v>3467</v>
      </c>
    </row>
    <row r="3471" spans="1:1">
      <c r="A3471" s="11">
        <v>3468</v>
      </c>
    </row>
    <row r="3472" spans="1:1">
      <c r="A3472" s="11">
        <v>3469</v>
      </c>
    </row>
    <row r="3473" spans="1:1">
      <c r="A3473" s="11">
        <v>3470</v>
      </c>
    </row>
    <row r="3474" spans="1:1">
      <c r="A3474" s="11">
        <v>3471</v>
      </c>
    </row>
    <row r="3475" spans="1:1">
      <c r="A3475" s="11">
        <v>3472</v>
      </c>
    </row>
    <row r="3476" spans="1:1">
      <c r="A3476" s="11">
        <v>3473</v>
      </c>
    </row>
    <row r="3477" spans="1:1">
      <c r="A3477" s="11">
        <v>3474</v>
      </c>
    </row>
    <row r="3478" spans="1:1">
      <c r="A3478" s="11">
        <v>3475</v>
      </c>
    </row>
    <row r="3479" spans="1:1">
      <c r="A3479" s="11">
        <v>3476</v>
      </c>
    </row>
    <row r="3480" spans="1:1">
      <c r="A3480" s="11">
        <v>3477</v>
      </c>
    </row>
    <row r="3481" spans="1:1">
      <c r="A3481" s="11">
        <v>3478</v>
      </c>
    </row>
    <row r="3482" spans="1:1">
      <c r="A3482" s="11">
        <v>3479</v>
      </c>
    </row>
    <row r="3483" spans="1:1">
      <c r="A3483" s="11">
        <v>3480</v>
      </c>
    </row>
    <row r="3484" spans="1:1">
      <c r="A3484" s="11">
        <v>3481</v>
      </c>
    </row>
    <row r="3485" spans="1:1">
      <c r="A3485" s="11">
        <v>3482</v>
      </c>
    </row>
    <row r="3486" spans="1:1">
      <c r="A3486" s="11">
        <v>3483</v>
      </c>
    </row>
    <row r="3487" spans="1:1">
      <c r="A3487" s="11">
        <v>3484</v>
      </c>
    </row>
    <row r="3488" spans="1:1">
      <c r="A3488" s="11">
        <v>3485</v>
      </c>
    </row>
    <row r="3489" spans="1:1">
      <c r="A3489" s="11">
        <v>3486</v>
      </c>
    </row>
    <row r="3490" spans="1:1">
      <c r="A3490" s="11">
        <v>3487</v>
      </c>
    </row>
    <row r="3491" spans="1:1">
      <c r="A3491" s="11">
        <v>3488</v>
      </c>
    </row>
    <row r="3492" spans="1:1">
      <c r="A3492" s="11">
        <v>3489</v>
      </c>
    </row>
    <row r="3493" spans="1:1">
      <c r="A3493" s="11">
        <v>3490</v>
      </c>
    </row>
    <row r="3494" spans="1:1">
      <c r="A3494" s="11">
        <v>3491</v>
      </c>
    </row>
    <row r="3495" spans="1:1">
      <c r="A3495" s="11">
        <v>3492</v>
      </c>
    </row>
    <row r="3496" spans="1:1">
      <c r="A3496" s="11">
        <v>3493</v>
      </c>
    </row>
    <row r="3497" spans="1:1">
      <c r="A3497" s="11">
        <v>3494</v>
      </c>
    </row>
    <row r="3498" spans="1:1">
      <c r="A3498" s="11">
        <v>3495</v>
      </c>
    </row>
    <row r="3499" spans="1:1">
      <c r="A3499" s="11">
        <v>3496</v>
      </c>
    </row>
    <row r="3500" spans="1:1">
      <c r="A3500" s="11">
        <v>3497</v>
      </c>
    </row>
    <row r="3501" spans="1:1">
      <c r="A3501" s="11">
        <v>3498</v>
      </c>
    </row>
    <row r="3502" spans="1:1">
      <c r="A3502" s="11">
        <v>3499</v>
      </c>
    </row>
    <row r="3503" spans="1:1">
      <c r="A3503" s="11">
        <v>3500</v>
      </c>
    </row>
    <row r="3504" spans="1:1">
      <c r="A3504" s="11">
        <v>3501</v>
      </c>
    </row>
    <row r="3505" spans="1:1">
      <c r="A3505" s="11">
        <v>3502</v>
      </c>
    </row>
    <row r="3506" spans="1:1">
      <c r="A3506" s="11">
        <v>3503</v>
      </c>
    </row>
    <row r="3507" spans="1:1">
      <c r="A3507" s="11">
        <v>3504</v>
      </c>
    </row>
    <row r="3508" spans="1:1">
      <c r="A3508" s="11">
        <v>3505</v>
      </c>
    </row>
    <row r="3509" spans="1:1">
      <c r="A3509" s="11">
        <v>3506</v>
      </c>
    </row>
    <row r="3510" spans="1:1">
      <c r="A3510" s="11">
        <v>3507</v>
      </c>
    </row>
    <row r="3511" spans="1:1">
      <c r="A3511" s="11">
        <v>3508</v>
      </c>
    </row>
    <row r="3512" spans="1:1">
      <c r="A3512" s="11">
        <v>3509</v>
      </c>
    </row>
    <row r="3513" spans="1:1">
      <c r="A3513" s="11">
        <v>3510</v>
      </c>
    </row>
    <row r="3514" spans="1:1">
      <c r="A3514" s="11">
        <v>3511</v>
      </c>
    </row>
    <row r="3515" spans="1:1">
      <c r="A3515" s="11">
        <v>3512</v>
      </c>
    </row>
    <row r="3516" spans="1:1">
      <c r="A3516" s="11">
        <v>3513</v>
      </c>
    </row>
    <row r="3517" spans="1:1">
      <c r="A3517" s="11">
        <v>3514</v>
      </c>
    </row>
    <row r="3518" spans="1:1">
      <c r="A3518" s="11">
        <v>3515</v>
      </c>
    </row>
    <row r="3519" spans="1:1">
      <c r="A3519" s="11">
        <v>3516</v>
      </c>
    </row>
    <row r="3520" spans="1:1">
      <c r="A3520" s="11">
        <v>3517</v>
      </c>
    </row>
    <row r="3521" spans="1:1">
      <c r="A3521" s="11">
        <v>3518</v>
      </c>
    </row>
    <row r="3522" spans="1:1">
      <c r="A3522" s="11">
        <v>3519</v>
      </c>
    </row>
    <row r="3523" spans="1:1">
      <c r="A3523" s="11">
        <v>3520</v>
      </c>
    </row>
    <row r="3524" spans="1:1">
      <c r="A3524" s="11">
        <v>3521</v>
      </c>
    </row>
    <row r="3525" spans="1:1">
      <c r="A3525" s="11">
        <v>3522</v>
      </c>
    </row>
    <row r="3526" spans="1:1">
      <c r="A3526" s="11">
        <v>3523</v>
      </c>
    </row>
    <row r="3527" spans="1:1">
      <c r="A3527" s="11">
        <v>3524</v>
      </c>
    </row>
    <row r="3528" spans="1:1">
      <c r="A3528" s="11">
        <v>3525</v>
      </c>
    </row>
    <row r="3529" spans="1:1">
      <c r="A3529" s="11">
        <v>3526</v>
      </c>
    </row>
    <row r="3530" spans="1:1">
      <c r="A3530" s="11">
        <v>3527</v>
      </c>
    </row>
    <row r="3531" spans="1:1">
      <c r="A3531" s="11">
        <v>3528</v>
      </c>
    </row>
    <row r="3532" spans="1:1">
      <c r="A3532" s="11">
        <v>3529</v>
      </c>
    </row>
    <row r="3533" spans="1:1">
      <c r="A3533" s="11">
        <v>3530</v>
      </c>
    </row>
    <row r="3534" spans="1:1">
      <c r="A3534" s="11">
        <v>3531</v>
      </c>
    </row>
    <row r="3535" spans="1:1">
      <c r="A3535" s="11">
        <v>3532</v>
      </c>
    </row>
    <row r="3536" spans="1:1">
      <c r="A3536" s="11">
        <v>3533</v>
      </c>
    </row>
    <row r="3537" spans="1:1">
      <c r="A3537" s="11">
        <v>3534</v>
      </c>
    </row>
    <row r="3538" spans="1:1">
      <c r="A3538" s="11">
        <v>3535</v>
      </c>
    </row>
    <row r="3539" spans="1:1">
      <c r="A3539" s="11">
        <v>3536</v>
      </c>
    </row>
    <row r="3540" spans="1:1">
      <c r="A3540" s="11">
        <v>3537</v>
      </c>
    </row>
    <row r="3541" spans="1:1">
      <c r="A3541" s="11">
        <v>3538</v>
      </c>
    </row>
    <row r="3542" spans="1:1">
      <c r="A3542" s="11">
        <v>3539</v>
      </c>
    </row>
    <row r="3543" spans="1:1">
      <c r="A3543" s="11">
        <v>3540</v>
      </c>
    </row>
    <row r="3544" spans="1:1">
      <c r="A3544" s="11">
        <v>3541</v>
      </c>
    </row>
    <row r="3545" spans="1:1">
      <c r="A3545" s="11">
        <v>3542</v>
      </c>
    </row>
    <row r="3546" spans="1:1">
      <c r="A3546" s="11">
        <v>3543</v>
      </c>
    </row>
    <row r="3547" spans="1:1">
      <c r="A3547" s="11">
        <v>3544</v>
      </c>
    </row>
    <row r="3548" spans="1:1">
      <c r="A3548" s="11">
        <v>3545</v>
      </c>
    </row>
    <row r="3549" spans="1:1">
      <c r="A3549" s="11">
        <v>3546</v>
      </c>
    </row>
    <row r="3550" spans="1:1">
      <c r="A3550" s="11">
        <v>3547</v>
      </c>
    </row>
    <row r="3551" spans="1:1">
      <c r="A3551" s="11">
        <v>3548</v>
      </c>
    </row>
    <row r="3552" spans="1:1">
      <c r="A3552" s="11">
        <v>3549</v>
      </c>
    </row>
    <row r="3553" spans="1:1">
      <c r="A3553" s="11">
        <v>3550</v>
      </c>
    </row>
    <row r="3554" spans="1:1">
      <c r="A3554" s="11">
        <v>3551</v>
      </c>
    </row>
    <row r="3555" spans="1:1">
      <c r="A3555" s="11">
        <v>3552</v>
      </c>
    </row>
    <row r="3556" spans="1:1">
      <c r="A3556" s="11">
        <v>3553</v>
      </c>
    </row>
    <row r="3557" spans="1:1">
      <c r="A3557" s="11">
        <v>3554</v>
      </c>
    </row>
    <row r="3558" spans="1:1">
      <c r="A3558" s="11">
        <v>3555</v>
      </c>
    </row>
    <row r="3559" spans="1:1">
      <c r="A3559" s="11">
        <v>3556</v>
      </c>
    </row>
    <row r="3560" spans="1:1">
      <c r="A3560" s="11">
        <v>3557</v>
      </c>
    </row>
    <row r="3561" spans="1:1">
      <c r="A3561" s="11">
        <v>3558</v>
      </c>
    </row>
    <row r="3562" spans="1:1">
      <c r="A3562" s="11">
        <v>3559</v>
      </c>
    </row>
    <row r="3563" spans="1:1">
      <c r="A3563" s="11">
        <v>3560</v>
      </c>
    </row>
    <row r="3564" spans="1:1">
      <c r="A3564" s="11">
        <v>3561</v>
      </c>
    </row>
    <row r="3565" spans="1:1">
      <c r="A3565" s="11">
        <v>3562</v>
      </c>
    </row>
    <row r="3566" spans="1:1">
      <c r="A3566" s="11">
        <v>3563</v>
      </c>
    </row>
    <row r="3567" spans="1:1">
      <c r="A3567" s="11">
        <v>3564</v>
      </c>
    </row>
    <row r="3568" spans="1:1">
      <c r="A3568" s="11">
        <v>3565</v>
      </c>
    </row>
    <row r="3569" spans="1:1">
      <c r="A3569" s="11">
        <v>3566</v>
      </c>
    </row>
    <row r="3570" spans="1:1">
      <c r="A3570" s="11">
        <v>3567</v>
      </c>
    </row>
    <row r="3571" spans="1:1">
      <c r="A3571" s="11">
        <v>3568</v>
      </c>
    </row>
    <row r="3572" spans="1:1">
      <c r="A3572" s="11">
        <v>3569</v>
      </c>
    </row>
    <row r="3573" spans="1:1">
      <c r="A3573" s="11">
        <v>3570</v>
      </c>
    </row>
    <row r="3574" spans="1:1">
      <c r="A3574" s="11">
        <v>3571</v>
      </c>
    </row>
    <row r="3575" spans="1:1">
      <c r="A3575" s="11">
        <v>3572</v>
      </c>
    </row>
    <row r="3576" spans="1:1">
      <c r="A3576" s="11">
        <v>3573</v>
      </c>
    </row>
    <row r="3577" spans="1:1">
      <c r="A3577" s="11">
        <v>3574</v>
      </c>
    </row>
    <row r="3578" spans="1:1">
      <c r="A3578" s="11">
        <v>3575</v>
      </c>
    </row>
    <row r="3579" spans="1:1">
      <c r="A3579" s="11">
        <v>3576</v>
      </c>
    </row>
    <row r="3580" spans="1:1">
      <c r="A3580" s="11">
        <v>3577</v>
      </c>
    </row>
    <row r="3581" spans="1:1">
      <c r="A3581" s="11">
        <v>3578</v>
      </c>
    </row>
    <row r="3582" spans="1:1">
      <c r="A3582" s="11">
        <v>3579</v>
      </c>
    </row>
    <row r="3583" spans="1:1">
      <c r="A3583" s="11">
        <v>3580</v>
      </c>
    </row>
    <row r="3584" spans="1:1">
      <c r="A3584" s="11">
        <v>3581</v>
      </c>
    </row>
    <row r="3585" spans="1:1">
      <c r="A3585" s="11">
        <v>3582</v>
      </c>
    </row>
    <row r="3586" spans="1:1">
      <c r="A3586" s="11">
        <v>3583</v>
      </c>
    </row>
    <row r="3587" spans="1:1">
      <c r="A3587" s="11">
        <v>3584</v>
      </c>
    </row>
    <row r="3588" spans="1:1">
      <c r="A3588" s="11">
        <v>3585</v>
      </c>
    </row>
    <row r="3589" spans="1:1">
      <c r="A3589" s="11">
        <v>3586</v>
      </c>
    </row>
    <row r="3590" spans="1:1">
      <c r="A3590" s="11">
        <v>3587</v>
      </c>
    </row>
    <row r="3591" spans="1:1">
      <c r="A3591" s="11">
        <v>3588</v>
      </c>
    </row>
    <row r="3592" spans="1:1">
      <c r="A3592" s="11">
        <v>3589</v>
      </c>
    </row>
    <row r="3593" spans="1:1">
      <c r="A3593" s="11">
        <v>3590</v>
      </c>
    </row>
    <row r="3594" spans="1:1">
      <c r="A3594" s="11">
        <v>3591</v>
      </c>
    </row>
    <row r="3595" spans="1:1">
      <c r="A3595" s="11">
        <v>3592</v>
      </c>
    </row>
    <row r="3596" spans="1:1">
      <c r="A3596" s="11">
        <v>3593</v>
      </c>
    </row>
    <row r="3597" spans="1:1">
      <c r="A3597" s="11">
        <v>3594</v>
      </c>
    </row>
    <row r="3598" spans="1:1">
      <c r="A3598" s="11">
        <v>3595</v>
      </c>
    </row>
    <row r="3599" spans="1:1">
      <c r="A3599" s="11">
        <v>3596</v>
      </c>
    </row>
    <row r="3600" spans="1:1">
      <c r="A3600" s="11">
        <v>3597</v>
      </c>
    </row>
    <row r="3601" spans="1:1">
      <c r="A3601" s="11">
        <v>3598</v>
      </c>
    </row>
    <row r="3602" spans="1:1">
      <c r="A3602" s="11">
        <v>3599</v>
      </c>
    </row>
    <row r="3603" spans="1:1">
      <c r="A3603" s="11">
        <v>3600</v>
      </c>
    </row>
    <row r="3604" spans="1:1">
      <c r="A3604" s="11">
        <v>3601</v>
      </c>
    </row>
    <row r="3605" spans="1:1">
      <c r="A3605" s="11">
        <v>3602</v>
      </c>
    </row>
    <row r="3606" spans="1:1">
      <c r="A3606" s="11">
        <v>3603</v>
      </c>
    </row>
    <row r="3607" spans="1:1">
      <c r="A3607" s="11">
        <v>3604</v>
      </c>
    </row>
    <row r="3608" spans="1:1">
      <c r="A3608" s="11">
        <v>3605</v>
      </c>
    </row>
    <row r="3609" spans="1:1">
      <c r="A3609" s="11">
        <v>3606</v>
      </c>
    </row>
    <row r="3610" spans="1:1">
      <c r="A3610" s="11">
        <v>3607</v>
      </c>
    </row>
    <row r="3611" spans="1:1">
      <c r="A3611" s="11">
        <v>3608</v>
      </c>
    </row>
    <row r="3612" spans="1:1">
      <c r="A3612" s="11">
        <v>3609</v>
      </c>
    </row>
    <row r="3613" spans="1:1">
      <c r="A3613" s="11">
        <v>3610</v>
      </c>
    </row>
    <row r="3614" spans="1:1">
      <c r="A3614" s="11">
        <v>3611</v>
      </c>
    </row>
    <row r="3615" spans="1:1">
      <c r="A3615" s="11">
        <v>3612</v>
      </c>
    </row>
    <row r="3616" spans="1:1">
      <c r="A3616" s="11">
        <v>3613</v>
      </c>
    </row>
    <row r="3617" spans="1:1">
      <c r="A3617" s="11">
        <v>3614</v>
      </c>
    </row>
    <row r="3618" spans="1:1">
      <c r="A3618" s="11">
        <v>3615</v>
      </c>
    </row>
    <row r="3619" spans="1:1">
      <c r="A3619" s="11">
        <v>3616</v>
      </c>
    </row>
    <row r="3620" spans="1:1">
      <c r="A3620" s="11">
        <v>3617</v>
      </c>
    </row>
    <row r="3621" spans="1:1">
      <c r="A3621" s="11">
        <v>3618</v>
      </c>
    </row>
    <row r="3622" spans="1:1">
      <c r="A3622" s="11">
        <v>3619</v>
      </c>
    </row>
    <row r="3623" spans="1:1">
      <c r="A3623" s="11">
        <v>3620</v>
      </c>
    </row>
    <row r="3624" spans="1:1">
      <c r="A3624" s="11">
        <v>3621</v>
      </c>
    </row>
    <row r="3625" spans="1:1">
      <c r="A3625" s="11">
        <v>3622</v>
      </c>
    </row>
    <row r="3626" spans="1:1">
      <c r="A3626" s="11">
        <v>3623</v>
      </c>
    </row>
    <row r="3627" spans="1:1">
      <c r="A3627" s="11">
        <v>3624</v>
      </c>
    </row>
    <row r="3628" spans="1:1">
      <c r="A3628" s="11">
        <v>3625</v>
      </c>
    </row>
    <row r="3629" spans="1:1">
      <c r="A3629" s="11">
        <v>3626</v>
      </c>
    </row>
    <row r="3630" spans="1:1">
      <c r="A3630" s="11">
        <v>3627</v>
      </c>
    </row>
    <row r="3631" spans="1:1">
      <c r="A3631" s="11">
        <v>3628</v>
      </c>
    </row>
    <row r="3632" spans="1:1">
      <c r="A3632" s="11">
        <v>3629</v>
      </c>
    </row>
    <row r="3633" spans="1:1">
      <c r="A3633" s="11">
        <v>3630</v>
      </c>
    </row>
    <row r="3634" spans="1:1">
      <c r="A3634" s="11">
        <v>3631</v>
      </c>
    </row>
    <row r="3635" spans="1:1">
      <c r="A3635" s="11">
        <v>3632</v>
      </c>
    </row>
    <row r="3636" spans="1:1">
      <c r="A3636" s="11">
        <v>3633</v>
      </c>
    </row>
    <row r="3637" spans="1:1">
      <c r="A3637" s="11">
        <v>3634</v>
      </c>
    </row>
    <row r="3638" spans="1:1">
      <c r="A3638" s="11">
        <v>3635</v>
      </c>
    </row>
    <row r="3639" spans="1:1">
      <c r="A3639" s="11">
        <v>3636</v>
      </c>
    </row>
    <row r="3640" spans="1:1">
      <c r="A3640" s="11">
        <v>3637</v>
      </c>
    </row>
    <row r="3641" spans="1:1">
      <c r="A3641" s="11">
        <v>3638</v>
      </c>
    </row>
    <row r="3642" spans="1:1">
      <c r="A3642" s="11">
        <v>3639</v>
      </c>
    </row>
    <row r="3643" spans="1:1">
      <c r="A3643" s="11">
        <v>3640</v>
      </c>
    </row>
    <row r="3644" spans="1:1">
      <c r="A3644" s="11">
        <v>3641</v>
      </c>
    </row>
    <row r="3645" spans="1:1">
      <c r="A3645" s="11">
        <v>3642</v>
      </c>
    </row>
    <row r="3646" spans="1:1">
      <c r="A3646" s="11">
        <v>3643</v>
      </c>
    </row>
    <row r="3647" spans="1:1">
      <c r="A3647" s="11">
        <v>3644</v>
      </c>
    </row>
    <row r="3648" spans="1:1">
      <c r="A3648" s="11">
        <v>3645</v>
      </c>
    </row>
    <row r="3649" spans="1:1">
      <c r="A3649" s="11">
        <v>3646</v>
      </c>
    </row>
    <row r="3650" spans="1:1">
      <c r="A3650" s="11">
        <v>3647</v>
      </c>
    </row>
    <row r="3651" spans="1:1">
      <c r="A3651" s="11">
        <v>3648</v>
      </c>
    </row>
    <row r="3652" spans="1:1">
      <c r="A3652" s="11">
        <v>3649</v>
      </c>
    </row>
    <row r="3653" spans="1:1">
      <c r="A3653" s="11">
        <v>3650</v>
      </c>
    </row>
    <row r="3654" spans="1:1">
      <c r="A3654" s="11">
        <v>3651</v>
      </c>
    </row>
    <row r="3655" spans="1:1">
      <c r="A3655" s="11">
        <v>3652</v>
      </c>
    </row>
    <row r="3656" spans="1:1">
      <c r="A3656" s="11">
        <v>3653</v>
      </c>
    </row>
    <row r="3657" spans="1:1">
      <c r="A3657" s="11">
        <v>3654</v>
      </c>
    </row>
    <row r="3658" spans="1:1">
      <c r="A3658" s="11">
        <v>3655</v>
      </c>
    </row>
    <row r="3659" spans="1:1">
      <c r="A3659" s="11">
        <v>3656</v>
      </c>
    </row>
    <row r="3660" spans="1:1">
      <c r="A3660" s="11">
        <v>3657</v>
      </c>
    </row>
    <row r="3661" spans="1:1">
      <c r="A3661" s="11">
        <v>3658</v>
      </c>
    </row>
    <row r="3662" spans="1:1">
      <c r="A3662" s="11">
        <v>3659</v>
      </c>
    </row>
    <row r="3663" spans="1:1">
      <c r="A3663" s="11">
        <v>3660</v>
      </c>
    </row>
    <row r="3664" spans="1:1">
      <c r="A3664" s="11">
        <v>3661</v>
      </c>
    </row>
    <row r="3665" spans="1:1">
      <c r="A3665" s="11">
        <v>3662</v>
      </c>
    </row>
    <row r="3666" spans="1:1">
      <c r="A3666" s="11">
        <v>3663</v>
      </c>
    </row>
    <row r="3667" spans="1:1">
      <c r="A3667" s="11">
        <v>3664</v>
      </c>
    </row>
    <row r="3668" spans="1:1">
      <c r="A3668" s="11">
        <v>3665</v>
      </c>
    </row>
    <row r="3669" spans="1:1">
      <c r="A3669" s="11">
        <v>3666</v>
      </c>
    </row>
    <row r="3670" spans="1:1">
      <c r="A3670" s="11">
        <v>3667</v>
      </c>
    </row>
    <row r="3671" spans="1:1">
      <c r="A3671" s="11">
        <v>3668</v>
      </c>
    </row>
    <row r="3672" spans="1:1">
      <c r="A3672" s="11">
        <v>3669</v>
      </c>
    </row>
    <row r="3673" spans="1:1">
      <c r="A3673" s="11">
        <v>3670</v>
      </c>
    </row>
    <row r="3674" spans="1:1">
      <c r="A3674" s="11">
        <v>3671</v>
      </c>
    </row>
    <row r="3675" spans="1:1">
      <c r="A3675" s="11">
        <v>3672</v>
      </c>
    </row>
    <row r="3676" spans="1:1">
      <c r="A3676" s="11">
        <v>3673</v>
      </c>
    </row>
    <row r="3677" spans="1:1">
      <c r="A3677" s="11">
        <v>3674</v>
      </c>
    </row>
    <row r="3678" spans="1:1">
      <c r="A3678" s="11">
        <v>3675</v>
      </c>
    </row>
    <row r="3679" spans="1:1">
      <c r="A3679" s="11">
        <v>3676</v>
      </c>
    </row>
    <row r="3680" spans="1:1">
      <c r="A3680" s="11">
        <v>3677</v>
      </c>
    </row>
    <row r="3681" spans="1:1">
      <c r="A3681" s="11">
        <v>3678</v>
      </c>
    </row>
    <row r="3682" spans="1:1">
      <c r="A3682" s="11">
        <v>3679</v>
      </c>
    </row>
    <row r="3683" spans="1:1">
      <c r="A3683" s="11">
        <v>3680</v>
      </c>
    </row>
    <row r="3684" spans="1:1">
      <c r="A3684" s="11">
        <v>3681</v>
      </c>
    </row>
    <row r="3685" spans="1:1">
      <c r="A3685" s="11">
        <v>3682</v>
      </c>
    </row>
    <row r="3686" spans="1:1">
      <c r="A3686" s="11">
        <v>3683</v>
      </c>
    </row>
    <row r="3687" spans="1:1">
      <c r="A3687" s="11">
        <v>3684</v>
      </c>
    </row>
    <row r="3688" spans="1:1">
      <c r="A3688" s="11">
        <v>3685</v>
      </c>
    </row>
    <row r="3689" spans="1:1">
      <c r="A3689" s="11">
        <v>3686</v>
      </c>
    </row>
    <row r="3690" spans="1:1">
      <c r="A3690" s="11">
        <v>3687</v>
      </c>
    </row>
    <row r="3691" spans="1:1">
      <c r="A3691" s="11">
        <v>3688</v>
      </c>
    </row>
    <row r="3692" spans="1:1">
      <c r="A3692" s="11">
        <v>3689</v>
      </c>
    </row>
    <row r="3693" spans="1:1">
      <c r="A3693" s="11">
        <v>3690</v>
      </c>
    </row>
    <row r="3694" spans="1:1">
      <c r="A3694" s="11">
        <v>3691</v>
      </c>
    </row>
    <row r="3695" spans="1:1">
      <c r="A3695" s="11">
        <v>3692</v>
      </c>
    </row>
    <row r="3696" spans="1:1">
      <c r="A3696" s="11">
        <v>3693</v>
      </c>
    </row>
    <row r="3697" spans="1:1">
      <c r="A3697" s="11">
        <v>3694</v>
      </c>
    </row>
    <row r="3698" spans="1:1">
      <c r="A3698" s="11">
        <v>3695</v>
      </c>
    </row>
    <row r="3699" spans="1:1">
      <c r="A3699" s="11">
        <v>3696</v>
      </c>
    </row>
    <row r="3700" spans="1:1">
      <c r="A3700" s="11">
        <v>3697</v>
      </c>
    </row>
    <row r="3701" spans="1:1">
      <c r="A3701" s="11">
        <v>3698</v>
      </c>
    </row>
    <row r="3702" spans="1:1">
      <c r="A3702" s="11">
        <v>3699</v>
      </c>
    </row>
    <row r="3703" spans="1:1">
      <c r="A3703" s="11">
        <v>3700</v>
      </c>
    </row>
    <row r="3704" spans="1:1">
      <c r="A3704" s="11">
        <v>3701</v>
      </c>
    </row>
    <row r="3705" spans="1:1">
      <c r="A3705" s="11">
        <v>3702</v>
      </c>
    </row>
    <row r="3706" spans="1:1">
      <c r="A3706" s="11">
        <v>3703</v>
      </c>
    </row>
    <row r="3707" spans="1:1">
      <c r="A3707" s="11">
        <v>3704</v>
      </c>
    </row>
    <row r="3708" spans="1:1">
      <c r="A3708" s="11">
        <v>3705</v>
      </c>
    </row>
    <row r="3709" spans="1:1">
      <c r="A3709" s="11">
        <v>3706</v>
      </c>
    </row>
    <row r="3710" spans="1:1">
      <c r="A3710" s="11">
        <v>3707</v>
      </c>
    </row>
    <row r="3711" spans="1:1">
      <c r="A3711" s="11">
        <v>3708</v>
      </c>
    </row>
    <row r="3712" spans="1:1">
      <c r="A3712" s="11">
        <v>3709</v>
      </c>
    </row>
    <row r="3713" spans="1:1">
      <c r="A3713" s="11">
        <v>3710</v>
      </c>
    </row>
    <row r="3714" spans="1:1">
      <c r="A3714" s="11">
        <v>3711</v>
      </c>
    </row>
    <row r="3715" spans="1:1">
      <c r="A3715" s="11">
        <v>3712</v>
      </c>
    </row>
    <row r="3716" spans="1:1">
      <c r="A3716" s="11">
        <v>3713</v>
      </c>
    </row>
    <row r="3717" spans="1:1">
      <c r="A3717" s="11">
        <v>3714</v>
      </c>
    </row>
    <row r="3718" spans="1:1">
      <c r="A3718" s="11">
        <v>3715</v>
      </c>
    </row>
    <row r="3719" spans="1:1">
      <c r="A3719" s="11">
        <v>3716</v>
      </c>
    </row>
    <row r="3720" spans="1:1">
      <c r="A3720" s="11">
        <v>3717</v>
      </c>
    </row>
    <row r="3721" spans="1:1">
      <c r="A3721" s="11">
        <v>3718</v>
      </c>
    </row>
    <row r="3722" spans="1:1">
      <c r="A3722" s="11">
        <v>3719</v>
      </c>
    </row>
    <row r="3723" spans="1:1">
      <c r="A3723" s="11">
        <v>3720</v>
      </c>
    </row>
    <row r="3724" spans="1:1">
      <c r="A3724" s="11">
        <v>3721</v>
      </c>
    </row>
    <row r="3725" spans="1:1">
      <c r="A3725" s="11">
        <v>3722</v>
      </c>
    </row>
    <row r="3726" spans="1:1">
      <c r="A3726" s="11">
        <v>3723</v>
      </c>
    </row>
    <row r="3727" spans="1:1">
      <c r="A3727" s="11">
        <v>3724</v>
      </c>
    </row>
    <row r="3728" spans="1:1">
      <c r="A3728" s="11">
        <v>3725</v>
      </c>
    </row>
    <row r="3729" spans="1:1">
      <c r="A3729" s="11">
        <v>3726</v>
      </c>
    </row>
    <row r="3730" spans="1:1">
      <c r="A3730" s="11">
        <v>3727</v>
      </c>
    </row>
    <row r="3731" spans="1:1">
      <c r="A3731" s="11">
        <v>3728</v>
      </c>
    </row>
    <row r="3732" spans="1:1">
      <c r="A3732" s="11">
        <v>3729</v>
      </c>
    </row>
    <row r="3733" spans="1:1">
      <c r="A3733" s="11">
        <v>3730</v>
      </c>
    </row>
    <row r="3734" spans="1:1">
      <c r="A3734" s="11">
        <v>3731</v>
      </c>
    </row>
    <row r="3735" spans="1:1">
      <c r="A3735" s="11">
        <v>3732</v>
      </c>
    </row>
    <row r="3736" spans="1:1">
      <c r="A3736" s="11">
        <v>3733</v>
      </c>
    </row>
    <row r="3737" spans="1:1">
      <c r="A3737" s="11">
        <v>3734</v>
      </c>
    </row>
    <row r="3738" spans="1:1">
      <c r="A3738" s="11">
        <v>3735</v>
      </c>
    </row>
    <row r="3739" spans="1:1">
      <c r="A3739" s="11">
        <v>3736</v>
      </c>
    </row>
    <row r="3740" spans="1:1">
      <c r="A3740" s="11">
        <v>3737</v>
      </c>
    </row>
    <row r="3741" spans="1:1">
      <c r="A3741" s="11">
        <v>3738</v>
      </c>
    </row>
    <row r="3742" spans="1:1">
      <c r="A3742" s="11">
        <v>3739</v>
      </c>
    </row>
    <row r="3743" spans="1:1">
      <c r="A3743" s="11">
        <v>3740</v>
      </c>
    </row>
    <row r="3744" spans="1:1">
      <c r="A3744" s="11">
        <v>3741</v>
      </c>
    </row>
    <row r="3745" spans="1:1">
      <c r="A3745" s="11">
        <v>3742</v>
      </c>
    </row>
    <row r="3746" spans="1:1">
      <c r="A3746" s="11">
        <v>3743</v>
      </c>
    </row>
    <row r="3747" spans="1:1">
      <c r="A3747" s="11">
        <v>3744</v>
      </c>
    </row>
    <row r="3748" spans="1:1">
      <c r="A3748" s="11">
        <v>3745</v>
      </c>
    </row>
    <row r="3749" spans="1:1">
      <c r="A3749" s="11">
        <v>3746</v>
      </c>
    </row>
    <row r="3750" spans="1:1">
      <c r="A3750" s="11">
        <v>3747</v>
      </c>
    </row>
    <row r="3751" spans="1:1">
      <c r="A3751" s="11">
        <v>3748</v>
      </c>
    </row>
    <row r="3752" spans="1:1">
      <c r="A3752" s="11">
        <v>3749</v>
      </c>
    </row>
    <row r="3753" spans="1:1">
      <c r="A3753" s="11">
        <v>3750</v>
      </c>
    </row>
    <row r="3754" spans="1:1">
      <c r="A3754" s="11">
        <v>3751</v>
      </c>
    </row>
    <row r="3755" spans="1:1">
      <c r="A3755" s="11">
        <v>3752</v>
      </c>
    </row>
    <row r="3756" spans="1:1">
      <c r="A3756" s="11">
        <v>3753</v>
      </c>
    </row>
    <row r="3757" spans="1:1">
      <c r="A3757" s="11">
        <v>3754</v>
      </c>
    </row>
    <row r="3758" spans="1:1">
      <c r="A3758" s="11">
        <v>3755</v>
      </c>
    </row>
    <row r="3759" spans="1:1">
      <c r="A3759" s="11">
        <v>3756</v>
      </c>
    </row>
    <row r="3760" spans="1:1">
      <c r="A3760" s="11">
        <v>3757</v>
      </c>
    </row>
    <row r="3761" spans="1:1">
      <c r="A3761" s="11">
        <v>3758</v>
      </c>
    </row>
    <row r="3762" spans="1:1">
      <c r="A3762" s="11">
        <v>3759</v>
      </c>
    </row>
    <row r="3763" spans="1:1">
      <c r="A3763" s="11">
        <v>3760</v>
      </c>
    </row>
    <row r="3764" spans="1:1">
      <c r="A3764" s="11">
        <v>3761</v>
      </c>
    </row>
    <row r="3765" spans="1:1">
      <c r="A3765" s="11">
        <v>3762</v>
      </c>
    </row>
    <row r="3766" spans="1:1">
      <c r="A3766" s="11">
        <v>3763</v>
      </c>
    </row>
    <row r="3767" spans="1:1">
      <c r="A3767" s="11">
        <v>3764</v>
      </c>
    </row>
    <row r="3768" spans="1:1">
      <c r="A3768" s="11">
        <v>3765</v>
      </c>
    </row>
    <row r="3769" spans="1:1">
      <c r="A3769" s="11">
        <v>3766</v>
      </c>
    </row>
    <row r="3770" spans="1:1">
      <c r="A3770" s="11">
        <v>3767</v>
      </c>
    </row>
    <row r="3771" spans="1:1">
      <c r="A3771" s="11">
        <v>3768</v>
      </c>
    </row>
    <row r="3772" spans="1:1">
      <c r="A3772" s="11">
        <v>3769</v>
      </c>
    </row>
    <row r="3773" spans="1:1">
      <c r="A3773" s="11">
        <v>3770</v>
      </c>
    </row>
    <row r="3774" spans="1:1">
      <c r="A3774" s="11">
        <v>3771</v>
      </c>
    </row>
    <row r="3775" spans="1:1">
      <c r="A3775" s="11">
        <v>3772</v>
      </c>
    </row>
    <row r="3776" spans="1:1">
      <c r="A3776" s="11">
        <v>3773</v>
      </c>
    </row>
    <row r="3777" spans="1:1">
      <c r="A3777" s="11">
        <v>3774</v>
      </c>
    </row>
    <row r="3778" spans="1:1">
      <c r="A3778" s="11">
        <v>3775</v>
      </c>
    </row>
    <row r="3779" spans="1:1">
      <c r="A3779" s="11">
        <v>3776</v>
      </c>
    </row>
    <row r="3780" spans="1:1">
      <c r="A3780" s="11">
        <v>3777</v>
      </c>
    </row>
    <row r="3781" spans="1:1">
      <c r="A3781" s="11">
        <v>3778</v>
      </c>
    </row>
    <row r="3782" spans="1:1">
      <c r="A3782" s="11">
        <v>3779</v>
      </c>
    </row>
    <row r="3783" spans="1:1">
      <c r="A3783" s="11">
        <v>3780</v>
      </c>
    </row>
    <row r="3784" spans="1:1">
      <c r="A3784" s="11">
        <v>3781</v>
      </c>
    </row>
    <row r="3785" spans="1:1">
      <c r="A3785" s="11">
        <v>3782</v>
      </c>
    </row>
    <row r="3786" spans="1:1">
      <c r="A3786" s="11">
        <v>3783</v>
      </c>
    </row>
    <row r="3787" spans="1:1">
      <c r="A3787" s="11">
        <v>3784</v>
      </c>
    </row>
    <row r="3788" spans="1:1">
      <c r="A3788" s="11">
        <v>3785</v>
      </c>
    </row>
    <row r="3789" spans="1:1">
      <c r="A3789" s="11">
        <v>3786</v>
      </c>
    </row>
    <row r="3790" spans="1:1">
      <c r="A3790" s="11">
        <v>3787</v>
      </c>
    </row>
    <row r="3791" spans="1:1">
      <c r="A3791" s="11">
        <v>3788</v>
      </c>
    </row>
    <row r="3792" spans="1:1">
      <c r="A3792" s="11">
        <v>3789</v>
      </c>
    </row>
    <row r="3793" spans="1:1">
      <c r="A3793" s="11">
        <v>3790</v>
      </c>
    </row>
    <row r="3794" spans="1:1">
      <c r="A3794" s="11">
        <v>3791</v>
      </c>
    </row>
    <row r="3795" spans="1:1">
      <c r="A3795" s="11">
        <v>3792</v>
      </c>
    </row>
    <row r="3796" spans="1:1">
      <c r="A3796" s="11">
        <v>3793</v>
      </c>
    </row>
    <row r="3797" spans="1:1">
      <c r="A3797" s="11">
        <v>3794</v>
      </c>
    </row>
    <row r="3798" spans="1:1">
      <c r="A3798" s="11">
        <v>3795</v>
      </c>
    </row>
    <row r="3799" spans="1:1">
      <c r="A3799" s="11">
        <v>3796</v>
      </c>
    </row>
    <row r="3800" spans="1:1">
      <c r="A3800" s="11">
        <v>3797</v>
      </c>
    </row>
    <row r="3801" spans="1:1">
      <c r="A3801" s="11">
        <v>3798</v>
      </c>
    </row>
    <row r="3802" spans="1:1">
      <c r="A3802" s="11">
        <v>3799</v>
      </c>
    </row>
    <row r="3803" spans="1:1">
      <c r="A3803" s="11">
        <v>3800</v>
      </c>
    </row>
    <row r="3804" spans="1:1">
      <c r="A3804" s="11">
        <v>3801</v>
      </c>
    </row>
    <row r="3805" spans="1:1">
      <c r="A3805" s="11">
        <v>3802</v>
      </c>
    </row>
    <row r="3806" spans="1:1">
      <c r="A3806" s="11">
        <v>3803</v>
      </c>
    </row>
    <row r="3807" spans="1:1">
      <c r="A3807" s="11">
        <v>3804</v>
      </c>
    </row>
    <row r="3808" spans="1:1">
      <c r="A3808" s="11">
        <v>3805</v>
      </c>
    </row>
    <row r="3809" spans="1:1">
      <c r="A3809" s="11">
        <v>3806</v>
      </c>
    </row>
    <row r="3810" spans="1:1">
      <c r="A3810" s="11">
        <v>3807</v>
      </c>
    </row>
    <row r="3811" spans="1:1">
      <c r="A3811" s="11">
        <v>3808</v>
      </c>
    </row>
    <row r="3812" spans="1:1">
      <c r="A3812" s="11">
        <v>3809</v>
      </c>
    </row>
    <row r="3813" spans="1:1">
      <c r="A3813" s="11">
        <v>3810</v>
      </c>
    </row>
    <row r="3814" spans="1:1">
      <c r="A3814" s="11">
        <v>3811</v>
      </c>
    </row>
    <row r="3815" spans="1:1">
      <c r="A3815" s="11">
        <v>3812</v>
      </c>
    </row>
    <row r="3816" spans="1:1">
      <c r="A3816" s="11">
        <v>3813</v>
      </c>
    </row>
    <row r="3817" spans="1:1">
      <c r="A3817" s="11">
        <v>3814</v>
      </c>
    </row>
    <row r="3818" spans="1:1">
      <c r="A3818" s="11">
        <v>3815</v>
      </c>
    </row>
    <row r="3819" spans="1:1">
      <c r="A3819" s="11">
        <v>3816</v>
      </c>
    </row>
    <row r="3820" spans="1:1">
      <c r="A3820" s="11">
        <v>3817</v>
      </c>
    </row>
    <row r="3821" spans="1:1">
      <c r="A3821" s="11">
        <v>3818</v>
      </c>
    </row>
    <row r="3822" spans="1:1">
      <c r="A3822" s="11">
        <v>3819</v>
      </c>
    </row>
    <row r="3823" spans="1:1">
      <c r="A3823" s="11">
        <v>3820</v>
      </c>
    </row>
    <row r="3824" spans="1:1">
      <c r="A3824" s="11">
        <v>3821</v>
      </c>
    </row>
    <row r="3825" spans="1:1">
      <c r="A3825" s="11">
        <v>3822</v>
      </c>
    </row>
    <row r="3826" spans="1:1">
      <c r="A3826" s="11">
        <v>3823</v>
      </c>
    </row>
    <row r="3827" spans="1:1">
      <c r="A3827" s="11">
        <v>3824</v>
      </c>
    </row>
    <row r="3828" spans="1:1">
      <c r="A3828" s="11">
        <v>3825</v>
      </c>
    </row>
    <row r="3829" spans="1:1">
      <c r="A3829" s="11">
        <v>3826</v>
      </c>
    </row>
    <row r="3830" spans="1:1">
      <c r="A3830" s="11">
        <v>3827</v>
      </c>
    </row>
    <row r="3831" spans="1:1">
      <c r="A3831" s="11">
        <v>3828</v>
      </c>
    </row>
    <row r="3832" spans="1:1">
      <c r="A3832" s="11">
        <v>3829</v>
      </c>
    </row>
    <row r="3833" spans="1:1">
      <c r="A3833" s="11">
        <v>3830</v>
      </c>
    </row>
    <row r="3834" spans="1:1">
      <c r="A3834" s="11">
        <v>3831</v>
      </c>
    </row>
    <row r="3835" spans="1:1">
      <c r="A3835" s="11">
        <v>3832</v>
      </c>
    </row>
    <row r="3836" spans="1:1">
      <c r="A3836" s="11">
        <v>3833</v>
      </c>
    </row>
    <row r="3837" spans="1:1">
      <c r="A3837" s="11">
        <v>3834</v>
      </c>
    </row>
    <row r="3838" spans="1:1">
      <c r="A3838" s="11">
        <v>3835</v>
      </c>
    </row>
    <row r="3839" spans="1:1">
      <c r="A3839" s="11">
        <v>3836</v>
      </c>
    </row>
    <row r="3840" spans="1:1">
      <c r="A3840" s="11">
        <v>3837</v>
      </c>
    </row>
    <row r="3841" spans="1:1">
      <c r="A3841" s="11">
        <v>3838</v>
      </c>
    </row>
    <row r="3842" spans="1:1">
      <c r="A3842" s="11">
        <v>3839</v>
      </c>
    </row>
    <row r="3843" spans="1:1">
      <c r="A3843" s="11">
        <v>3840</v>
      </c>
    </row>
    <row r="3844" spans="1:1">
      <c r="A3844" s="11">
        <v>3841</v>
      </c>
    </row>
    <row r="3845" spans="1:1">
      <c r="A3845" s="11">
        <v>3842</v>
      </c>
    </row>
    <row r="3846" spans="1:1">
      <c r="A3846" s="11">
        <v>3843</v>
      </c>
    </row>
    <row r="3847" spans="1:1">
      <c r="A3847" s="11">
        <v>3844</v>
      </c>
    </row>
    <row r="3848" spans="1:1">
      <c r="A3848" s="11">
        <v>3845</v>
      </c>
    </row>
    <row r="3849" spans="1:1">
      <c r="A3849" s="11">
        <v>3846</v>
      </c>
    </row>
    <row r="3850" spans="1:1">
      <c r="A3850" s="11">
        <v>3847</v>
      </c>
    </row>
    <row r="3851" spans="1:1">
      <c r="A3851" s="11">
        <v>3848</v>
      </c>
    </row>
    <row r="3852" spans="1:1">
      <c r="A3852" s="11">
        <v>3849</v>
      </c>
    </row>
    <row r="3853" spans="1:1">
      <c r="A3853" s="11">
        <v>3850</v>
      </c>
    </row>
    <row r="3854" spans="1:1">
      <c r="A3854" s="11">
        <v>3851</v>
      </c>
    </row>
    <row r="3855" spans="1:1">
      <c r="A3855" s="11">
        <v>3852</v>
      </c>
    </row>
    <row r="3856" spans="1:1">
      <c r="A3856" s="11">
        <v>3853</v>
      </c>
    </row>
    <row r="3857" spans="1:1">
      <c r="A3857" s="11">
        <v>3854</v>
      </c>
    </row>
    <row r="3858" spans="1:1">
      <c r="A3858" s="11">
        <v>3855</v>
      </c>
    </row>
    <row r="3859" spans="1:1">
      <c r="A3859" s="11">
        <v>3856</v>
      </c>
    </row>
    <row r="3860" spans="1:1">
      <c r="A3860" s="11">
        <v>3857</v>
      </c>
    </row>
    <row r="3861" spans="1:1">
      <c r="A3861" s="11">
        <v>3858</v>
      </c>
    </row>
    <row r="3862" spans="1:1">
      <c r="A3862" s="11">
        <v>3859</v>
      </c>
    </row>
    <row r="3863" spans="1:1">
      <c r="A3863" s="11">
        <v>3860</v>
      </c>
    </row>
    <row r="3864" spans="1:1">
      <c r="A3864" s="11">
        <v>3861</v>
      </c>
    </row>
    <row r="3865" spans="1:1">
      <c r="A3865" s="11">
        <v>3862</v>
      </c>
    </row>
    <row r="3866" spans="1:1">
      <c r="A3866" s="11">
        <v>3863</v>
      </c>
    </row>
    <row r="3867" spans="1:1">
      <c r="A3867" s="11">
        <v>3864</v>
      </c>
    </row>
    <row r="3868" spans="1:1">
      <c r="A3868" s="11">
        <v>3865</v>
      </c>
    </row>
    <row r="3869" spans="1:1">
      <c r="A3869" s="11">
        <v>3866</v>
      </c>
    </row>
    <row r="3870" spans="1:1">
      <c r="A3870" s="11">
        <v>3867</v>
      </c>
    </row>
    <row r="3871" spans="1:1">
      <c r="A3871" s="11">
        <v>3868</v>
      </c>
    </row>
    <row r="3872" spans="1:1">
      <c r="A3872" s="11">
        <v>3869</v>
      </c>
    </row>
    <row r="3873" spans="1:1">
      <c r="A3873" s="11">
        <v>3870</v>
      </c>
    </row>
    <row r="3874" spans="1:1">
      <c r="A3874" s="11">
        <v>3871</v>
      </c>
    </row>
    <row r="3875" spans="1:1">
      <c r="A3875" s="11">
        <v>3872</v>
      </c>
    </row>
    <row r="3876" spans="1:1">
      <c r="A3876" s="11">
        <v>3873</v>
      </c>
    </row>
    <row r="3877" spans="1:1">
      <c r="A3877" s="11">
        <v>3874</v>
      </c>
    </row>
    <row r="3878" spans="1:1">
      <c r="A3878" s="11">
        <v>3875</v>
      </c>
    </row>
    <row r="3879" spans="1:1">
      <c r="A3879" s="11">
        <v>3876</v>
      </c>
    </row>
    <row r="3880" spans="1:1">
      <c r="A3880" s="11">
        <v>3877</v>
      </c>
    </row>
    <row r="3881" spans="1:1">
      <c r="A3881" s="11">
        <v>3878</v>
      </c>
    </row>
    <row r="3882" spans="1:1">
      <c r="A3882" s="11">
        <v>3879</v>
      </c>
    </row>
    <row r="3883" spans="1:1">
      <c r="A3883" s="11">
        <v>3880</v>
      </c>
    </row>
    <row r="3884" spans="1:1">
      <c r="A3884" s="11">
        <v>3881</v>
      </c>
    </row>
    <row r="3885" spans="1:1">
      <c r="A3885" s="11">
        <v>3882</v>
      </c>
    </row>
    <row r="3886" spans="1:1">
      <c r="A3886" s="11">
        <v>3883</v>
      </c>
    </row>
    <row r="3887" spans="1:1">
      <c r="A3887" s="11">
        <v>3884</v>
      </c>
    </row>
    <row r="3888" spans="1:1">
      <c r="A3888" s="11">
        <v>3885</v>
      </c>
    </row>
    <row r="3889" spans="1:1">
      <c r="A3889" s="11">
        <v>3886</v>
      </c>
    </row>
    <row r="3890" spans="1:1">
      <c r="A3890" s="11">
        <v>3887</v>
      </c>
    </row>
    <row r="3891" spans="1:1">
      <c r="A3891" s="11">
        <v>3888</v>
      </c>
    </row>
    <row r="3892" spans="1:1">
      <c r="A3892" s="11">
        <v>3889</v>
      </c>
    </row>
    <row r="3893" spans="1:1">
      <c r="A3893" s="11">
        <v>3890</v>
      </c>
    </row>
    <row r="3894" spans="1:1">
      <c r="A3894" s="11">
        <v>3891</v>
      </c>
    </row>
    <row r="3895" spans="1:1">
      <c r="A3895" s="11">
        <v>3892</v>
      </c>
    </row>
    <row r="3896" spans="1:1">
      <c r="A3896" s="11">
        <v>3893</v>
      </c>
    </row>
    <row r="3897" spans="1:1">
      <c r="A3897" s="11">
        <v>3894</v>
      </c>
    </row>
    <row r="3898" spans="1:1">
      <c r="A3898" s="11">
        <v>3895</v>
      </c>
    </row>
    <row r="3899" spans="1:1">
      <c r="A3899" s="11">
        <v>3896</v>
      </c>
    </row>
    <row r="3900" spans="1:1">
      <c r="A3900" s="11">
        <v>3897</v>
      </c>
    </row>
    <row r="3901" spans="1:1">
      <c r="A3901" s="11">
        <v>3898</v>
      </c>
    </row>
    <row r="3902" spans="1:1">
      <c r="A3902" s="11">
        <v>3899</v>
      </c>
    </row>
    <row r="3903" spans="1:1">
      <c r="A3903" s="11">
        <v>3900</v>
      </c>
    </row>
    <row r="3904" spans="1:1">
      <c r="A3904" s="11">
        <v>3901</v>
      </c>
    </row>
    <row r="3905" spans="1:1">
      <c r="A3905" s="11">
        <v>3902</v>
      </c>
    </row>
    <row r="3906" spans="1:1">
      <c r="A3906" s="11">
        <v>3903</v>
      </c>
    </row>
    <row r="3907" spans="1:1">
      <c r="A3907" s="11">
        <v>3904</v>
      </c>
    </row>
    <row r="3908" spans="1:1">
      <c r="A3908" s="11">
        <v>3905</v>
      </c>
    </row>
    <row r="3909" spans="1:1">
      <c r="A3909" s="11">
        <v>3906</v>
      </c>
    </row>
    <row r="3910" spans="1:1">
      <c r="A3910" s="11">
        <v>3907</v>
      </c>
    </row>
    <row r="3911" spans="1:1">
      <c r="A3911" s="11">
        <v>3908</v>
      </c>
    </row>
    <row r="3912" spans="1:1">
      <c r="A3912" s="11">
        <v>3909</v>
      </c>
    </row>
    <row r="3913" spans="1:1">
      <c r="A3913" s="11">
        <v>3910</v>
      </c>
    </row>
    <row r="3914" spans="1:1">
      <c r="A3914" s="11">
        <v>3911</v>
      </c>
    </row>
    <row r="3915" spans="1:1">
      <c r="A3915" s="11">
        <v>3912</v>
      </c>
    </row>
    <row r="3916" spans="1:1">
      <c r="A3916" s="11">
        <v>3913</v>
      </c>
    </row>
    <row r="3917" spans="1:1">
      <c r="A3917" s="11">
        <v>3914</v>
      </c>
    </row>
    <row r="3918" spans="1:1">
      <c r="A3918" s="11">
        <v>3915</v>
      </c>
    </row>
    <row r="3919" spans="1:1">
      <c r="A3919" s="11">
        <v>3916</v>
      </c>
    </row>
    <row r="3920" spans="1:1">
      <c r="A3920" s="11">
        <v>3917</v>
      </c>
    </row>
    <row r="3921" spans="1:1">
      <c r="A3921" s="11">
        <v>3918</v>
      </c>
    </row>
    <row r="3922" spans="1:1">
      <c r="A3922" s="11">
        <v>3919</v>
      </c>
    </row>
    <row r="3923" spans="1:1">
      <c r="A3923" s="11">
        <v>3920</v>
      </c>
    </row>
    <row r="3924" spans="1:1">
      <c r="A3924" s="11">
        <v>3921</v>
      </c>
    </row>
    <row r="3925" spans="1:1">
      <c r="A3925" s="11">
        <v>3922</v>
      </c>
    </row>
    <row r="3926" spans="1:1">
      <c r="A3926" s="11">
        <v>3923</v>
      </c>
    </row>
    <row r="3927" spans="1:1">
      <c r="A3927" s="11">
        <v>3924</v>
      </c>
    </row>
    <row r="3928" spans="1:1">
      <c r="A3928" s="11">
        <v>3925</v>
      </c>
    </row>
    <row r="3929" spans="1:1">
      <c r="A3929" s="11">
        <v>3926</v>
      </c>
    </row>
    <row r="3930" spans="1:1">
      <c r="A3930" s="11">
        <v>3927</v>
      </c>
    </row>
    <row r="3931" spans="1:1">
      <c r="A3931" s="11">
        <v>3928</v>
      </c>
    </row>
    <row r="3932" spans="1:1">
      <c r="A3932" s="11">
        <v>3929</v>
      </c>
    </row>
    <row r="3933" spans="1:1">
      <c r="A3933" s="11">
        <v>3930</v>
      </c>
    </row>
    <row r="3934" spans="1:1">
      <c r="A3934" s="11">
        <v>3931</v>
      </c>
    </row>
    <row r="3935" spans="1:1">
      <c r="A3935" s="11">
        <v>3932</v>
      </c>
    </row>
    <row r="3936" spans="1:1">
      <c r="A3936" s="11">
        <v>3933</v>
      </c>
    </row>
    <row r="3937" spans="1:1">
      <c r="A3937" s="11">
        <v>3934</v>
      </c>
    </row>
    <row r="3938" spans="1:1">
      <c r="A3938" s="11">
        <v>3935</v>
      </c>
    </row>
    <row r="3939" spans="1:1">
      <c r="A3939" s="11">
        <v>3936</v>
      </c>
    </row>
    <row r="3940" spans="1:1">
      <c r="A3940" s="11">
        <v>3937</v>
      </c>
    </row>
    <row r="3941" spans="1:1">
      <c r="A3941" s="11">
        <v>3938</v>
      </c>
    </row>
    <row r="3942" spans="1:1">
      <c r="A3942" s="11">
        <v>3939</v>
      </c>
    </row>
    <row r="3943" spans="1:1">
      <c r="A3943" s="11">
        <v>3940</v>
      </c>
    </row>
    <row r="3944" spans="1:1">
      <c r="A3944" s="11">
        <v>3941</v>
      </c>
    </row>
    <row r="3945" spans="1:1">
      <c r="A3945" s="11">
        <v>3942</v>
      </c>
    </row>
    <row r="3946" spans="1:1">
      <c r="A3946" s="11">
        <v>3943</v>
      </c>
    </row>
    <row r="3947" spans="1:1">
      <c r="A3947" s="11">
        <v>3944</v>
      </c>
    </row>
    <row r="3948" spans="1:1">
      <c r="A3948" s="11">
        <v>3945</v>
      </c>
    </row>
    <row r="3949" spans="1:1">
      <c r="A3949" s="11">
        <v>3946</v>
      </c>
    </row>
    <row r="3950" spans="1:1">
      <c r="A3950" s="11">
        <v>3947</v>
      </c>
    </row>
    <row r="3951" spans="1:1">
      <c r="A3951" s="11">
        <v>3948</v>
      </c>
    </row>
    <row r="3952" spans="1:1">
      <c r="A3952" s="11">
        <v>3949</v>
      </c>
    </row>
    <row r="3953" spans="1:1">
      <c r="A3953" s="11">
        <v>3950</v>
      </c>
    </row>
    <row r="3954" spans="1:1">
      <c r="A3954" s="11">
        <v>3951</v>
      </c>
    </row>
    <row r="3955" spans="1:1">
      <c r="A3955" s="11">
        <v>3952</v>
      </c>
    </row>
    <row r="3956" spans="1:1">
      <c r="A3956" s="11">
        <v>3953</v>
      </c>
    </row>
    <row r="3957" spans="1:1">
      <c r="A3957" s="11">
        <v>3954</v>
      </c>
    </row>
    <row r="3958" spans="1:1">
      <c r="A3958" s="11">
        <v>3955</v>
      </c>
    </row>
    <row r="3959" spans="1:1">
      <c r="A3959" s="11">
        <v>3956</v>
      </c>
    </row>
    <row r="3960" spans="1:1">
      <c r="A3960" s="11">
        <v>3957</v>
      </c>
    </row>
    <row r="3961" spans="1:1">
      <c r="A3961" s="11">
        <v>3958</v>
      </c>
    </row>
    <row r="3962" spans="1:1">
      <c r="A3962" s="11">
        <v>3959</v>
      </c>
    </row>
    <row r="3963" spans="1:1">
      <c r="A3963" s="11">
        <v>3960</v>
      </c>
    </row>
    <row r="3964" spans="1:1">
      <c r="A3964" s="11">
        <v>3961</v>
      </c>
    </row>
    <row r="3965" spans="1:1">
      <c r="A3965" s="11">
        <v>3962</v>
      </c>
    </row>
    <row r="3966" spans="1:1">
      <c r="A3966" s="11">
        <v>3963</v>
      </c>
    </row>
    <row r="3967" spans="1:1">
      <c r="A3967" s="11">
        <v>3964</v>
      </c>
    </row>
    <row r="3968" spans="1:1">
      <c r="A3968" s="11">
        <v>3965</v>
      </c>
    </row>
    <row r="3969" spans="1:1">
      <c r="A3969" s="11">
        <v>3966</v>
      </c>
    </row>
    <row r="3970" spans="1:1">
      <c r="A3970" s="11">
        <v>3967</v>
      </c>
    </row>
    <row r="3971" spans="1:1">
      <c r="A3971" s="11">
        <v>3968</v>
      </c>
    </row>
    <row r="3972" spans="1:1">
      <c r="A3972" s="11">
        <v>3969</v>
      </c>
    </row>
    <row r="3973" spans="1:1">
      <c r="A3973" s="11">
        <v>3970</v>
      </c>
    </row>
    <row r="3974" spans="1:1">
      <c r="A3974" s="11">
        <v>3971</v>
      </c>
    </row>
    <row r="3975" spans="1:1">
      <c r="A3975" s="11">
        <v>3972</v>
      </c>
    </row>
    <row r="3976" spans="1:1">
      <c r="A3976" s="11">
        <v>3973</v>
      </c>
    </row>
    <row r="3977" spans="1:1">
      <c r="A3977" s="11">
        <v>3974</v>
      </c>
    </row>
    <row r="3978" spans="1:1">
      <c r="A3978" s="11">
        <v>3975</v>
      </c>
    </row>
    <row r="3979" spans="1:1">
      <c r="A3979" s="11">
        <v>3976</v>
      </c>
    </row>
    <row r="3980" spans="1:1">
      <c r="A3980" s="11">
        <v>3977</v>
      </c>
    </row>
    <row r="3981" spans="1:1">
      <c r="A3981" s="11">
        <v>3978</v>
      </c>
    </row>
    <row r="3982" spans="1:1">
      <c r="A3982" s="11">
        <v>3979</v>
      </c>
    </row>
    <row r="3983" spans="1:1">
      <c r="A3983" s="11">
        <v>3980</v>
      </c>
    </row>
    <row r="3984" spans="1:1">
      <c r="A3984" s="11">
        <v>3981</v>
      </c>
    </row>
    <row r="3985" spans="1:1">
      <c r="A3985" s="11">
        <v>3982</v>
      </c>
    </row>
    <row r="3986" spans="1:1">
      <c r="A3986" s="11">
        <v>3983</v>
      </c>
    </row>
    <row r="3987" spans="1:1">
      <c r="A3987" s="11">
        <v>3984</v>
      </c>
    </row>
    <row r="3988" spans="1:1">
      <c r="A3988" s="11">
        <v>3985</v>
      </c>
    </row>
    <row r="3989" spans="1:1">
      <c r="A3989" s="11">
        <v>3986</v>
      </c>
    </row>
    <row r="3990" spans="1:1">
      <c r="A3990" s="11">
        <v>3987</v>
      </c>
    </row>
    <row r="3991" spans="1:1">
      <c r="A3991" s="11">
        <v>3988</v>
      </c>
    </row>
    <row r="3992" spans="1:1">
      <c r="A3992" s="11">
        <v>3989</v>
      </c>
    </row>
    <row r="3993" spans="1:1">
      <c r="A3993" s="11">
        <v>3990</v>
      </c>
    </row>
    <row r="3994" spans="1:1">
      <c r="A3994" s="11">
        <v>3991</v>
      </c>
    </row>
    <row r="3995" spans="1:1">
      <c r="A3995" s="11">
        <v>3992</v>
      </c>
    </row>
    <row r="3996" spans="1:1">
      <c r="A3996" s="11">
        <v>3993</v>
      </c>
    </row>
    <row r="3997" spans="1:1">
      <c r="A3997" s="11">
        <v>3994</v>
      </c>
    </row>
    <row r="3998" spans="1:1">
      <c r="A3998" s="11">
        <v>3995</v>
      </c>
    </row>
    <row r="3999" spans="1:1">
      <c r="A3999" s="11">
        <v>3996</v>
      </c>
    </row>
    <row r="4000" spans="1:1">
      <c r="A4000" s="11">
        <v>3997</v>
      </c>
    </row>
    <row r="4001" spans="1:1">
      <c r="A4001" s="11">
        <v>3998</v>
      </c>
    </row>
    <row r="4002" spans="1:1">
      <c r="A4002" s="11">
        <v>3999</v>
      </c>
    </row>
    <row r="4003" spans="1:1">
      <c r="A4003" s="11">
        <v>4000</v>
      </c>
    </row>
    <row r="4004" spans="1:1">
      <c r="A4004" s="11">
        <v>4001</v>
      </c>
    </row>
    <row r="4005" spans="1:1">
      <c r="A4005" s="11">
        <v>4002</v>
      </c>
    </row>
    <row r="4006" spans="1:1">
      <c r="A4006" s="11">
        <v>4003</v>
      </c>
    </row>
    <row r="4007" spans="1:1">
      <c r="A4007" s="11">
        <v>4004</v>
      </c>
    </row>
    <row r="4008" spans="1:1">
      <c r="A4008" s="11">
        <v>4005</v>
      </c>
    </row>
    <row r="4009" spans="1:1">
      <c r="A4009" s="11">
        <v>4006</v>
      </c>
    </row>
    <row r="4010" spans="1:1">
      <c r="A4010" s="11">
        <v>4007</v>
      </c>
    </row>
    <row r="4011" spans="1:1">
      <c r="A4011" s="11">
        <v>4008</v>
      </c>
    </row>
    <row r="4012" spans="1:1">
      <c r="A4012" s="11">
        <v>4009</v>
      </c>
    </row>
    <row r="4013" spans="1:1">
      <c r="A4013" s="11">
        <v>4010</v>
      </c>
    </row>
    <row r="4014" spans="1:1">
      <c r="A4014" s="11">
        <v>4011</v>
      </c>
    </row>
    <row r="4015" spans="1:1">
      <c r="A4015" s="11">
        <v>4012</v>
      </c>
    </row>
    <row r="4016" spans="1:1">
      <c r="A4016" s="11">
        <v>4013</v>
      </c>
    </row>
    <row r="4017" spans="1:1">
      <c r="A4017" s="11">
        <v>4014</v>
      </c>
    </row>
    <row r="4018" spans="1:1">
      <c r="A4018" s="11">
        <v>4015</v>
      </c>
    </row>
    <row r="4019" spans="1:1">
      <c r="A4019" s="11">
        <v>4016</v>
      </c>
    </row>
    <row r="4020" spans="1:1">
      <c r="A4020" s="11">
        <v>4017</v>
      </c>
    </row>
    <row r="4021" spans="1:1">
      <c r="A4021" s="11">
        <v>4018</v>
      </c>
    </row>
    <row r="4022" spans="1:1">
      <c r="A4022" s="11">
        <v>4019</v>
      </c>
    </row>
    <row r="4023" spans="1:1">
      <c r="A4023" s="11">
        <v>4020</v>
      </c>
    </row>
    <row r="4024" spans="1:1">
      <c r="A4024" s="11">
        <v>4021</v>
      </c>
    </row>
    <row r="4025" spans="1:1">
      <c r="A4025" s="11">
        <v>4022</v>
      </c>
    </row>
    <row r="4026" spans="1:1">
      <c r="A4026" s="11">
        <v>4023</v>
      </c>
    </row>
    <row r="4027" spans="1:1">
      <c r="A4027" s="11">
        <v>4024</v>
      </c>
    </row>
    <row r="4028" spans="1:1">
      <c r="A4028" s="11">
        <v>4025</v>
      </c>
    </row>
    <row r="4029" spans="1:1">
      <c r="A4029" s="11">
        <v>4026</v>
      </c>
    </row>
    <row r="4030" spans="1:1">
      <c r="A4030" s="11">
        <v>4027</v>
      </c>
    </row>
    <row r="4031" spans="1:1">
      <c r="A4031" s="11">
        <v>4028</v>
      </c>
    </row>
    <row r="4032" spans="1:1">
      <c r="A4032" s="11">
        <v>4029</v>
      </c>
    </row>
    <row r="4033" spans="1:1">
      <c r="A4033" s="11">
        <v>4030</v>
      </c>
    </row>
    <row r="4034" spans="1:1">
      <c r="A4034" s="11">
        <v>4031</v>
      </c>
    </row>
    <row r="4035" spans="1:1">
      <c r="A4035" s="11">
        <v>4032</v>
      </c>
    </row>
    <row r="4036" spans="1:1">
      <c r="A4036" s="11">
        <v>4033</v>
      </c>
    </row>
    <row r="4037" spans="1:1">
      <c r="A4037" s="11">
        <v>4034</v>
      </c>
    </row>
    <row r="4038" spans="1:1">
      <c r="A4038" s="11">
        <v>4035</v>
      </c>
    </row>
    <row r="4039" spans="1:1">
      <c r="A4039" s="11">
        <v>4036</v>
      </c>
    </row>
    <row r="4040" spans="1:1">
      <c r="A4040" s="11">
        <v>4037</v>
      </c>
    </row>
    <row r="4041" spans="1:1">
      <c r="A4041" s="11">
        <v>4038</v>
      </c>
    </row>
    <row r="4042" spans="1:1">
      <c r="A4042" s="11">
        <v>4039</v>
      </c>
    </row>
    <row r="4043" spans="1:1">
      <c r="A4043" s="11">
        <v>4040</v>
      </c>
    </row>
    <row r="4044" spans="1:1">
      <c r="A4044" s="11">
        <v>4041</v>
      </c>
    </row>
    <row r="4045" spans="1:1">
      <c r="A4045" s="11">
        <v>4042</v>
      </c>
    </row>
    <row r="4046" spans="1:1">
      <c r="A4046" s="11">
        <v>4043</v>
      </c>
    </row>
    <row r="4047" spans="1:1">
      <c r="A4047" s="11">
        <v>4044</v>
      </c>
    </row>
    <row r="4048" spans="1:1">
      <c r="A4048" s="11">
        <v>4045</v>
      </c>
    </row>
    <row r="4049" spans="1:1">
      <c r="A4049" s="11">
        <v>4046</v>
      </c>
    </row>
    <row r="4050" spans="1:1">
      <c r="A4050" s="11">
        <v>4047</v>
      </c>
    </row>
    <row r="4051" spans="1:1">
      <c r="A4051" s="11">
        <v>4048</v>
      </c>
    </row>
    <row r="4052" spans="1:1">
      <c r="A4052" s="11">
        <v>4049</v>
      </c>
    </row>
    <row r="4053" spans="1:1">
      <c r="A4053" s="11">
        <v>4050</v>
      </c>
    </row>
    <row r="4054" spans="1:1">
      <c r="A4054" s="11">
        <v>4051</v>
      </c>
    </row>
    <row r="4055" spans="1:1">
      <c r="A4055" s="11">
        <v>4052</v>
      </c>
    </row>
    <row r="4056" spans="1:1">
      <c r="A4056" s="11">
        <v>4053</v>
      </c>
    </row>
    <row r="4057" spans="1:1">
      <c r="A4057" s="11">
        <v>4054</v>
      </c>
    </row>
    <row r="4058" spans="1:1">
      <c r="A4058" s="11">
        <v>4055</v>
      </c>
    </row>
    <row r="4059" spans="1:1">
      <c r="A4059" s="11">
        <v>4056</v>
      </c>
    </row>
    <row r="4060" spans="1:1">
      <c r="A4060" s="11">
        <v>4057</v>
      </c>
    </row>
    <row r="4061" spans="1:1">
      <c r="A4061" s="11">
        <v>4058</v>
      </c>
    </row>
    <row r="4062" spans="1:1">
      <c r="A4062" s="11">
        <v>4059</v>
      </c>
    </row>
    <row r="4063" spans="1:1">
      <c r="A4063" s="11">
        <v>4060</v>
      </c>
    </row>
    <row r="4064" spans="1:1">
      <c r="A4064" s="11">
        <v>4061</v>
      </c>
    </row>
    <row r="4065" spans="1:1">
      <c r="A4065" s="11">
        <v>4062</v>
      </c>
    </row>
    <row r="4066" spans="1:1">
      <c r="A4066" s="11">
        <v>4063</v>
      </c>
    </row>
    <row r="4067" spans="1:1">
      <c r="A4067" s="11">
        <v>4064</v>
      </c>
    </row>
    <row r="4068" spans="1:1">
      <c r="A4068" s="11">
        <v>4065</v>
      </c>
    </row>
    <row r="4069" spans="1:1">
      <c r="A4069" s="11">
        <v>4066</v>
      </c>
    </row>
    <row r="4070" spans="1:1">
      <c r="A4070" s="11">
        <v>4067</v>
      </c>
    </row>
    <row r="4071" spans="1:1">
      <c r="A4071" s="11">
        <v>4068</v>
      </c>
    </row>
    <row r="4072" spans="1:1">
      <c r="A4072" s="11">
        <v>4069</v>
      </c>
    </row>
    <row r="4073" spans="1:1">
      <c r="A4073" s="11">
        <v>4070</v>
      </c>
    </row>
    <row r="4074" spans="1:1">
      <c r="A4074" s="11">
        <v>4071</v>
      </c>
    </row>
    <row r="4075" spans="1:1">
      <c r="A4075" s="11">
        <v>4072</v>
      </c>
    </row>
    <row r="4076" spans="1:1">
      <c r="A4076" s="11">
        <v>4073</v>
      </c>
    </row>
    <row r="4077" spans="1:1">
      <c r="A4077" s="11">
        <v>4074</v>
      </c>
    </row>
    <row r="4078" spans="1:1">
      <c r="A4078" s="11">
        <v>4075</v>
      </c>
    </row>
    <row r="4079" spans="1:1">
      <c r="A4079" s="11">
        <v>4076</v>
      </c>
    </row>
    <row r="4080" spans="1:1">
      <c r="A4080" s="11">
        <v>4077</v>
      </c>
    </row>
    <row r="4081" spans="1:1">
      <c r="A4081" s="11">
        <v>4078</v>
      </c>
    </row>
    <row r="4082" spans="1:1">
      <c r="A4082" s="11">
        <v>4079</v>
      </c>
    </row>
    <row r="4083" spans="1:1">
      <c r="A4083" s="11">
        <v>4080</v>
      </c>
    </row>
    <row r="4084" spans="1:1">
      <c r="A4084" s="11">
        <v>4081</v>
      </c>
    </row>
    <row r="4085" spans="1:1">
      <c r="A4085" s="11">
        <v>4082</v>
      </c>
    </row>
    <row r="4086" spans="1:1">
      <c r="A4086" s="11">
        <v>4083</v>
      </c>
    </row>
    <row r="4087" spans="1:1">
      <c r="A4087" s="11">
        <v>4084</v>
      </c>
    </row>
    <row r="4088" spans="1:1">
      <c r="A4088" s="11">
        <v>4085</v>
      </c>
    </row>
    <row r="4089" spans="1:1">
      <c r="A4089" s="11">
        <v>4086</v>
      </c>
    </row>
    <row r="4090" spans="1:1">
      <c r="A4090" s="11">
        <v>4087</v>
      </c>
    </row>
    <row r="4091" spans="1:1">
      <c r="A4091" s="11">
        <v>4088</v>
      </c>
    </row>
    <row r="4092" spans="1:1">
      <c r="A4092" s="11">
        <v>4089</v>
      </c>
    </row>
    <row r="4093" spans="1:1">
      <c r="A4093" s="11">
        <v>4090</v>
      </c>
    </row>
    <row r="4094" spans="1:1">
      <c r="A4094" s="11">
        <v>4091</v>
      </c>
    </row>
    <row r="4095" spans="1:1">
      <c r="A4095" s="11">
        <v>4092</v>
      </c>
    </row>
    <row r="4096" spans="1:1">
      <c r="A4096" s="11">
        <v>4093</v>
      </c>
    </row>
    <row r="4097" spans="1:1">
      <c r="A4097" s="11">
        <v>4094</v>
      </c>
    </row>
    <row r="4098" spans="1:1">
      <c r="A4098" s="11">
        <v>4095</v>
      </c>
    </row>
    <row r="4099" spans="1:1">
      <c r="A4099" s="11">
        <v>4096</v>
      </c>
    </row>
    <row r="4100" spans="1:1">
      <c r="A4100" s="11">
        <v>4097</v>
      </c>
    </row>
    <row r="4101" spans="1:1">
      <c r="A4101" s="11">
        <v>4098</v>
      </c>
    </row>
    <row r="4102" spans="1:1">
      <c r="A4102" s="11">
        <v>4099</v>
      </c>
    </row>
    <row r="4103" spans="1:1">
      <c r="A4103" s="11">
        <v>4100</v>
      </c>
    </row>
    <row r="4104" spans="1:1">
      <c r="A4104" s="11">
        <v>4101</v>
      </c>
    </row>
    <row r="4105" spans="1:1">
      <c r="A4105" s="11">
        <v>4102</v>
      </c>
    </row>
    <row r="4106" spans="1:1">
      <c r="A4106" s="11">
        <v>4103</v>
      </c>
    </row>
    <row r="4107" spans="1:1">
      <c r="A4107" s="11">
        <v>4104</v>
      </c>
    </row>
    <row r="4108" spans="1:1">
      <c r="A4108" s="11">
        <v>4105</v>
      </c>
    </row>
    <row r="4109" spans="1:1">
      <c r="A4109" s="11">
        <v>4106</v>
      </c>
    </row>
    <row r="4110" spans="1:1">
      <c r="A4110" s="11">
        <v>4107</v>
      </c>
    </row>
    <row r="4111" spans="1:1">
      <c r="A4111" s="11">
        <v>4108</v>
      </c>
    </row>
    <row r="4112" spans="1:1">
      <c r="A4112" s="11">
        <v>4109</v>
      </c>
    </row>
    <row r="4113" spans="1:1">
      <c r="A4113" s="11">
        <v>4110</v>
      </c>
    </row>
    <row r="4114" spans="1:1">
      <c r="A4114" s="11">
        <v>4111</v>
      </c>
    </row>
    <row r="4115" spans="1:1">
      <c r="A4115" s="11">
        <v>4112</v>
      </c>
    </row>
    <row r="4116" spans="1:1">
      <c r="A4116" s="11">
        <v>4113</v>
      </c>
    </row>
    <row r="4117" spans="1:1">
      <c r="A4117" s="11">
        <v>4114</v>
      </c>
    </row>
    <row r="4118" spans="1:1">
      <c r="A4118" s="11">
        <v>4115</v>
      </c>
    </row>
    <row r="4119" spans="1:1">
      <c r="A4119" s="11">
        <v>4116</v>
      </c>
    </row>
    <row r="4120" spans="1:1">
      <c r="A4120" s="11">
        <v>4117</v>
      </c>
    </row>
    <row r="4121" spans="1:1">
      <c r="A4121" s="11">
        <v>4118</v>
      </c>
    </row>
    <row r="4122" spans="1:1">
      <c r="A4122" s="11">
        <v>4119</v>
      </c>
    </row>
    <row r="4123" spans="1:1">
      <c r="A4123" s="11">
        <v>4120</v>
      </c>
    </row>
    <row r="4124" spans="1:1">
      <c r="A4124" s="11">
        <v>4121</v>
      </c>
    </row>
    <row r="4125" spans="1:1">
      <c r="A4125" s="11">
        <v>4122</v>
      </c>
    </row>
    <row r="4126" spans="1:1">
      <c r="A4126" s="11">
        <v>4123</v>
      </c>
    </row>
    <row r="4127" spans="1:1">
      <c r="A4127" s="11">
        <v>4124</v>
      </c>
    </row>
    <row r="4128" spans="1:1">
      <c r="A4128" s="11">
        <v>4125</v>
      </c>
    </row>
    <row r="4129" spans="1:1">
      <c r="A4129" s="11">
        <v>4126</v>
      </c>
    </row>
    <row r="4130" spans="1:1">
      <c r="A4130" s="11">
        <v>4127</v>
      </c>
    </row>
    <row r="4131" spans="1:1">
      <c r="A4131" s="11">
        <v>4128</v>
      </c>
    </row>
    <row r="4132" spans="1:1">
      <c r="A4132" s="11">
        <v>4129</v>
      </c>
    </row>
    <row r="4133" spans="1:1">
      <c r="A4133" s="11">
        <v>4130</v>
      </c>
    </row>
    <row r="4134" spans="1:1">
      <c r="A4134" s="11">
        <v>4131</v>
      </c>
    </row>
    <row r="4135" spans="1:1">
      <c r="A4135" s="11">
        <v>4132</v>
      </c>
    </row>
    <row r="4136" spans="1:1">
      <c r="A4136" s="11">
        <v>4133</v>
      </c>
    </row>
    <row r="4137" spans="1:1">
      <c r="A4137" s="11">
        <v>4134</v>
      </c>
    </row>
    <row r="4138" spans="1:1">
      <c r="A4138" s="11">
        <v>4135</v>
      </c>
    </row>
    <row r="4139" spans="1:1">
      <c r="A4139" s="11">
        <v>4136</v>
      </c>
    </row>
    <row r="4140" spans="1:1">
      <c r="A4140" s="11">
        <v>4137</v>
      </c>
    </row>
    <row r="4141" spans="1:1">
      <c r="A4141" s="11">
        <v>4138</v>
      </c>
    </row>
    <row r="4142" spans="1:1">
      <c r="A4142" s="11">
        <v>4139</v>
      </c>
    </row>
    <row r="4143" spans="1:1">
      <c r="A4143" s="11">
        <v>4140</v>
      </c>
    </row>
    <row r="4144" spans="1:1">
      <c r="A4144" s="11">
        <v>4141</v>
      </c>
    </row>
    <row r="4145" spans="1:1">
      <c r="A4145" s="11">
        <v>4142</v>
      </c>
    </row>
    <row r="4146" spans="1:1">
      <c r="A4146" s="11">
        <v>4143</v>
      </c>
    </row>
    <row r="4147" spans="1:1">
      <c r="A4147" s="11">
        <v>4144</v>
      </c>
    </row>
    <row r="4148" spans="1:1">
      <c r="A4148" s="11">
        <v>4145</v>
      </c>
    </row>
    <row r="4149" spans="1:1">
      <c r="A4149" s="11">
        <v>4146</v>
      </c>
    </row>
    <row r="4150" spans="1:1">
      <c r="A4150" s="11">
        <v>4147</v>
      </c>
    </row>
    <row r="4151" spans="1:1">
      <c r="A4151" s="11">
        <v>4148</v>
      </c>
    </row>
    <row r="4152" spans="1:1">
      <c r="A4152" s="11">
        <v>4149</v>
      </c>
    </row>
    <row r="4153" spans="1:1">
      <c r="A4153" s="11">
        <v>4150</v>
      </c>
    </row>
    <row r="4154" spans="1:1">
      <c r="A4154" s="11">
        <v>4151</v>
      </c>
    </row>
    <row r="4155" spans="1:1">
      <c r="A4155" s="11">
        <v>4152</v>
      </c>
    </row>
    <row r="4156" spans="1:1">
      <c r="A4156" s="11">
        <v>4153</v>
      </c>
    </row>
    <row r="4157" spans="1:1">
      <c r="A4157" s="11">
        <v>4154</v>
      </c>
    </row>
    <row r="4158" spans="1:1">
      <c r="A4158" s="11">
        <v>4155</v>
      </c>
    </row>
    <row r="4159" spans="1:1">
      <c r="A4159" s="11">
        <v>4156</v>
      </c>
    </row>
    <row r="4160" spans="1:1">
      <c r="A4160" s="11">
        <v>4157</v>
      </c>
    </row>
    <row r="4161" spans="1:1">
      <c r="A4161" s="11">
        <v>4158</v>
      </c>
    </row>
    <row r="4162" spans="1:1">
      <c r="A4162" s="11">
        <v>4159</v>
      </c>
    </row>
    <row r="4163" spans="1:1">
      <c r="A4163" s="11">
        <v>4160</v>
      </c>
    </row>
    <row r="4164" spans="1:1">
      <c r="A4164" s="11">
        <v>4161</v>
      </c>
    </row>
    <row r="4165" spans="1:1">
      <c r="A4165" s="11">
        <v>4162</v>
      </c>
    </row>
    <row r="4166" spans="1:1">
      <c r="A4166" s="11">
        <v>4163</v>
      </c>
    </row>
    <row r="4167" spans="1:1">
      <c r="A4167" s="11">
        <v>4164</v>
      </c>
    </row>
    <row r="4168" spans="1:1">
      <c r="A4168" s="11">
        <v>4165</v>
      </c>
    </row>
    <row r="4169" spans="1:1">
      <c r="A4169" s="11">
        <v>4166</v>
      </c>
    </row>
    <row r="4170" spans="1:1">
      <c r="A4170" s="11">
        <v>4167</v>
      </c>
    </row>
    <row r="4171" spans="1:1">
      <c r="A4171" s="11">
        <v>4168</v>
      </c>
    </row>
    <row r="4172" spans="1:1">
      <c r="A4172" s="11">
        <v>4169</v>
      </c>
    </row>
    <row r="4173" spans="1:1">
      <c r="A4173" s="11">
        <v>4170</v>
      </c>
    </row>
    <row r="4174" spans="1:1">
      <c r="A4174" s="11">
        <v>4171</v>
      </c>
    </row>
    <row r="4175" spans="1:1">
      <c r="A4175" s="11">
        <v>4172</v>
      </c>
    </row>
    <row r="4176" spans="1:1">
      <c r="A4176" s="11">
        <v>4173</v>
      </c>
    </row>
    <row r="4177" spans="1:1">
      <c r="A4177" s="11">
        <v>4174</v>
      </c>
    </row>
    <row r="4178" spans="1:1">
      <c r="A4178" s="11">
        <v>4175</v>
      </c>
    </row>
    <row r="4179" spans="1:1">
      <c r="A4179" s="11">
        <v>4176</v>
      </c>
    </row>
    <row r="4180" spans="1:1">
      <c r="A4180" s="11">
        <v>4177</v>
      </c>
    </row>
    <row r="4181" spans="1:1">
      <c r="A4181" s="11">
        <v>4178</v>
      </c>
    </row>
    <row r="4182" spans="1:1">
      <c r="A4182" s="11">
        <v>4179</v>
      </c>
    </row>
    <row r="4183" spans="1:1">
      <c r="A4183" s="11">
        <v>4180</v>
      </c>
    </row>
    <row r="4184" spans="1:1">
      <c r="A4184" s="11">
        <v>4181</v>
      </c>
    </row>
    <row r="4185" spans="1:1">
      <c r="A4185" s="11">
        <v>4182</v>
      </c>
    </row>
    <row r="4186" spans="1:1">
      <c r="A4186" s="11">
        <v>4183</v>
      </c>
    </row>
    <row r="4187" spans="1:1">
      <c r="A4187" s="11">
        <v>4184</v>
      </c>
    </row>
    <row r="4188" spans="1:1">
      <c r="A4188" s="11">
        <v>4185</v>
      </c>
    </row>
    <row r="4189" spans="1:1">
      <c r="A4189" s="11">
        <v>4186</v>
      </c>
    </row>
    <row r="4190" spans="1:1">
      <c r="A4190" s="11">
        <v>4187</v>
      </c>
    </row>
    <row r="4191" spans="1:1">
      <c r="A4191" s="11">
        <v>4188</v>
      </c>
    </row>
    <row r="4192" spans="1:1">
      <c r="A4192" s="11">
        <v>4189</v>
      </c>
    </row>
    <row r="4193" spans="1:1">
      <c r="A4193" s="11">
        <v>4190</v>
      </c>
    </row>
    <row r="4194" spans="1:1">
      <c r="A4194" s="11">
        <v>4191</v>
      </c>
    </row>
    <row r="4195" spans="1:1">
      <c r="A4195" s="11">
        <v>4192</v>
      </c>
    </row>
    <row r="4196" spans="1:1">
      <c r="A4196" s="11">
        <v>4193</v>
      </c>
    </row>
    <row r="4197" spans="1:1">
      <c r="A4197" s="11">
        <v>4194</v>
      </c>
    </row>
    <row r="4198" spans="1:1">
      <c r="A4198" s="11">
        <v>4195</v>
      </c>
    </row>
    <row r="4199" spans="1:1">
      <c r="A4199" s="11">
        <v>4196</v>
      </c>
    </row>
    <row r="4200" spans="1:1">
      <c r="A4200" s="11">
        <v>4197</v>
      </c>
    </row>
    <row r="4201" spans="1:1">
      <c r="A4201" s="11">
        <v>4198</v>
      </c>
    </row>
    <row r="4202" spans="1:1">
      <c r="A4202" s="11">
        <v>4199</v>
      </c>
    </row>
    <row r="4203" spans="1:1">
      <c r="A4203" s="11">
        <v>4200</v>
      </c>
    </row>
    <row r="4204" spans="1:1">
      <c r="A4204" s="11">
        <v>4201</v>
      </c>
    </row>
    <row r="4205" spans="1:1">
      <c r="A4205" s="11">
        <v>4202</v>
      </c>
    </row>
    <row r="4206" spans="1:1">
      <c r="A4206" s="11">
        <v>4203</v>
      </c>
    </row>
    <row r="4207" spans="1:1">
      <c r="A4207" s="11">
        <v>4204</v>
      </c>
    </row>
    <row r="4208" spans="1:1">
      <c r="A4208" s="11">
        <v>4205</v>
      </c>
    </row>
    <row r="4209" spans="1:1">
      <c r="A4209" s="11">
        <v>4206</v>
      </c>
    </row>
    <row r="4210" spans="1:1">
      <c r="A4210" s="11">
        <v>4207</v>
      </c>
    </row>
    <row r="4211" spans="1:1">
      <c r="A4211" s="11">
        <v>4208</v>
      </c>
    </row>
    <row r="4212" spans="1:1">
      <c r="A4212" s="11">
        <v>4209</v>
      </c>
    </row>
    <row r="4213" spans="1:1">
      <c r="A4213" s="11">
        <v>4210</v>
      </c>
    </row>
    <row r="4214" spans="1:1">
      <c r="A4214" s="11">
        <v>4211</v>
      </c>
    </row>
    <row r="4215" spans="1:1">
      <c r="A4215" s="11">
        <v>4212</v>
      </c>
    </row>
    <row r="4216" spans="1:1">
      <c r="A4216" s="11">
        <v>4213</v>
      </c>
    </row>
    <row r="4217" spans="1:1">
      <c r="A4217" s="11">
        <v>4214</v>
      </c>
    </row>
    <row r="4218" spans="1:1">
      <c r="A4218" s="11">
        <v>4215</v>
      </c>
    </row>
    <row r="4219" spans="1:1">
      <c r="A4219" s="11">
        <v>4216</v>
      </c>
    </row>
    <row r="4220" spans="1:1">
      <c r="A4220" s="11">
        <v>4217</v>
      </c>
    </row>
    <row r="4221" spans="1:1">
      <c r="A4221" s="11">
        <v>4218</v>
      </c>
    </row>
    <row r="4222" spans="1:1">
      <c r="A4222" s="11">
        <v>4219</v>
      </c>
    </row>
    <row r="4223" spans="1:1">
      <c r="A4223" s="11">
        <v>4220</v>
      </c>
    </row>
    <row r="4224" spans="1:1">
      <c r="A4224" s="11">
        <v>4221</v>
      </c>
    </row>
    <row r="4225" spans="1:1">
      <c r="A4225" s="11">
        <v>4222</v>
      </c>
    </row>
    <row r="4226" spans="1:1">
      <c r="A4226" s="11">
        <v>4223</v>
      </c>
    </row>
    <row r="4227" spans="1:1">
      <c r="A4227" s="11">
        <v>4224</v>
      </c>
    </row>
    <row r="4228" spans="1:1">
      <c r="A4228" s="11">
        <v>4225</v>
      </c>
    </row>
    <row r="4229" spans="1:1">
      <c r="A4229" s="11">
        <v>4226</v>
      </c>
    </row>
    <row r="4230" spans="1:1">
      <c r="A4230" s="11">
        <v>4227</v>
      </c>
    </row>
    <row r="4231" spans="1:1">
      <c r="A4231" s="11">
        <v>4228</v>
      </c>
    </row>
    <row r="4232" spans="1:1">
      <c r="A4232" s="11">
        <v>4229</v>
      </c>
    </row>
    <row r="4233" spans="1:1">
      <c r="A4233" s="11">
        <v>4230</v>
      </c>
    </row>
    <row r="4234" spans="1:1">
      <c r="A4234" s="11">
        <v>4231</v>
      </c>
    </row>
    <row r="4235" spans="1:1">
      <c r="A4235" s="11">
        <v>4232</v>
      </c>
    </row>
    <row r="4236" spans="1:1">
      <c r="A4236" s="11">
        <v>4233</v>
      </c>
    </row>
    <row r="4237" spans="1:1">
      <c r="A4237" s="11">
        <v>4234</v>
      </c>
    </row>
    <row r="4238" spans="1:1">
      <c r="A4238" s="11">
        <v>4235</v>
      </c>
    </row>
    <row r="4239" spans="1:1">
      <c r="A4239" s="11">
        <v>4236</v>
      </c>
    </row>
    <row r="4240" spans="1:1">
      <c r="A4240" s="11">
        <v>4237</v>
      </c>
    </row>
    <row r="4241" spans="1:1">
      <c r="A4241" s="11">
        <v>4238</v>
      </c>
    </row>
    <row r="4242" spans="1:1">
      <c r="A4242" s="11">
        <v>4239</v>
      </c>
    </row>
    <row r="4243" spans="1:1">
      <c r="A4243" s="11">
        <v>4240</v>
      </c>
    </row>
    <row r="4244" spans="1:1">
      <c r="A4244" s="11">
        <v>4241</v>
      </c>
    </row>
    <row r="4245" spans="1:1">
      <c r="A4245" s="11">
        <v>4242</v>
      </c>
    </row>
    <row r="4246" spans="1:1">
      <c r="A4246" s="11">
        <v>4243</v>
      </c>
    </row>
    <row r="4247" spans="1:1">
      <c r="A4247" s="11">
        <v>4244</v>
      </c>
    </row>
    <row r="4248" spans="1:1">
      <c r="A4248" s="11">
        <v>4245</v>
      </c>
    </row>
    <row r="4249" spans="1:1">
      <c r="A4249" s="11">
        <v>4246</v>
      </c>
    </row>
    <row r="4250" spans="1:1">
      <c r="A4250" s="11">
        <v>4247</v>
      </c>
    </row>
    <row r="4251" spans="1:1">
      <c r="A4251" s="11">
        <v>4248</v>
      </c>
    </row>
    <row r="4252" spans="1:1">
      <c r="A4252" s="11">
        <v>4249</v>
      </c>
    </row>
    <row r="4253" spans="1:1">
      <c r="A4253" s="11">
        <v>4250</v>
      </c>
    </row>
    <row r="4254" spans="1:1">
      <c r="A4254" s="11">
        <v>4251</v>
      </c>
    </row>
    <row r="4255" spans="1:1">
      <c r="A4255" s="11">
        <v>4252</v>
      </c>
    </row>
    <row r="4256" spans="1:1">
      <c r="A4256" s="11">
        <v>4253</v>
      </c>
    </row>
    <row r="4257" spans="1:1">
      <c r="A4257" s="11">
        <v>4254</v>
      </c>
    </row>
    <row r="4258" spans="1:1">
      <c r="A4258" s="11">
        <v>4255</v>
      </c>
    </row>
    <row r="4259" spans="1:1">
      <c r="A4259" s="11">
        <v>4256</v>
      </c>
    </row>
    <row r="4260" spans="1:1">
      <c r="A4260" s="11">
        <v>4257</v>
      </c>
    </row>
    <row r="4261" spans="1:1">
      <c r="A4261" s="11">
        <v>4258</v>
      </c>
    </row>
    <row r="4262" spans="1:1">
      <c r="A4262" s="11">
        <v>4259</v>
      </c>
    </row>
    <row r="4263" spans="1:1">
      <c r="A4263" s="11">
        <v>4260</v>
      </c>
    </row>
    <row r="4264" spans="1:1">
      <c r="A4264" s="11">
        <v>4261</v>
      </c>
    </row>
    <row r="4265" spans="1:1">
      <c r="A4265" s="11">
        <v>4262</v>
      </c>
    </row>
    <row r="4266" spans="1:1">
      <c r="A4266" s="11">
        <v>4263</v>
      </c>
    </row>
    <row r="4267" spans="1:1">
      <c r="A4267" s="11">
        <v>4264</v>
      </c>
    </row>
    <row r="4268" spans="1:1">
      <c r="A4268" s="11">
        <v>4265</v>
      </c>
    </row>
    <row r="4269" spans="1:1">
      <c r="A4269" s="11">
        <v>4266</v>
      </c>
    </row>
    <row r="4270" spans="1:1">
      <c r="A4270" s="11">
        <v>4267</v>
      </c>
    </row>
    <row r="4271" spans="1:1">
      <c r="A4271" s="11">
        <v>4268</v>
      </c>
    </row>
    <row r="4272" spans="1:1">
      <c r="A4272" s="11">
        <v>4269</v>
      </c>
    </row>
    <row r="4273" spans="1:1">
      <c r="A4273" s="11">
        <v>4270</v>
      </c>
    </row>
    <row r="4274" spans="1:1">
      <c r="A4274" s="11">
        <v>4271</v>
      </c>
    </row>
    <row r="4275" spans="1:1">
      <c r="A4275" s="11">
        <v>4272</v>
      </c>
    </row>
    <row r="4276" spans="1:1">
      <c r="A4276" s="11">
        <v>4273</v>
      </c>
    </row>
    <row r="4277" spans="1:1">
      <c r="A4277" s="11">
        <v>4274</v>
      </c>
    </row>
    <row r="4278" spans="1:1">
      <c r="A4278" s="11">
        <v>4275</v>
      </c>
    </row>
    <row r="4279" spans="1:1">
      <c r="A4279" s="11">
        <v>4276</v>
      </c>
    </row>
    <row r="4280" spans="1:1">
      <c r="A4280" s="11">
        <v>4277</v>
      </c>
    </row>
    <row r="4281" spans="1:1">
      <c r="A4281" s="11">
        <v>4278</v>
      </c>
    </row>
    <row r="4282" spans="1:1">
      <c r="A4282" s="11">
        <v>4279</v>
      </c>
    </row>
    <row r="4283" spans="1:1">
      <c r="A4283" s="11">
        <v>4280</v>
      </c>
    </row>
    <row r="4284" spans="1:1">
      <c r="A4284" s="11">
        <v>4281</v>
      </c>
    </row>
    <row r="4285" spans="1:1">
      <c r="A4285" s="11">
        <v>4282</v>
      </c>
    </row>
    <row r="4286" spans="1:1">
      <c r="A4286" s="11">
        <v>4283</v>
      </c>
    </row>
    <row r="4287" spans="1:1">
      <c r="A4287" s="11">
        <v>4284</v>
      </c>
    </row>
    <row r="4288" spans="1:1">
      <c r="A4288" s="11">
        <v>4285</v>
      </c>
    </row>
    <row r="4289" spans="1:1">
      <c r="A4289" s="11">
        <v>4286</v>
      </c>
    </row>
    <row r="4290" spans="1:1">
      <c r="A4290" s="11">
        <v>4287</v>
      </c>
    </row>
    <row r="4291" spans="1:1">
      <c r="A4291" s="11">
        <v>4288</v>
      </c>
    </row>
    <row r="4292" spans="1:1">
      <c r="A4292" s="11">
        <v>4289</v>
      </c>
    </row>
    <row r="4293" spans="1:1">
      <c r="A4293" s="11">
        <v>4290</v>
      </c>
    </row>
    <row r="4294" spans="1:1">
      <c r="A4294" s="11">
        <v>4291</v>
      </c>
    </row>
    <row r="4295" spans="1:1">
      <c r="A4295" s="11">
        <v>4292</v>
      </c>
    </row>
    <row r="4296" spans="1:1">
      <c r="A4296" s="11">
        <v>4293</v>
      </c>
    </row>
    <row r="4297" spans="1:1">
      <c r="A4297" s="11">
        <v>4294</v>
      </c>
    </row>
    <row r="4298" spans="1:1">
      <c r="A4298" s="11">
        <v>4295</v>
      </c>
    </row>
    <row r="4299" spans="1:1">
      <c r="A4299" s="11">
        <v>4296</v>
      </c>
    </row>
    <row r="4300" spans="1:1">
      <c r="A4300" s="11">
        <v>4297</v>
      </c>
    </row>
    <row r="4301" spans="1:1">
      <c r="A4301" s="11">
        <v>4298</v>
      </c>
    </row>
    <row r="4302" spans="1:1">
      <c r="A4302" s="11">
        <v>4299</v>
      </c>
    </row>
    <row r="4303" spans="1:1">
      <c r="A4303" s="11">
        <v>4300</v>
      </c>
    </row>
    <row r="4304" spans="1:1">
      <c r="A4304" s="11">
        <v>4301</v>
      </c>
    </row>
    <row r="4305" spans="1:1">
      <c r="A4305" s="11">
        <v>4302</v>
      </c>
    </row>
    <row r="4306" spans="1:1">
      <c r="A4306" s="11">
        <v>4303</v>
      </c>
    </row>
    <row r="4307" spans="1:1">
      <c r="A4307" s="11">
        <v>4304</v>
      </c>
    </row>
    <row r="4308" spans="1:1">
      <c r="A4308" s="11">
        <v>4305</v>
      </c>
    </row>
    <row r="4309" spans="1:1">
      <c r="A4309" s="11">
        <v>4306</v>
      </c>
    </row>
    <row r="4310" spans="1:1">
      <c r="A4310" s="11">
        <v>4307</v>
      </c>
    </row>
    <row r="4311" spans="1:1">
      <c r="A4311" s="11">
        <v>4308</v>
      </c>
    </row>
    <row r="4312" spans="1:1">
      <c r="A4312" s="11">
        <v>4309</v>
      </c>
    </row>
    <row r="4313" spans="1:1">
      <c r="A4313" s="11">
        <v>4310</v>
      </c>
    </row>
    <row r="4314" spans="1:1">
      <c r="A4314" s="11">
        <v>4311</v>
      </c>
    </row>
    <row r="4315" spans="1:1">
      <c r="A4315" s="11">
        <v>4312</v>
      </c>
    </row>
    <row r="4316" spans="1:1">
      <c r="A4316" s="11">
        <v>4313</v>
      </c>
    </row>
    <row r="4317" spans="1:1">
      <c r="A4317" s="11">
        <v>4314</v>
      </c>
    </row>
    <row r="4318" spans="1:1">
      <c r="A4318" s="11">
        <v>4315</v>
      </c>
    </row>
    <row r="4319" spans="1:1">
      <c r="A4319" s="11">
        <v>4316</v>
      </c>
    </row>
    <row r="4320" spans="1:1">
      <c r="A4320" s="11">
        <v>4317</v>
      </c>
    </row>
    <row r="4321" spans="1:1">
      <c r="A4321" s="11">
        <v>4318</v>
      </c>
    </row>
    <row r="4322" spans="1:1">
      <c r="A4322" s="11">
        <v>4319</v>
      </c>
    </row>
    <row r="4323" spans="1:1">
      <c r="A4323" s="11">
        <v>4320</v>
      </c>
    </row>
    <row r="4324" spans="1:1">
      <c r="A4324" s="11">
        <v>4321</v>
      </c>
    </row>
    <row r="4325" spans="1:1">
      <c r="A4325" s="11">
        <v>4322</v>
      </c>
    </row>
    <row r="4326" spans="1:1">
      <c r="A4326" s="11">
        <v>4323</v>
      </c>
    </row>
    <row r="4327" spans="1:1">
      <c r="A4327" s="11">
        <v>4324</v>
      </c>
    </row>
    <row r="4328" spans="1:1">
      <c r="A4328" s="11">
        <v>4325</v>
      </c>
    </row>
    <row r="4329" spans="1:1">
      <c r="A4329" s="11">
        <v>4326</v>
      </c>
    </row>
    <row r="4330" spans="1:1">
      <c r="A4330" s="11">
        <v>4327</v>
      </c>
    </row>
    <row r="4331" spans="1:1">
      <c r="A4331" s="11">
        <v>4328</v>
      </c>
    </row>
    <row r="4332" spans="1:1">
      <c r="A4332" s="11">
        <v>4329</v>
      </c>
    </row>
    <row r="4333" spans="1:1">
      <c r="A4333" s="11">
        <v>4330</v>
      </c>
    </row>
    <row r="4334" spans="1:1">
      <c r="A4334" s="11">
        <v>4331</v>
      </c>
    </row>
    <row r="4335" spans="1:1">
      <c r="A4335" s="11">
        <v>4332</v>
      </c>
    </row>
    <row r="4336" spans="1:1">
      <c r="A4336" s="11">
        <v>4333</v>
      </c>
    </row>
    <row r="4337" spans="1:1">
      <c r="A4337" s="11">
        <v>4334</v>
      </c>
    </row>
    <row r="4338" spans="1:1">
      <c r="A4338" s="11">
        <v>4335</v>
      </c>
    </row>
    <row r="4339" spans="1:1">
      <c r="A4339" s="11">
        <v>4336</v>
      </c>
    </row>
    <row r="4340" spans="1:1">
      <c r="A4340" s="11">
        <v>4337</v>
      </c>
    </row>
    <row r="4341" spans="1:1">
      <c r="A4341" s="11">
        <v>4338</v>
      </c>
    </row>
    <row r="4342" spans="1:1">
      <c r="A4342" s="11">
        <v>4339</v>
      </c>
    </row>
    <row r="4343" spans="1:1">
      <c r="A4343" s="11">
        <v>4340</v>
      </c>
    </row>
    <row r="4344" spans="1:1">
      <c r="A4344" s="11">
        <v>4341</v>
      </c>
    </row>
    <row r="4345" spans="1:1">
      <c r="A4345" s="11">
        <v>4342</v>
      </c>
    </row>
    <row r="4346" spans="1:1">
      <c r="A4346" s="11">
        <v>4343</v>
      </c>
    </row>
    <row r="4347" spans="1:1">
      <c r="A4347" s="11">
        <v>4344</v>
      </c>
    </row>
    <row r="4348" spans="1:1">
      <c r="A4348" s="11">
        <v>4345</v>
      </c>
    </row>
    <row r="4349" spans="1:1">
      <c r="A4349" s="11">
        <v>4346</v>
      </c>
    </row>
    <row r="4350" spans="1:1">
      <c r="A4350" s="11">
        <v>4347</v>
      </c>
    </row>
    <row r="4351" spans="1:1">
      <c r="A4351" s="11">
        <v>4348</v>
      </c>
    </row>
    <row r="4352" spans="1:1">
      <c r="A4352" s="11">
        <v>4349</v>
      </c>
    </row>
    <row r="4353" spans="1:1">
      <c r="A4353" s="11">
        <v>4350</v>
      </c>
    </row>
    <row r="4354" spans="1:1">
      <c r="A4354" s="11">
        <v>4351</v>
      </c>
    </row>
    <row r="4355" spans="1:1">
      <c r="A4355" s="11">
        <v>4352</v>
      </c>
    </row>
    <row r="4356" spans="1:1">
      <c r="A4356" s="11">
        <v>4353</v>
      </c>
    </row>
    <row r="4357" spans="1:1">
      <c r="A4357" s="11">
        <v>4354</v>
      </c>
    </row>
    <row r="4358" spans="1:1">
      <c r="A4358" s="11">
        <v>4355</v>
      </c>
    </row>
    <row r="4359" spans="1:1">
      <c r="A4359" s="11">
        <v>4356</v>
      </c>
    </row>
    <row r="4360" spans="1:1">
      <c r="A4360" s="11">
        <v>4357</v>
      </c>
    </row>
    <row r="4361" spans="1:1">
      <c r="A4361" s="11">
        <v>4358</v>
      </c>
    </row>
    <row r="4362" spans="1:1">
      <c r="A4362" s="11">
        <v>4359</v>
      </c>
    </row>
    <row r="4363" spans="1:1">
      <c r="A4363" s="11">
        <v>4360</v>
      </c>
    </row>
    <row r="4364" spans="1:1">
      <c r="A4364" s="11">
        <v>4361</v>
      </c>
    </row>
    <row r="4365" spans="1:1">
      <c r="A4365" s="11">
        <v>4362</v>
      </c>
    </row>
    <row r="4366" spans="1:1">
      <c r="A4366" s="11">
        <v>4363</v>
      </c>
    </row>
    <row r="4367" spans="1:1">
      <c r="A4367" s="11">
        <v>4364</v>
      </c>
    </row>
    <row r="4368" spans="1:1">
      <c r="A4368" s="11">
        <v>4365</v>
      </c>
    </row>
    <row r="4369" spans="1:1">
      <c r="A4369" s="11">
        <v>4366</v>
      </c>
    </row>
    <row r="4370" spans="1:1">
      <c r="A4370" s="11">
        <v>4367</v>
      </c>
    </row>
    <row r="4371" spans="1:1">
      <c r="A4371" s="11">
        <v>4368</v>
      </c>
    </row>
    <row r="4372" spans="1:1">
      <c r="A4372" s="11">
        <v>4369</v>
      </c>
    </row>
    <row r="4373" spans="1:1">
      <c r="A4373" s="11">
        <v>4370</v>
      </c>
    </row>
    <row r="4374" spans="1:1">
      <c r="A4374" s="11">
        <v>4371</v>
      </c>
    </row>
    <row r="4375" spans="1:1">
      <c r="A4375" s="11">
        <v>4372</v>
      </c>
    </row>
    <row r="4376" spans="1:1">
      <c r="A4376" s="11">
        <v>4373</v>
      </c>
    </row>
    <row r="4377" spans="1:1">
      <c r="A4377" s="11">
        <v>4374</v>
      </c>
    </row>
    <row r="4378" spans="1:1">
      <c r="A4378" s="11">
        <v>4375</v>
      </c>
    </row>
    <row r="4379" spans="1:1">
      <c r="A4379" s="11">
        <v>4376</v>
      </c>
    </row>
    <row r="4380" spans="1:1">
      <c r="A4380" s="11">
        <v>4377</v>
      </c>
    </row>
    <row r="4381" spans="1:1">
      <c r="A4381" s="11">
        <v>4378</v>
      </c>
    </row>
    <row r="4382" spans="1:1">
      <c r="A4382" s="11">
        <v>4379</v>
      </c>
    </row>
    <row r="4383" spans="1:1">
      <c r="A4383" s="11">
        <v>4380</v>
      </c>
    </row>
    <row r="4384" spans="1:1">
      <c r="A4384" s="11">
        <v>4381</v>
      </c>
    </row>
    <row r="4385" spans="1:1">
      <c r="A4385" s="11">
        <v>4382</v>
      </c>
    </row>
    <row r="4386" spans="1:1">
      <c r="A4386" s="11">
        <v>4383</v>
      </c>
    </row>
    <row r="4387" spans="1:1">
      <c r="A4387" s="11">
        <v>4384</v>
      </c>
    </row>
    <row r="4388" spans="1:1">
      <c r="A4388" s="11">
        <v>4385</v>
      </c>
    </row>
    <row r="4389" spans="1:1">
      <c r="A4389" s="11">
        <v>4386</v>
      </c>
    </row>
    <row r="4390" spans="1:1">
      <c r="A4390" s="11">
        <v>4387</v>
      </c>
    </row>
    <row r="4391" spans="1:1">
      <c r="A4391" s="11">
        <v>4388</v>
      </c>
    </row>
    <row r="4392" spans="1:1">
      <c r="A4392" s="11">
        <v>4389</v>
      </c>
    </row>
    <row r="4393" spans="1:1">
      <c r="A4393" s="11">
        <v>4390</v>
      </c>
    </row>
    <row r="4394" spans="1:1">
      <c r="A4394" s="11">
        <v>4391</v>
      </c>
    </row>
    <row r="4395" spans="1:1">
      <c r="A4395" s="11">
        <v>4392</v>
      </c>
    </row>
    <row r="4396" spans="1:1">
      <c r="A4396" s="11">
        <v>4393</v>
      </c>
    </row>
    <row r="4397" spans="1:1">
      <c r="A4397" s="11">
        <v>4394</v>
      </c>
    </row>
    <row r="4398" spans="1:1">
      <c r="A4398" s="11">
        <v>4395</v>
      </c>
    </row>
    <row r="4399" spans="1:1">
      <c r="A4399" s="11">
        <v>4396</v>
      </c>
    </row>
    <row r="4400" spans="1:1">
      <c r="A4400" s="11">
        <v>4397</v>
      </c>
    </row>
    <row r="4401" spans="1:1">
      <c r="A4401" s="11">
        <v>4398</v>
      </c>
    </row>
    <row r="4402" spans="1:1">
      <c r="A4402" s="11">
        <v>4399</v>
      </c>
    </row>
    <row r="4403" spans="1:1">
      <c r="A4403" s="11">
        <v>4400</v>
      </c>
    </row>
    <row r="4404" spans="1:1">
      <c r="A4404" s="11">
        <v>4401</v>
      </c>
    </row>
    <row r="4405" spans="1:1">
      <c r="A4405" s="11">
        <v>4402</v>
      </c>
    </row>
    <row r="4406" spans="1:1">
      <c r="A4406" s="11">
        <v>4403</v>
      </c>
    </row>
    <row r="4407" spans="1:1">
      <c r="A4407" s="11">
        <v>4404</v>
      </c>
    </row>
    <row r="4408" spans="1:1">
      <c r="A4408" s="11">
        <v>4405</v>
      </c>
    </row>
    <row r="4409" spans="1:1">
      <c r="A4409" s="11">
        <v>4406</v>
      </c>
    </row>
    <row r="4410" spans="1:1">
      <c r="A4410" s="11">
        <v>4407</v>
      </c>
    </row>
    <row r="4411" spans="1:1">
      <c r="A4411" s="11">
        <v>4408</v>
      </c>
    </row>
    <row r="4412" spans="1:1">
      <c r="A4412" s="11">
        <v>4409</v>
      </c>
    </row>
    <row r="4413" spans="1:1">
      <c r="A4413" s="11">
        <v>4410</v>
      </c>
    </row>
    <row r="4414" spans="1:1">
      <c r="A4414" s="11">
        <v>4411</v>
      </c>
    </row>
    <row r="4415" spans="1:1">
      <c r="A4415" s="11">
        <v>4412</v>
      </c>
    </row>
    <row r="4416" spans="1:1">
      <c r="A4416" s="11">
        <v>4413</v>
      </c>
    </row>
    <row r="4417" spans="1:1">
      <c r="A4417" s="11">
        <v>4414</v>
      </c>
    </row>
    <row r="4418" spans="1:1">
      <c r="A4418" s="11">
        <v>4415</v>
      </c>
    </row>
    <row r="4419" spans="1:1">
      <c r="A4419" s="11">
        <v>4416</v>
      </c>
    </row>
    <row r="4420" spans="1:1">
      <c r="A4420" s="11">
        <v>4417</v>
      </c>
    </row>
    <row r="4421" spans="1:1">
      <c r="A4421" s="11">
        <v>4418</v>
      </c>
    </row>
    <row r="4422" spans="1:1">
      <c r="A4422" s="11">
        <v>4419</v>
      </c>
    </row>
    <row r="4423" spans="1:1">
      <c r="A4423" s="11">
        <v>4420</v>
      </c>
    </row>
    <row r="4424" spans="1:1">
      <c r="A4424" s="11">
        <v>4421</v>
      </c>
    </row>
    <row r="4425" spans="1:1">
      <c r="A4425" s="11">
        <v>4422</v>
      </c>
    </row>
    <row r="4426" spans="1:1">
      <c r="A4426" s="11">
        <v>4423</v>
      </c>
    </row>
    <row r="4427" spans="1:1">
      <c r="A4427" s="11">
        <v>4424</v>
      </c>
    </row>
    <row r="4428" spans="1:1">
      <c r="A4428" s="11">
        <v>4425</v>
      </c>
    </row>
    <row r="4429" spans="1:1">
      <c r="A4429" s="11">
        <v>4426</v>
      </c>
    </row>
    <row r="4430" spans="1:1">
      <c r="A4430" s="11">
        <v>4427</v>
      </c>
    </row>
    <row r="4431" spans="1:1">
      <c r="A4431" s="11">
        <v>4428</v>
      </c>
    </row>
    <row r="4432" spans="1:1">
      <c r="A4432" s="11">
        <v>4429</v>
      </c>
    </row>
    <row r="4433" spans="1:1">
      <c r="A4433" s="11">
        <v>4430</v>
      </c>
    </row>
    <row r="4434" spans="1:1">
      <c r="A4434" s="11">
        <v>4431</v>
      </c>
    </row>
    <row r="4435" spans="1:1">
      <c r="A4435" s="11">
        <v>4432</v>
      </c>
    </row>
    <row r="4436" spans="1:1">
      <c r="A4436" s="11">
        <v>4433</v>
      </c>
    </row>
    <row r="4437" spans="1:1">
      <c r="A4437" s="11">
        <v>4434</v>
      </c>
    </row>
    <row r="4438" spans="1:1">
      <c r="A4438" s="11">
        <v>4435</v>
      </c>
    </row>
    <row r="4439" spans="1:1">
      <c r="A4439" s="11">
        <v>4436</v>
      </c>
    </row>
    <row r="4440" spans="1:1">
      <c r="A4440" s="11">
        <v>4437</v>
      </c>
    </row>
    <row r="4441" spans="1:1">
      <c r="A4441" s="11">
        <v>4438</v>
      </c>
    </row>
    <row r="4442" spans="1:1">
      <c r="A4442" s="11">
        <v>4439</v>
      </c>
    </row>
    <row r="4443" spans="1:1">
      <c r="A4443" s="11">
        <v>4440</v>
      </c>
    </row>
    <row r="4444" spans="1:1">
      <c r="A4444" s="11">
        <v>4441</v>
      </c>
    </row>
    <row r="4445" spans="1:1">
      <c r="A4445" s="11">
        <v>4442</v>
      </c>
    </row>
    <row r="4446" spans="1:1">
      <c r="A4446" s="11">
        <v>4443</v>
      </c>
    </row>
    <row r="4447" spans="1:1">
      <c r="A4447" s="11">
        <v>4444</v>
      </c>
    </row>
    <row r="4448" spans="1:1">
      <c r="A4448" s="11">
        <v>4445</v>
      </c>
    </row>
    <row r="4449" spans="1:1">
      <c r="A4449" s="11">
        <v>4446</v>
      </c>
    </row>
    <row r="4450" spans="1:1">
      <c r="A4450" s="11">
        <v>4447</v>
      </c>
    </row>
    <row r="4451" spans="1:1">
      <c r="A4451" s="11">
        <v>4448</v>
      </c>
    </row>
    <row r="4452" spans="1:1">
      <c r="A4452" s="11">
        <v>4449</v>
      </c>
    </row>
    <row r="4453" spans="1:1">
      <c r="A4453" s="11">
        <v>4450</v>
      </c>
    </row>
    <row r="4454" spans="1:1">
      <c r="A4454" s="11">
        <v>4451</v>
      </c>
    </row>
    <row r="4455" spans="1:1">
      <c r="A4455" s="11">
        <v>4452</v>
      </c>
    </row>
    <row r="4456" spans="1:1">
      <c r="A4456" s="11">
        <v>4453</v>
      </c>
    </row>
    <row r="4457" spans="1:1">
      <c r="A4457" s="11">
        <v>4454</v>
      </c>
    </row>
    <row r="4458" spans="1:1">
      <c r="A4458" s="11">
        <v>4455</v>
      </c>
    </row>
    <row r="4459" spans="1:1">
      <c r="A4459" s="11">
        <v>4456</v>
      </c>
    </row>
    <row r="4460" spans="1:1">
      <c r="A4460" s="11">
        <v>4457</v>
      </c>
    </row>
    <row r="4461" spans="1:1">
      <c r="A4461" s="11">
        <v>4458</v>
      </c>
    </row>
    <row r="4462" spans="1:1">
      <c r="A4462" s="11">
        <v>4459</v>
      </c>
    </row>
    <row r="4463" spans="1:1">
      <c r="A4463" s="11">
        <v>4460</v>
      </c>
    </row>
    <row r="4464" spans="1:1">
      <c r="A4464" s="11">
        <v>4461</v>
      </c>
    </row>
    <row r="4465" spans="1:1">
      <c r="A4465" s="11">
        <v>4462</v>
      </c>
    </row>
    <row r="4466" spans="1:1">
      <c r="A4466" s="11">
        <v>4463</v>
      </c>
    </row>
    <row r="4467" spans="1:1">
      <c r="A4467" s="11">
        <v>4464</v>
      </c>
    </row>
    <row r="4468" spans="1:1">
      <c r="A4468" s="11">
        <v>4465</v>
      </c>
    </row>
    <row r="4469" spans="1:1">
      <c r="A4469" s="11">
        <v>4466</v>
      </c>
    </row>
    <row r="4470" spans="1:1">
      <c r="A4470" s="11">
        <v>4467</v>
      </c>
    </row>
    <row r="4471" spans="1:1">
      <c r="A4471" s="11">
        <v>4468</v>
      </c>
    </row>
    <row r="4472" spans="1:1">
      <c r="A4472" s="11">
        <v>4469</v>
      </c>
    </row>
    <row r="4473" spans="1:1">
      <c r="A4473" s="11">
        <v>4470</v>
      </c>
    </row>
    <row r="4474" spans="1:1">
      <c r="A4474" s="11">
        <v>4471</v>
      </c>
    </row>
    <row r="4475" spans="1:1">
      <c r="A4475" s="11">
        <v>4472</v>
      </c>
    </row>
    <row r="4476" spans="1:1">
      <c r="A4476" s="11">
        <v>4473</v>
      </c>
    </row>
    <row r="4477" spans="1:1">
      <c r="A4477" s="11">
        <v>4474</v>
      </c>
    </row>
    <row r="4478" spans="1:1">
      <c r="A4478" s="11">
        <v>4475</v>
      </c>
    </row>
    <row r="4479" spans="1:1">
      <c r="A4479" s="11">
        <v>4476</v>
      </c>
    </row>
    <row r="4480" spans="1:1">
      <c r="A4480" s="11">
        <v>4477</v>
      </c>
    </row>
    <row r="4481" spans="1:1">
      <c r="A4481" s="11">
        <v>4478</v>
      </c>
    </row>
    <row r="4482" spans="1:1">
      <c r="A4482" s="11">
        <v>4479</v>
      </c>
    </row>
    <row r="4483" spans="1:1">
      <c r="A4483" s="11">
        <v>4480</v>
      </c>
    </row>
    <row r="4484" spans="1:1">
      <c r="A4484" s="11">
        <v>4481</v>
      </c>
    </row>
    <row r="4485" spans="1:1">
      <c r="A4485" s="11">
        <v>4482</v>
      </c>
    </row>
    <row r="4486" spans="1:1">
      <c r="A4486" s="11">
        <v>4483</v>
      </c>
    </row>
    <row r="4487" spans="1:1">
      <c r="A4487" s="11">
        <v>4484</v>
      </c>
    </row>
    <row r="4488" spans="1:1">
      <c r="A4488" s="11">
        <v>4485</v>
      </c>
    </row>
    <row r="4489" spans="1:1">
      <c r="A4489" s="11">
        <v>4486</v>
      </c>
    </row>
    <row r="4490" spans="1:1">
      <c r="A4490" s="11">
        <v>4487</v>
      </c>
    </row>
    <row r="4491" spans="1:1">
      <c r="A4491" s="11">
        <v>4488</v>
      </c>
    </row>
    <row r="4492" spans="1:1">
      <c r="A4492" s="11">
        <v>4489</v>
      </c>
    </row>
    <row r="4493" spans="1:1">
      <c r="A4493" s="11">
        <v>4490</v>
      </c>
    </row>
    <row r="4494" spans="1:1">
      <c r="A4494" s="11">
        <v>4491</v>
      </c>
    </row>
    <row r="4495" spans="1:1">
      <c r="A4495" s="11">
        <v>4492</v>
      </c>
    </row>
    <row r="4496" spans="1:1">
      <c r="A4496" s="11">
        <v>4493</v>
      </c>
    </row>
    <row r="4497" spans="1:1">
      <c r="A4497" s="11">
        <v>4494</v>
      </c>
    </row>
    <row r="4498" spans="1:1">
      <c r="A4498" s="11">
        <v>4495</v>
      </c>
    </row>
    <row r="4499" spans="1:1">
      <c r="A4499" s="11">
        <v>4496</v>
      </c>
    </row>
    <row r="4500" spans="1:1">
      <c r="A4500" s="11">
        <v>4497</v>
      </c>
    </row>
    <row r="4501" spans="1:1">
      <c r="A4501" s="11">
        <v>4498</v>
      </c>
    </row>
    <row r="4502" spans="1:1">
      <c r="A4502" s="11">
        <v>4499</v>
      </c>
    </row>
    <row r="4503" spans="1:1">
      <c r="A4503" s="11">
        <v>4500</v>
      </c>
    </row>
    <row r="4504" spans="1:1">
      <c r="A4504" s="11">
        <v>4501</v>
      </c>
    </row>
    <row r="4505" spans="1:1">
      <c r="A4505" s="11">
        <v>4502</v>
      </c>
    </row>
    <row r="4506" spans="1:1">
      <c r="A4506" s="11">
        <v>4503</v>
      </c>
    </row>
    <row r="4507" spans="1:1">
      <c r="A4507" s="11">
        <v>4504</v>
      </c>
    </row>
    <row r="4508" spans="1:1">
      <c r="A4508" s="11">
        <v>4505</v>
      </c>
    </row>
    <row r="4509" spans="1:1">
      <c r="A4509" s="11">
        <v>4506</v>
      </c>
    </row>
    <row r="4510" spans="1:1">
      <c r="A4510" s="11">
        <v>4507</v>
      </c>
    </row>
    <row r="4511" spans="1:1">
      <c r="A4511" s="11">
        <v>4508</v>
      </c>
    </row>
    <row r="4512" spans="1:1">
      <c r="A4512" s="11">
        <v>4509</v>
      </c>
    </row>
    <row r="4513" spans="1:1">
      <c r="A4513" s="11">
        <v>4510</v>
      </c>
    </row>
    <row r="4514" spans="1:1">
      <c r="A4514" s="11">
        <v>4511</v>
      </c>
    </row>
    <row r="4515" spans="1:1">
      <c r="A4515" s="11">
        <v>4512</v>
      </c>
    </row>
    <row r="4516" spans="1:1">
      <c r="A4516" s="11">
        <v>4513</v>
      </c>
    </row>
    <row r="4517" spans="1:1">
      <c r="A4517" s="11">
        <v>4514</v>
      </c>
    </row>
    <row r="4518" spans="1:1">
      <c r="A4518" s="11">
        <v>4515</v>
      </c>
    </row>
    <row r="4519" spans="1:1">
      <c r="A4519" s="11">
        <v>4516</v>
      </c>
    </row>
    <row r="4520" spans="1:1">
      <c r="A4520" s="11">
        <v>4517</v>
      </c>
    </row>
    <row r="4521" spans="1:1">
      <c r="A4521" s="11">
        <v>4518</v>
      </c>
    </row>
    <row r="4522" spans="1:1">
      <c r="A4522" s="11">
        <v>4519</v>
      </c>
    </row>
    <row r="4523" spans="1:1">
      <c r="A4523" s="11">
        <v>4520</v>
      </c>
    </row>
    <row r="4524" spans="1:1">
      <c r="A4524" s="11">
        <v>4521</v>
      </c>
    </row>
    <row r="4525" spans="1:1">
      <c r="A4525" s="11">
        <v>4522</v>
      </c>
    </row>
    <row r="4526" spans="1:1">
      <c r="A4526" s="11">
        <v>4523</v>
      </c>
    </row>
    <row r="4527" spans="1:1">
      <c r="A4527" s="11">
        <v>4524</v>
      </c>
    </row>
    <row r="4528" spans="1:1">
      <c r="A4528" s="11">
        <v>4525</v>
      </c>
    </row>
    <row r="4529" spans="1:1">
      <c r="A4529" s="11">
        <v>4526</v>
      </c>
    </row>
    <row r="4530" spans="1:1">
      <c r="A4530" s="11">
        <v>4527</v>
      </c>
    </row>
    <row r="4531" spans="1:1">
      <c r="A4531" s="11">
        <v>4528</v>
      </c>
    </row>
    <row r="4532" spans="1:1">
      <c r="A4532" s="11">
        <v>4529</v>
      </c>
    </row>
    <row r="4533" spans="1:1">
      <c r="A4533" s="11">
        <v>4530</v>
      </c>
    </row>
    <row r="4534" spans="1:1">
      <c r="A4534" s="11">
        <v>4531</v>
      </c>
    </row>
    <row r="4535" spans="1:1">
      <c r="A4535" s="11">
        <v>4532</v>
      </c>
    </row>
    <row r="4536" spans="1:1">
      <c r="A4536" s="11">
        <v>4533</v>
      </c>
    </row>
    <row r="4537" spans="1:1">
      <c r="A4537" s="11">
        <v>4534</v>
      </c>
    </row>
    <row r="4538" spans="1:1">
      <c r="A4538" s="11">
        <v>4535</v>
      </c>
    </row>
    <row r="4539" spans="1:1">
      <c r="A4539" s="11">
        <v>4536</v>
      </c>
    </row>
    <row r="4540" spans="1:1">
      <c r="A4540" s="11">
        <v>4537</v>
      </c>
    </row>
    <row r="4541" spans="1:1">
      <c r="A4541" s="11">
        <v>4538</v>
      </c>
    </row>
    <row r="4542" spans="1:1">
      <c r="A4542" s="11">
        <v>4539</v>
      </c>
    </row>
    <row r="4543" spans="1:1">
      <c r="A4543" s="11">
        <v>4540</v>
      </c>
    </row>
    <row r="4544" spans="1:1">
      <c r="A4544" s="11">
        <v>4541</v>
      </c>
    </row>
    <row r="4545" spans="1:1">
      <c r="A4545" s="11">
        <v>4542</v>
      </c>
    </row>
    <row r="4546" spans="1:1">
      <c r="A4546" s="11">
        <v>4543</v>
      </c>
    </row>
    <row r="4547" spans="1:1">
      <c r="A4547" s="11">
        <v>4544</v>
      </c>
    </row>
    <row r="4548" spans="1:1">
      <c r="A4548" s="11">
        <v>4545</v>
      </c>
    </row>
    <row r="4549" spans="1:1">
      <c r="A4549" s="11">
        <v>4546</v>
      </c>
    </row>
    <row r="4550" spans="1:1">
      <c r="A4550" s="11">
        <v>4547</v>
      </c>
    </row>
    <row r="4551" spans="1:1">
      <c r="A4551" s="11">
        <v>4548</v>
      </c>
    </row>
    <row r="4552" spans="1:1">
      <c r="A4552" s="11">
        <v>4549</v>
      </c>
    </row>
    <row r="4553" spans="1:1">
      <c r="A4553" s="11">
        <v>4550</v>
      </c>
    </row>
    <row r="4554" spans="1:1">
      <c r="A4554" s="11">
        <v>4551</v>
      </c>
    </row>
    <row r="4555" spans="1:1">
      <c r="A4555" s="11">
        <v>4552</v>
      </c>
    </row>
    <row r="4556" spans="1:1">
      <c r="A4556" s="11">
        <v>4553</v>
      </c>
    </row>
    <row r="4557" spans="1:1">
      <c r="A4557" s="11">
        <v>4554</v>
      </c>
    </row>
    <row r="4558" spans="1:1">
      <c r="A4558" s="11">
        <v>4555</v>
      </c>
    </row>
    <row r="4559" spans="1:1">
      <c r="A4559" s="11">
        <v>4556</v>
      </c>
    </row>
    <row r="4560" spans="1:1">
      <c r="A4560" s="11">
        <v>4557</v>
      </c>
    </row>
    <row r="4561" spans="1:1">
      <c r="A4561" s="11">
        <v>4558</v>
      </c>
    </row>
    <row r="4562" spans="1:1">
      <c r="A4562" s="11">
        <v>4559</v>
      </c>
    </row>
    <row r="4563" spans="1:1">
      <c r="A4563" s="11">
        <v>4560</v>
      </c>
    </row>
    <row r="4564" spans="1:1">
      <c r="A4564" s="11">
        <v>4561</v>
      </c>
    </row>
    <row r="4565" spans="1:1">
      <c r="A4565" s="11">
        <v>4562</v>
      </c>
    </row>
    <row r="4566" spans="1:1">
      <c r="A4566" s="11">
        <v>4563</v>
      </c>
    </row>
    <row r="4567" spans="1:1">
      <c r="A4567" s="11">
        <v>4564</v>
      </c>
    </row>
    <row r="4568" spans="1:1">
      <c r="A4568" s="11">
        <v>4565</v>
      </c>
    </row>
    <row r="4569" spans="1:1">
      <c r="A4569" s="11">
        <v>4566</v>
      </c>
    </row>
    <row r="4570" spans="1:1">
      <c r="A4570" s="11">
        <v>4567</v>
      </c>
    </row>
    <row r="4571" spans="1:1">
      <c r="A4571" s="11">
        <v>4568</v>
      </c>
    </row>
    <row r="4572" spans="1:1">
      <c r="A4572" s="11">
        <v>4569</v>
      </c>
    </row>
    <row r="4573" spans="1:1">
      <c r="A4573" s="11">
        <v>4570</v>
      </c>
    </row>
    <row r="4574" spans="1:1">
      <c r="A4574" s="11">
        <v>4571</v>
      </c>
    </row>
    <row r="4575" spans="1:1">
      <c r="A4575" s="11">
        <v>4572</v>
      </c>
    </row>
    <row r="4576" spans="1:1">
      <c r="A4576" s="11">
        <v>4573</v>
      </c>
    </row>
    <row r="4577" spans="1:1">
      <c r="A4577" s="11">
        <v>4574</v>
      </c>
    </row>
    <row r="4578" spans="1:1">
      <c r="A4578" s="11">
        <v>4575</v>
      </c>
    </row>
    <row r="4579" spans="1:1">
      <c r="A4579" s="11">
        <v>4576</v>
      </c>
    </row>
    <row r="4580" spans="1:1">
      <c r="A4580" s="11">
        <v>4577</v>
      </c>
    </row>
    <row r="4581" spans="1:1">
      <c r="A4581" s="11">
        <v>4578</v>
      </c>
    </row>
    <row r="4582" spans="1:1">
      <c r="A4582" s="11">
        <v>4579</v>
      </c>
    </row>
    <row r="4583" spans="1:1">
      <c r="A4583" s="11">
        <v>4580</v>
      </c>
    </row>
    <row r="4584" spans="1:1">
      <c r="A4584" s="11">
        <v>4581</v>
      </c>
    </row>
    <row r="4585" spans="1:1">
      <c r="A4585" s="11">
        <v>4582</v>
      </c>
    </row>
    <row r="4586" spans="1:1">
      <c r="A4586" s="11">
        <v>4583</v>
      </c>
    </row>
    <row r="4587" spans="1:1">
      <c r="A4587" s="11">
        <v>4584</v>
      </c>
    </row>
    <row r="4588" spans="1:1">
      <c r="A4588" s="11">
        <v>4585</v>
      </c>
    </row>
    <row r="4589" spans="1:1">
      <c r="A4589" s="11">
        <v>4586</v>
      </c>
    </row>
    <row r="4590" spans="1:1">
      <c r="A4590" s="11">
        <v>4587</v>
      </c>
    </row>
    <row r="4591" spans="1:1">
      <c r="A4591" s="11">
        <v>4588</v>
      </c>
    </row>
    <row r="4592" spans="1:1">
      <c r="A4592" s="11">
        <v>4589</v>
      </c>
    </row>
    <row r="4593" spans="1:1">
      <c r="A4593" s="11">
        <v>4590</v>
      </c>
    </row>
    <row r="4594" spans="1:1">
      <c r="A4594" s="11">
        <v>4591</v>
      </c>
    </row>
    <row r="4595" spans="1:1">
      <c r="A4595" s="11">
        <v>4592</v>
      </c>
    </row>
    <row r="4596" spans="1:1">
      <c r="A4596" s="11">
        <v>4593</v>
      </c>
    </row>
    <row r="4597" spans="1:1">
      <c r="A4597" s="11">
        <v>4594</v>
      </c>
    </row>
    <row r="4598" spans="1:1">
      <c r="A4598" s="11">
        <v>4595</v>
      </c>
    </row>
    <row r="4599" spans="1:1">
      <c r="A4599" s="11">
        <v>4596</v>
      </c>
    </row>
    <row r="4600" spans="1:1">
      <c r="A4600" s="11">
        <v>4597</v>
      </c>
    </row>
    <row r="4601" spans="1:1">
      <c r="A4601" s="11">
        <v>4598</v>
      </c>
    </row>
    <row r="4602" spans="1:1">
      <c r="A4602" s="11">
        <v>4599</v>
      </c>
    </row>
    <row r="4603" spans="1:1">
      <c r="A4603" s="11">
        <v>4600</v>
      </c>
    </row>
    <row r="4604" spans="1:1">
      <c r="A4604" s="11">
        <v>4601</v>
      </c>
    </row>
    <row r="4605" spans="1:1">
      <c r="A4605" s="11">
        <v>4602</v>
      </c>
    </row>
    <row r="4606" spans="1:1">
      <c r="A4606" s="11">
        <v>4603</v>
      </c>
    </row>
    <row r="4607" spans="1:1">
      <c r="A4607" s="11">
        <v>4604</v>
      </c>
    </row>
    <row r="4608" spans="1:1">
      <c r="A4608" s="11">
        <v>4605</v>
      </c>
    </row>
    <row r="4609" spans="1:1">
      <c r="A4609" s="11">
        <v>4606</v>
      </c>
    </row>
    <row r="4610" spans="1:1">
      <c r="A4610" s="11">
        <v>4607</v>
      </c>
    </row>
    <row r="4611" spans="1:1">
      <c r="A4611" s="11">
        <v>4608</v>
      </c>
    </row>
    <row r="4612" spans="1:1">
      <c r="A4612" s="11">
        <v>4609</v>
      </c>
    </row>
    <row r="4613" spans="1:1">
      <c r="A4613" s="11">
        <v>4610</v>
      </c>
    </row>
    <row r="4614" spans="1:1">
      <c r="A4614" s="11">
        <v>4611</v>
      </c>
    </row>
    <row r="4615" spans="1:1">
      <c r="A4615" s="11">
        <v>4612</v>
      </c>
    </row>
    <row r="4616" spans="1:1">
      <c r="A4616" s="11">
        <v>4613</v>
      </c>
    </row>
    <row r="4617" spans="1:1">
      <c r="A4617" s="11">
        <v>4614</v>
      </c>
    </row>
    <row r="4618" spans="1:1">
      <c r="A4618" s="11">
        <v>4615</v>
      </c>
    </row>
    <row r="4619" spans="1:1">
      <c r="A4619" s="11">
        <v>4616</v>
      </c>
    </row>
    <row r="4620" spans="1:1">
      <c r="A4620" s="11">
        <v>4617</v>
      </c>
    </row>
    <row r="4621" spans="1:1">
      <c r="A4621" s="11">
        <v>4618</v>
      </c>
    </row>
    <row r="4622" spans="1:1">
      <c r="A4622" s="11">
        <v>4619</v>
      </c>
    </row>
    <row r="4623" spans="1:1">
      <c r="A4623" s="11">
        <v>4620</v>
      </c>
    </row>
    <row r="4624" spans="1:1">
      <c r="A4624" s="11">
        <v>4621</v>
      </c>
    </row>
    <row r="4625" spans="1:1">
      <c r="A4625" s="11">
        <v>4622</v>
      </c>
    </row>
    <row r="4626" spans="1:1">
      <c r="A4626" s="11">
        <v>4623</v>
      </c>
    </row>
    <row r="4627" spans="1:1">
      <c r="A4627" s="11">
        <v>4624</v>
      </c>
    </row>
    <row r="4628" spans="1:1">
      <c r="A4628" s="11">
        <v>4625</v>
      </c>
    </row>
    <row r="4629" spans="1:1">
      <c r="A4629" s="11">
        <v>4626</v>
      </c>
    </row>
    <row r="4630" spans="1:1">
      <c r="A4630" s="11">
        <v>4627</v>
      </c>
    </row>
    <row r="4631" spans="1:1">
      <c r="A4631" s="11">
        <v>4628</v>
      </c>
    </row>
    <row r="4632" spans="1:1">
      <c r="A4632" s="11">
        <v>4629</v>
      </c>
    </row>
    <row r="4633" spans="1:1">
      <c r="A4633" s="11">
        <v>4630</v>
      </c>
    </row>
    <row r="4634" spans="1:1">
      <c r="A4634" s="11">
        <v>4631</v>
      </c>
    </row>
    <row r="4635" spans="1:1">
      <c r="A4635" s="11">
        <v>4632</v>
      </c>
    </row>
    <row r="4636" spans="1:1">
      <c r="A4636" s="11">
        <v>4633</v>
      </c>
    </row>
    <row r="4637" spans="1:1">
      <c r="A4637" s="11">
        <v>4634</v>
      </c>
    </row>
    <row r="4638" spans="1:1">
      <c r="A4638" s="11">
        <v>4635</v>
      </c>
    </row>
    <row r="4639" spans="1:1">
      <c r="A4639" s="11">
        <v>4636</v>
      </c>
    </row>
    <row r="4640" spans="1:1">
      <c r="A4640" s="11">
        <v>4637</v>
      </c>
    </row>
    <row r="4641" spans="1:1">
      <c r="A4641" s="11">
        <v>4638</v>
      </c>
    </row>
    <row r="4642" spans="1:1">
      <c r="A4642" s="11">
        <v>4639</v>
      </c>
    </row>
    <row r="4643" spans="1:1">
      <c r="A4643" s="11">
        <v>4640</v>
      </c>
    </row>
    <row r="4644" spans="1:1">
      <c r="A4644" s="11">
        <v>4641</v>
      </c>
    </row>
    <row r="4645" spans="1:1">
      <c r="A4645" s="11">
        <v>4642</v>
      </c>
    </row>
    <row r="4646" spans="1:1">
      <c r="A4646" s="11">
        <v>4643</v>
      </c>
    </row>
    <row r="4647" spans="1:1">
      <c r="A4647" s="11">
        <v>4644</v>
      </c>
    </row>
    <row r="4648" spans="1:1">
      <c r="A4648" s="11">
        <v>4645</v>
      </c>
    </row>
    <row r="4649" spans="1:1">
      <c r="A4649" s="11">
        <v>4646</v>
      </c>
    </row>
    <row r="4650" spans="1:1">
      <c r="A4650" s="11">
        <v>4647</v>
      </c>
    </row>
    <row r="4651" spans="1:1">
      <c r="A4651" s="11">
        <v>4648</v>
      </c>
    </row>
    <row r="4652" spans="1:1">
      <c r="A4652" s="11">
        <v>4649</v>
      </c>
    </row>
    <row r="4653" spans="1:1">
      <c r="A4653" s="11">
        <v>4650</v>
      </c>
    </row>
    <row r="4654" spans="1:1">
      <c r="A4654" s="11">
        <v>4651</v>
      </c>
    </row>
    <row r="4655" spans="1:1">
      <c r="A4655" s="11">
        <v>4652</v>
      </c>
    </row>
    <row r="4656" spans="1:1">
      <c r="A4656" s="11">
        <v>4653</v>
      </c>
    </row>
    <row r="4657" spans="1:1">
      <c r="A4657" s="11">
        <v>4654</v>
      </c>
    </row>
    <row r="4658" spans="1:1">
      <c r="A4658" s="11">
        <v>4655</v>
      </c>
    </row>
    <row r="4659" spans="1:1">
      <c r="A4659" s="11">
        <v>4656</v>
      </c>
    </row>
    <row r="4660" spans="1:1">
      <c r="A4660" s="11">
        <v>4657</v>
      </c>
    </row>
    <row r="4661" spans="1:1">
      <c r="A4661" s="11">
        <v>4658</v>
      </c>
    </row>
    <row r="4662" spans="1:1">
      <c r="A4662" s="11">
        <v>4659</v>
      </c>
    </row>
    <row r="4663" spans="1:1">
      <c r="A4663" s="11">
        <v>4660</v>
      </c>
    </row>
    <row r="4664" spans="1:1">
      <c r="A4664" s="11">
        <v>4661</v>
      </c>
    </row>
    <row r="4665" spans="1:1">
      <c r="A4665" s="11">
        <v>4662</v>
      </c>
    </row>
    <row r="4666" spans="1:1">
      <c r="A4666" s="11">
        <v>4663</v>
      </c>
    </row>
    <row r="4667" spans="1:1">
      <c r="A4667" s="11">
        <v>4664</v>
      </c>
    </row>
    <row r="4668" spans="1:1">
      <c r="A4668" s="11">
        <v>4665</v>
      </c>
    </row>
    <row r="4669" spans="1:1">
      <c r="A4669" s="11">
        <v>4666</v>
      </c>
    </row>
    <row r="4670" spans="1:1">
      <c r="A4670" s="11">
        <v>4667</v>
      </c>
    </row>
    <row r="4671" spans="1:1">
      <c r="A4671" s="11">
        <v>4668</v>
      </c>
    </row>
    <row r="4672" spans="1:1">
      <c r="A4672" s="11">
        <v>4669</v>
      </c>
    </row>
    <row r="4673" spans="1:1">
      <c r="A4673" s="11">
        <v>4670</v>
      </c>
    </row>
    <row r="4674" spans="1:1">
      <c r="A4674" s="11">
        <v>4671</v>
      </c>
    </row>
    <row r="4675" spans="1:1">
      <c r="A4675" s="11">
        <v>4672</v>
      </c>
    </row>
    <row r="4676" spans="1:1">
      <c r="A4676" s="11">
        <v>4673</v>
      </c>
    </row>
    <row r="4677" spans="1:1">
      <c r="A4677" s="11">
        <v>4674</v>
      </c>
    </row>
    <row r="4678" spans="1:1">
      <c r="A4678" s="11">
        <v>4675</v>
      </c>
    </row>
    <row r="4679" spans="1:1">
      <c r="A4679" s="11">
        <v>4676</v>
      </c>
    </row>
    <row r="4680" spans="1:1">
      <c r="A4680" s="11">
        <v>4677</v>
      </c>
    </row>
    <row r="4681" spans="1:1">
      <c r="A4681" s="11">
        <v>4678</v>
      </c>
    </row>
    <row r="4682" spans="1:1">
      <c r="A4682" s="11">
        <v>4679</v>
      </c>
    </row>
    <row r="4683" spans="1:1">
      <c r="A4683" s="11">
        <v>4680</v>
      </c>
    </row>
    <row r="4684" spans="1:1">
      <c r="A4684" s="11">
        <v>4681</v>
      </c>
    </row>
    <row r="4685" spans="1:1">
      <c r="A4685" s="11">
        <v>4682</v>
      </c>
    </row>
    <row r="4686" spans="1:1">
      <c r="A4686" s="11">
        <v>4683</v>
      </c>
    </row>
    <row r="4687" spans="1:1">
      <c r="A4687" s="11">
        <v>4684</v>
      </c>
    </row>
    <row r="4688" spans="1:1">
      <c r="A4688" s="11">
        <v>4685</v>
      </c>
    </row>
    <row r="4689" spans="1:1">
      <c r="A4689" s="11">
        <v>4686</v>
      </c>
    </row>
    <row r="4690" spans="1:1">
      <c r="A4690" s="11">
        <v>4687</v>
      </c>
    </row>
    <row r="4691" spans="1:1">
      <c r="A4691" s="11">
        <v>4688</v>
      </c>
    </row>
    <row r="4692" spans="1:1">
      <c r="A4692" s="11">
        <v>4689</v>
      </c>
    </row>
    <row r="4693" spans="1:1">
      <c r="A4693" s="11">
        <v>4690</v>
      </c>
    </row>
    <row r="4694" spans="1:1">
      <c r="A4694" s="11">
        <v>4691</v>
      </c>
    </row>
    <row r="4695" spans="1:1">
      <c r="A4695" s="11">
        <v>4692</v>
      </c>
    </row>
    <row r="4696" spans="1:1">
      <c r="A4696" s="11">
        <v>4693</v>
      </c>
    </row>
    <row r="4697" spans="1:1">
      <c r="A4697" s="11">
        <v>4694</v>
      </c>
    </row>
    <row r="4698" spans="1:1">
      <c r="A4698" s="11">
        <v>4695</v>
      </c>
    </row>
    <row r="4699" spans="1:1">
      <c r="A4699" s="11">
        <v>4696</v>
      </c>
    </row>
    <row r="4700" spans="1:1">
      <c r="A4700" s="11">
        <v>4697</v>
      </c>
    </row>
    <row r="4701" spans="1:1">
      <c r="A4701" s="11">
        <v>4698</v>
      </c>
    </row>
    <row r="4702" spans="1:1">
      <c r="A4702" s="11">
        <v>4699</v>
      </c>
    </row>
    <row r="4703" spans="1:1">
      <c r="A4703" s="11">
        <v>4700</v>
      </c>
    </row>
    <row r="4704" spans="1:1">
      <c r="A4704" s="11">
        <v>4701</v>
      </c>
    </row>
    <row r="4705" spans="1:1">
      <c r="A4705" s="11">
        <v>4702</v>
      </c>
    </row>
    <row r="4706" spans="1:1">
      <c r="A4706" s="11">
        <v>4703</v>
      </c>
    </row>
    <row r="4707" spans="1:1">
      <c r="A4707" s="11">
        <v>4704</v>
      </c>
    </row>
    <row r="4708" spans="1:1">
      <c r="A4708" s="11">
        <v>4705</v>
      </c>
    </row>
    <row r="4709" spans="1:1">
      <c r="A4709" s="11">
        <v>4706</v>
      </c>
    </row>
    <row r="4710" spans="1:1">
      <c r="A4710" s="11">
        <v>4707</v>
      </c>
    </row>
    <row r="4711" spans="1:1">
      <c r="A4711" s="11">
        <v>4708</v>
      </c>
    </row>
    <row r="4712" spans="1:1">
      <c r="A4712" s="11">
        <v>4709</v>
      </c>
    </row>
    <row r="4713" spans="1:1">
      <c r="A4713" s="11">
        <v>4710</v>
      </c>
    </row>
    <row r="4714" spans="1:1">
      <c r="A4714" s="11">
        <v>4711</v>
      </c>
    </row>
    <row r="4715" spans="1:1">
      <c r="A4715" s="11">
        <v>4712</v>
      </c>
    </row>
    <row r="4716" spans="1:1">
      <c r="A4716" s="11">
        <v>4713</v>
      </c>
    </row>
    <row r="4717" spans="1:1">
      <c r="A4717" s="11">
        <v>4714</v>
      </c>
    </row>
    <row r="4718" spans="1:1">
      <c r="A4718" s="11">
        <v>4715</v>
      </c>
    </row>
    <row r="4719" spans="1:1">
      <c r="A4719" s="11">
        <v>4716</v>
      </c>
    </row>
    <row r="4720" spans="1:1">
      <c r="A4720" s="11">
        <v>4717</v>
      </c>
    </row>
    <row r="4721" spans="1:1">
      <c r="A4721" s="11">
        <v>4718</v>
      </c>
    </row>
    <row r="4722" spans="1:1">
      <c r="A4722" s="11">
        <v>4719</v>
      </c>
    </row>
    <row r="4723" spans="1:1">
      <c r="A4723" s="11">
        <v>4720</v>
      </c>
    </row>
    <row r="4724" spans="1:1">
      <c r="A4724" s="11">
        <v>4721</v>
      </c>
    </row>
    <row r="4725" spans="1:1">
      <c r="A4725" s="11">
        <v>4722</v>
      </c>
    </row>
    <row r="4726" spans="1:1">
      <c r="A4726" s="11">
        <v>4723</v>
      </c>
    </row>
    <row r="4727" spans="1:1">
      <c r="A4727" s="11">
        <v>4724</v>
      </c>
    </row>
    <row r="4728" spans="1:1">
      <c r="A4728" s="11">
        <v>4725</v>
      </c>
    </row>
    <row r="4729" spans="1:1">
      <c r="A4729" s="11">
        <v>4726</v>
      </c>
    </row>
    <row r="4730" spans="1:1">
      <c r="A4730" s="11">
        <v>4727</v>
      </c>
    </row>
    <row r="4731" spans="1:1">
      <c r="A4731" s="11">
        <v>4728</v>
      </c>
    </row>
    <row r="4732" spans="1:1">
      <c r="A4732" s="11">
        <v>4729</v>
      </c>
    </row>
    <row r="4733" spans="1:1">
      <c r="A4733" s="11">
        <v>4730</v>
      </c>
    </row>
    <row r="4734" spans="1:1">
      <c r="A4734" s="11">
        <v>4731</v>
      </c>
    </row>
    <row r="4735" spans="1:1">
      <c r="A4735" s="11">
        <v>4732</v>
      </c>
    </row>
    <row r="4736" spans="1:1">
      <c r="A4736" s="11">
        <v>4733</v>
      </c>
    </row>
    <row r="4737" spans="1:1">
      <c r="A4737" s="11">
        <v>4734</v>
      </c>
    </row>
    <row r="4738" spans="1:1">
      <c r="A4738" s="11">
        <v>4735</v>
      </c>
    </row>
    <row r="4739" spans="1:1">
      <c r="A4739" s="11">
        <v>4736</v>
      </c>
    </row>
    <row r="4740" spans="1:1">
      <c r="A4740" s="11">
        <v>4737</v>
      </c>
    </row>
    <row r="4741" spans="1:1">
      <c r="A4741" s="11">
        <v>4738</v>
      </c>
    </row>
    <row r="4742" spans="1:1">
      <c r="A4742" s="11">
        <v>4739</v>
      </c>
    </row>
    <row r="4743" spans="1:1">
      <c r="A4743" s="11">
        <v>4740</v>
      </c>
    </row>
    <row r="4744" spans="1:1">
      <c r="A4744" s="11">
        <v>4741</v>
      </c>
    </row>
    <row r="4745" spans="1:1">
      <c r="A4745" s="11">
        <v>4742</v>
      </c>
    </row>
    <row r="4746" spans="1:1">
      <c r="A4746" s="11">
        <v>4743</v>
      </c>
    </row>
    <row r="4747" spans="1:1">
      <c r="A4747" s="11">
        <v>4744</v>
      </c>
    </row>
    <row r="4748" spans="1:1">
      <c r="A4748" s="11">
        <v>4745</v>
      </c>
    </row>
    <row r="4749" spans="1:1">
      <c r="A4749" s="11">
        <v>4746</v>
      </c>
    </row>
    <row r="4750" spans="1:1">
      <c r="A4750" s="11">
        <v>4747</v>
      </c>
    </row>
    <row r="4751" spans="1:1">
      <c r="A4751" s="11">
        <v>4748</v>
      </c>
    </row>
    <row r="4752" spans="1:1">
      <c r="A4752" s="11">
        <v>4749</v>
      </c>
    </row>
    <row r="4753" spans="1:1">
      <c r="A4753" s="11">
        <v>4750</v>
      </c>
    </row>
    <row r="4754" spans="1:1">
      <c r="A4754" s="11">
        <v>4751</v>
      </c>
    </row>
    <row r="4755" spans="1:1">
      <c r="A4755" s="11">
        <v>4752</v>
      </c>
    </row>
    <row r="4756" spans="1:1">
      <c r="A4756" s="11">
        <v>4753</v>
      </c>
    </row>
    <row r="4757" spans="1:1">
      <c r="A4757" s="11">
        <v>4754</v>
      </c>
    </row>
    <row r="4758" spans="1:1">
      <c r="A4758" s="11">
        <v>4755</v>
      </c>
    </row>
    <row r="4759" spans="1:1">
      <c r="A4759" s="11">
        <v>4756</v>
      </c>
    </row>
    <row r="4760" spans="1:1">
      <c r="A4760" s="11">
        <v>4757</v>
      </c>
    </row>
    <row r="4761" spans="1:1">
      <c r="A4761" s="11">
        <v>4758</v>
      </c>
    </row>
    <row r="4762" spans="1:1">
      <c r="A4762" s="11">
        <v>4759</v>
      </c>
    </row>
    <row r="4763" spans="1:1">
      <c r="A4763" s="11">
        <v>4760</v>
      </c>
    </row>
    <row r="4764" spans="1:1">
      <c r="A4764" s="11">
        <v>4761</v>
      </c>
    </row>
    <row r="4765" spans="1:1">
      <c r="A4765" s="11">
        <v>4762</v>
      </c>
    </row>
    <row r="4766" spans="1:1">
      <c r="A4766" s="11">
        <v>4763</v>
      </c>
    </row>
    <row r="4767" spans="1:1">
      <c r="A4767" s="11">
        <v>4764</v>
      </c>
    </row>
    <row r="4768" spans="1:1">
      <c r="A4768" s="11">
        <v>4765</v>
      </c>
    </row>
    <row r="4769" spans="1:1">
      <c r="A4769" s="11">
        <v>4766</v>
      </c>
    </row>
    <row r="4770" spans="1:1">
      <c r="A4770" s="11">
        <v>4767</v>
      </c>
    </row>
    <row r="4771" spans="1:1">
      <c r="A4771" s="11">
        <v>4768</v>
      </c>
    </row>
    <row r="4772" spans="1:1">
      <c r="A4772" s="11">
        <v>4769</v>
      </c>
    </row>
    <row r="4773" spans="1:1">
      <c r="A4773" s="11">
        <v>4770</v>
      </c>
    </row>
    <row r="4774" spans="1:1">
      <c r="A4774" s="11">
        <v>4771</v>
      </c>
    </row>
    <row r="4775" spans="1:1">
      <c r="A4775" s="11">
        <v>4772</v>
      </c>
    </row>
    <row r="4776" spans="1:1">
      <c r="A4776" s="11">
        <v>4773</v>
      </c>
    </row>
    <row r="4777" spans="1:1">
      <c r="A4777" s="11">
        <v>4774</v>
      </c>
    </row>
    <row r="4778" spans="1:1">
      <c r="A4778" s="11">
        <v>4775</v>
      </c>
    </row>
    <row r="4779" spans="1:1">
      <c r="A4779" s="11">
        <v>4776</v>
      </c>
    </row>
    <row r="4780" spans="1:1">
      <c r="A4780" s="11">
        <v>4777</v>
      </c>
    </row>
    <row r="4781" spans="1:1">
      <c r="A4781" s="11">
        <v>4778</v>
      </c>
    </row>
    <row r="4782" spans="1:1">
      <c r="A4782" s="11">
        <v>4779</v>
      </c>
    </row>
    <row r="4783" spans="1:1">
      <c r="A4783" s="11">
        <v>4780</v>
      </c>
    </row>
    <row r="4784" spans="1:1">
      <c r="A4784" s="11">
        <v>4781</v>
      </c>
    </row>
    <row r="4785" spans="1:1">
      <c r="A4785" s="11">
        <v>4782</v>
      </c>
    </row>
    <row r="4786" spans="1:1">
      <c r="A4786" s="11">
        <v>4783</v>
      </c>
    </row>
    <row r="4787" spans="1:1">
      <c r="A4787" s="11">
        <v>4784</v>
      </c>
    </row>
    <row r="4788" spans="1:1">
      <c r="A4788" s="11">
        <v>4785</v>
      </c>
    </row>
    <row r="4789" spans="1:1">
      <c r="A4789" s="11">
        <v>4786</v>
      </c>
    </row>
    <row r="4790" spans="1:1">
      <c r="A4790" s="11">
        <v>4787</v>
      </c>
    </row>
    <row r="4791" spans="1:1">
      <c r="A4791" s="11">
        <v>4788</v>
      </c>
    </row>
    <row r="4792" spans="1:1">
      <c r="A4792" s="11">
        <v>4789</v>
      </c>
    </row>
    <row r="4793" spans="1:1">
      <c r="A4793" s="11">
        <v>4790</v>
      </c>
    </row>
    <row r="4794" spans="1:1">
      <c r="A4794" s="11">
        <v>4791</v>
      </c>
    </row>
    <row r="4795" spans="1:1">
      <c r="A4795" s="11">
        <v>4792</v>
      </c>
    </row>
    <row r="4796" spans="1:1">
      <c r="A4796" s="11">
        <v>4793</v>
      </c>
    </row>
    <row r="4797" spans="1:1">
      <c r="A4797" s="11">
        <v>4794</v>
      </c>
    </row>
    <row r="4798" spans="1:1">
      <c r="A4798" s="11">
        <v>4795</v>
      </c>
    </row>
    <row r="4799" spans="1:1">
      <c r="A4799" s="11">
        <v>4796</v>
      </c>
    </row>
    <row r="4800" spans="1:1">
      <c r="A4800" s="11">
        <v>4797</v>
      </c>
    </row>
    <row r="4801" spans="1:1">
      <c r="A4801" s="11">
        <v>4798</v>
      </c>
    </row>
    <row r="4802" spans="1:1">
      <c r="A4802" s="11">
        <v>4799</v>
      </c>
    </row>
    <row r="4803" spans="1:1">
      <c r="A4803" s="11">
        <v>4800</v>
      </c>
    </row>
    <row r="4804" spans="1:1">
      <c r="A4804" s="11">
        <v>4801</v>
      </c>
    </row>
    <row r="4805" spans="1:1">
      <c r="A4805" s="11">
        <v>4802</v>
      </c>
    </row>
    <row r="4806" spans="1:1">
      <c r="A4806" s="11">
        <v>4803</v>
      </c>
    </row>
    <row r="4807" spans="1:1">
      <c r="A4807" s="11">
        <v>4804</v>
      </c>
    </row>
    <row r="4808" spans="1:1">
      <c r="A4808" s="11">
        <v>4805</v>
      </c>
    </row>
    <row r="4809" spans="1:1">
      <c r="A4809" s="11">
        <v>4806</v>
      </c>
    </row>
    <row r="4810" spans="1:1">
      <c r="A4810" s="11">
        <v>4807</v>
      </c>
    </row>
    <row r="4811" spans="1:1">
      <c r="A4811" s="11">
        <v>4808</v>
      </c>
    </row>
    <row r="4812" spans="1:1">
      <c r="A4812" s="11">
        <v>4809</v>
      </c>
    </row>
    <row r="4813" spans="1:1">
      <c r="A4813" s="11">
        <v>4810</v>
      </c>
    </row>
    <row r="4814" spans="1:1">
      <c r="A4814" s="11">
        <v>4811</v>
      </c>
    </row>
    <row r="4815" spans="1:1">
      <c r="A4815" s="11">
        <v>4812</v>
      </c>
    </row>
    <row r="4816" spans="1:1">
      <c r="A4816" s="11">
        <v>4813</v>
      </c>
    </row>
    <row r="4817" spans="1:1">
      <c r="A4817" s="11">
        <v>4814</v>
      </c>
    </row>
    <row r="4818" spans="1:1">
      <c r="A4818" s="11">
        <v>4815</v>
      </c>
    </row>
    <row r="4819" spans="1:1">
      <c r="A4819" s="11">
        <v>4816</v>
      </c>
    </row>
    <row r="4820" spans="1:1">
      <c r="A4820" s="11">
        <v>4817</v>
      </c>
    </row>
    <row r="4821" spans="1:1">
      <c r="A4821" s="11">
        <v>4818</v>
      </c>
    </row>
    <row r="4822" spans="1:1">
      <c r="A4822" s="11">
        <v>4819</v>
      </c>
    </row>
    <row r="4823" spans="1:1">
      <c r="A4823" s="11">
        <v>4820</v>
      </c>
    </row>
    <row r="4824" spans="1:1">
      <c r="A4824" s="11">
        <v>4821</v>
      </c>
    </row>
    <row r="4825" spans="1:1">
      <c r="A4825" s="11">
        <v>4822</v>
      </c>
    </row>
    <row r="4826" spans="1:1">
      <c r="A4826" s="11">
        <v>4823</v>
      </c>
    </row>
    <row r="4827" spans="1:1">
      <c r="A4827" s="11">
        <v>4824</v>
      </c>
    </row>
    <row r="4828" spans="1:1">
      <c r="A4828" s="11">
        <v>4825</v>
      </c>
    </row>
    <row r="4829" spans="1:1">
      <c r="A4829" s="11">
        <v>4826</v>
      </c>
    </row>
    <row r="4830" spans="1:1">
      <c r="A4830" s="11">
        <v>4827</v>
      </c>
    </row>
    <row r="4831" spans="1:1">
      <c r="A4831" s="11">
        <v>4828</v>
      </c>
    </row>
    <row r="4832" spans="1:1">
      <c r="A4832" s="11">
        <v>4829</v>
      </c>
    </row>
    <row r="4833" spans="1:1">
      <c r="A4833" s="11">
        <v>4830</v>
      </c>
    </row>
    <row r="4834" spans="1:1">
      <c r="A4834" s="11">
        <v>4831</v>
      </c>
    </row>
    <row r="4835" spans="1:1">
      <c r="A4835" s="11">
        <v>4832</v>
      </c>
    </row>
    <row r="4836" spans="1:1">
      <c r="A4836" s="11">
        <v>4833</v>
      </c>
    </row>
    <row r="4837" spans="1:1">
      <c r="A4837" s="11">
        <v>4834</v>
      </c>
    </row>
    <row r="4838" spans="1:1">
      <c r="A4838" s="11">
        <v>4835</v>
      </c>
    </row>
    <row r="4839" spans="1:1">
      <c r="A4839" s="11">
        <v>4836</v>
      </c>
    </row>
    <row r="4840" spans="1:1">
      <c r="A4840" s="11">
        <v>4837</v>
      </c>
    </row>
    <row r="4841" spans="1:1">
      <c r="A4841" s="11">
        <v>4838</v>
      </c>
    </row>
    <row r="4842" spans="1:1">
      <c r="A4842" s="11">
        <v>4839</v>
      </c>
    </row>
    <row r="4843" spans="1:1">
      <c r="A4843" s="11">
        <v>4840</v>
      </c>
    </row>
    <row r="4844" spans="1:1">
      <c r="A4844" s="11">
        <v>4841</v>
      </c>
    </row>
    <row r="4845" spans="1:1">
      <c r="A4845" s="11">
        <v>4842</v>
      </c>
    </row>
    <row r="4846" spans="1:1">
      <c r="A4846" s="11">
        <v>4843</v>
      </c>
    </row>
    <row r="4847" spans="1:1">
      <c r="A4847" s="11">
        <v>4844</v>
      </c>
    </row>
    <row r="4848" spans="1:1">
      <c r="A4848" s="11">
        <v>4845</v>
      </c>
    </row>
    <row r="4849" spans="1:1">
      <c r="A4849" s="11">
        <v>4846</v>
      </c>
    </row>
    <row r="4850" spans="1:1">
      <c r="A4850" s="11">
        <v>4847</v>
      </c>
    </row>
    <row r="4851" spans="1:1">
      <c r="A4851" s="11">
        <v>4848</v>
      </c>
    </row>
    <row r="4852" spans="1:1">
      <c r="A4852" s="11">
        <v>4849</v>
      </c>
    </row>
    <row r="4853" spans="1:1">
      <c r="A4853" s="11">
        <v>4850</v>
      </c>
    </row>
    <row r="4854" spans="1:1">
      <c r="A4854" s="11">
        <v>4851</v>
      </c>
    </row>
    <row r="4855" spans="1:1">
      <c r="A4855" s="11">
        <v>4852</v>
      </c>
    </row>
    <row r="4856" spans="1:1">
      <c r="A4856" s="11">
        <v>4853</v>
      </c>
    </row>
    <row r="4857" spans="1:1">
      <c r="A4857" s="11">
        <v>4854</v>
      </c>
    </row>
    <row r="4858" spans="1:1">
      <c r="A4858" s="11">
        <v>4855</v>
      </c>
    </row>
    <row r="4859" spans="1:1">
      <c r="A4859" s="11">
        <v>4856</v>
      </c>
    </row>
    <row r="4860" spans="1:1">
      <c r="A4860" s="11">
        <v>4857</v>
      </c>
    </row>
    <row r="4861" spans="1:1">
      <c r="A4861" s="11">
        <v>4858</v>
      </c>
    </row>
    <row r="4862" spans="1:1">
      <c r="A4862" s="11">
        <v>4859</v>
      </c>
    </row>
    <row r="4863" spans="1:1">
      <c r="A4863" s="11">
        <v>4860</v>
      </c>
    </row>
    <row r="4864" spans="1:1">
      <c r="A4864" s="11">
        <v>4861</v>
      </c>
    </row>
    <row r="4865" spans="1:1">
      <c r="A4865" s="11">
        <v>4862</v>
      </c>
    </row>
    <row r="4866" spans="1:1">
      <c r="A4866" s="11">
        <v>4863</v>
      </c>
    </row>
    <row r="4867" spans="1:1">
      <c r="A4867" s="11">
        <v>4864</v>
      </c>
    </row>
    <row r="4868" spans="1:1">
      <c r="A4868" s="11">
        <v>4865</v>
      </c>
    </row>
    <row r="4869" spans="1:1">
      <c r="A4869" s="11">
        <v>4866</v>
      </c>
    </row>
    <row r="4870" spans="1:1">
      <c r="A4870" s="11">
        <v>4867</v>
      </c>
    </row>
    <row r="4871" spans="1:1">
      <c r="A4871" s="11">
        <v>4868</v>
      </c>
    </row>
    <row r="4872" spans="1:1">
      <c r="A4872" s="11">
        <v>4869</v>
      </c>
    </row>
    <row r="4873" spans="1:1">
      <c r="A4873" s="11">
        <v>4870</v>
      </c>
    </row>
    <row r="4874" spans="1:1">
      <c r="A4874" s="11">
        <v>4871</v>
      </c>
    </row>
    <row r="4875" spans="1:1">
      <c r="A4875" s="11">
        <v>4872</v>
      </c>
    </row>
    <row r="4876" spans="1:1">
      <c r="A4876" s="11">
        <v>4873</v>
      </c>
    </row>
    <row r="4877" spans="1:1">
      <c r="A4877" s="11">
        <v>4874</v>
      </c>
    </row>
    <row r="4878" spans="1:1">
      <c r="A4878" s="11">
        <v>4875</v>
      </c>
    </row>
    <row r="4879" spans="1:1">
      <c r="A4879" s="11">
        <v>4876</v>
      </c>
    </row>
    <row r="4880" spans="1:1">
      <c r="A4880" s="11">
        <v>4877</v>
      </c>
    </row>
    <row r="4881" spans="1:1">
      <c r="A4881" s="11">
        <v>4878</v>
      </c>
    </row>
    <row r="4882" spans="1:1">
      <c r="A4882" s="11">
        <v>4879</v>
      </c>
    </row>
    <row r="4883" spans="1:1">
      <c r="A4883" s="11">
        <v>4880</v>
      </c>
    </row>
    <row r="4884" spans="1:1">
      <c r="A4884" s="11">
        <v>4881</v>
      </c>
    </row>
    <row r="4885" spans="1:1">
      <c r="A4885" s="11">
        <v>4882</v>
      </c>
    </row>
    <row r="4886" spans="1:1">
      <c r="A4886" s="11">
        <v>4883</v>
      </c>
    </row>
    <row r="4887" spans="1:1">
      <c r="A4887" s="11">
        <v>4884</v>
      </c>
    </row>
    <row r="4888" spans="1:1">
      <c r="A4888" s="11">
        <v>4885</v>
      </c>
    </row>
    <row r="4889" spans="1:1">
      <c r="A4889" s="11">
        <v>4886</v>
      </c>
    </row>
    <row r="4890" spans="1:1">
      <c r="A4890" s="11">
        <v>4887</v>
      </c>
    </row>
    <row r="4891" spans="1:1">
      <c r="A4891" s="11">
        <v>4888</v>
      </c>
    </row>
    <row r="4892" spans="1:1">
      <c r="A4892" s="11">
        <v>4889</v>
      </c>
    </row>
    <row r="4893" spans="1:1">
      <c r="A4893" s="11">
        <v>4890</v>
      </c>
    </row>
    <row r="4894" spans="1:1">
      <c r="A4894" s="11">
        <v>4891</v>
      </c>
    </row>
    <row r="4895" spans="1:1">
      <c r="A4895" s="11">
        <v>4892</v>
      </c>
    </row>
    <row r="4896" spans="1:1">
      <c r="A4896" s="11">
        <v>4893</v>
      </c>
    </row>
    <row r="4897" spans="1:1">
      <c r="A4897" s="11">
        <v>4894</v>
      </c>
    </row>
    <row r="4898" spans="1:1">
      <c r="A4898" s="11">
        <v>4895</v>
      </c>
    </row>
    <row r="4899" spans="1:1">
      <c r="A4899" s="11">
        <v>4896</v>
      </c>
    </row>
    <row r="4900" spans="1:1">
      <c r="A4900" s="11">
        <v>4897</v>
      </c>
    </row>
    <row r="4901" spans="1:1">
      <c r="A4901" s="11">
        <v>4898</v>
      </c>
    </row>
    <row r="4902" spans="1:1">
      <c r="A4902" s="11">
        <v>4899</v>
      </c>
    </row>
    <row r="4903" spans="1:1">
      <c r="A4903" s="11">
        <v>4900</v>
      </c>
    </row>
    <row r="4904" spans="1:1">
      <c r="A4904" s="11">
        <v>4901</v>
      </c>
    </row>
    <row r="4905" spans="1:1">
      <c r="A4905" s="11">
        <v>4902</v>
      </c>
    </row>
    <row r="4906" spans="1:1">
      <c r="A4906" s="11">
        <v>4903</v>
      </c>
    </row>
    <row r="4907" spans="1:1">
      <c r="A4907" s="11">
        <v>4904</v>
      </c>
    </row>
    <row r="4908" spans="1:1">
      <c r="A4908" s="11">
        <v>4905</v>
      </c>
    </row>
    <row r="4909" spans="1:1">
      <c r="A4909" s="11">
        <v>4906</v>
      </c>
    </row>
    <row r="4910" spans="1:1">
      <c r="A4910" s="11">
        <v>4907</v>
      </c>
    </row>
    <row r="4911" spans="1:1">
      <c r="A4911" s="11">
        <v>4908</v>
      </c>
    </row>
    <row r="4912" spans="1:1">
      <c r="A4912" s="11">
        <v>4909</v>
      </c>
    </row>
    <row r="4913" spans="1:1">
      <c r="A4913" s="11">
        <v>4910</v>
      </c>
    </row>
    <row r="4914" spans="1:1">
      <c r="A4914" s="11">
        <v>4911</v>
      </c>
    </row>
    <row r="4915" spans="1:1">
      <c r="A4915" s="11">
        <v>4912</v>
      </c>
    </row>
    <row r="4916" spans="1:1">
      <c r="A4916" s="11">
        <v>4913</v>
      </c>
    </row>
    <row r="4917" spans="1:1">
      <c r="A4917" s="11">
        <v>4914</v>
      </c>
    </row>
    <row r="4918" spans="1:1">
      <c r="A4918" s="11">
        <v>4915</v>
      </c>
    </row>
    <row r="4919" spans="1:1">
      <c r="A4919" s="11">
        <v>4916</v>
      </c>
    </row>
    <row r="4920" spans="1:1">
      <c r="A4920" s="11">
        <v>4917</v>
      </c>
    </row>
    <row r="4921" spans="1:1">
      <c r="A4921" s="11">
        <v>4918</v>
      </c>
    </row>
    <row r="4922" spans="1:1">
      <c r="A4922" s="11">
        <v>4919</v>
      </c>
    </row>
    <row r="4923" spans="1:1">
      <c r="A4923" s="11">
        <v>4920</v>
      </c>
    </row>
    <row r="4924" spans="1:1">
      <c r="A4924" s="11">
        <v>4921</v>
      </c>
    </row>
    <row r="4925" spans="1:1">
      <c r="A4925" s="11">
        <v>4922</v>
      </c>
    </row>
    <row r="4926" spans="1:1">
      <c r="A4926" s="11">
        <v>4923</v>
      </c>
    </row>
    <row r="4927" spans="1:1">
      <c r="A4927" s="11">
        <v>4924</v>
      </c>
    </row>
    <row r="4928" spans="1:1">
      <c r="A4928" s="11">
        <v>4925</v>
      </c>
    </row>
    <row r="4929" spans="1:1">
      <c r="A4929" s="11">
        <v>4926</v>
      </c>
    </row>
    <row r="4930" spans="1:1">
      <c r="A4930" s="11">
        <v>4927</v>
      </c>
    </row>
    <row r="4931" spans="1:1">
      <c r="A4931" s="11">
        <v>4928</v>
      </c>
    </row>
    <row r="4932" spans="1:1">
      <c r="A4932" s="11">
        <v>4929</v>
      </c>
    </row>
    <row r="4933" spans="1:1">
      <c r="A4933" s="11">
        <v>4930</v>
      </c>
    </row>
    <row r="4934" spans="1:1">
      <c r="A4934" s="11">
        <v>4931</v>
      </c>
    </row>
    <row r="4935" spans="1:1">
      <c r="A4935" s="11">
        <v>4932</v>
      </c>
    </row>
    <row r="4936" spans="1:1">
      <c r="A4936" s="11">
        <v>4933</v>
      </c>
    </row>
    <row r="4937" spans="1:1">
      <c r="A4937" s="11">
        <v>4934</v>
      </c>
    </row>
    <row r="4938" spans="1:1">
      <c r="A4938" s="11">
        <v>4935</v>
      </c>
    </row>
    <row r="4939" spans="1:1">
      <c r="A4939" s="11">
        <v>4936</v>
      </c>
    </row>
    <row r="4940" spans="1:1">
      <c r="A4940" s="11">
        <v>4937</v>
      </c>
    </row>
    <row r="4941" spans="1:1">
      <c r="A4941" s="11">
        <v>4938</v>
      </c>
    </row>
    <row r="4942" spans="1:1">
      <c r="A4942" s="11">
        <v>4939</v>
      </c>
    </row>
    <row r="4943" spans="1:1">
      <c r="A4943" s="11">
        <v>4940</v>
      </c>
    </row>
    <row r="4944" spans="1:1">
      <c r="A4944" s="11">
        <v>4941</v>
      </c>
    </row>
    <row r="4945" spans="1:1">
      <c r="A4945" s="11">
        <v>4942</v>
      </c>
    </row>
    <row r="4946" spans="1:1">
      <c r="A4946" s="11">
        <v>4943</v>
      </c>
    </row>
    <row r="4947" spans="1:1">
      <c r="A4947" s="11">
        <v>4944</v>
      </c>
    </row>
    <row r="4948" spans="1:1">
      <c r="A4948" s="11">
        <v>4945</v>
      </c>
    </row>
    <row r="4949" spans="1:1">
      <c r="A4949" s="11">
        <v>4946</v>
      </c>
    </row>
    <row r="4950" spans="1:1">
      <c r="A4950" s="11">
        <v>4947</v>
      </c>
    </row>
    <row r="4951" spans="1:1">
      <c r="A4951" s="11">
        <v>4948</v>
      </c>
    </row>
    <row r="4952" spans="1:1">
      <c r="A4952" s="11">
        <v>4949</v>
      </c>
    </row>
    <row r="4953" spans="1:1">
      <c r="A4953" s="11">
        <v>4950</v>
      </c>
    </row>
    <row r="4954" spans="1:1">
      <c r="A4954" s="11">
        <v>4951</v>
      </c>
    </row>
    <row r="4955" spans="1:1">
      <c r="A4955" s="11">
        <v>4952</v>
      </c>
    </row>
    <row r="4956" spans="1:1">
      <c r="A4956" s="11">
        <v>4953</v>
      </c>
    </row>
    <row r="4957" spans="1:1">
      <c r="A4957" s="11">
        <v>4954</v>
      </c>
    </row>
    <row r="4958" spans="1:1">
      <c r="A4958" s="11">
        <v>4955</v>
      </c>
    </row>
    <row r="4959" spans="1:1">
      <c r="A4959" s="11">
        <v>4956</v>
      </c>
    </row>
    <row r="4960" spans="1:1">
      <c r="A4960" s="11">
        <v>4957</v>
      </c>
    </row>
    <row r="4961" spans="1:1">
      <c r="A4961" s="11">
        <v>4958</v>
      </c>
    </row>
    <row r="4962" spans="1:1">
      <c r="A4962" s="11">
        <v>4959</v>
      </c>
    </row>
    <row r="4963" spans="1:1">
      <c r="A4963" s="11">
        <v>4960</v>
      </c>
    </row>
    <row r="4964" spans="1:1">
      <c r="A4964" s="11">
        <v>4961</v>
      </c>
    </row>
    <row r="4965" spans="1:1">
      <c r="A4965" s="11">
        <v>4962</v>
      </c>
    </row>
    <row r="4966" spans="1:1">
      <c r="A4966" s="11">
        <v>4963</v>
      </c>
    </row>
    <row r="4967" spans="1:1">
      <c r="A4967" s="11">
        <v>4964</v>
      </c>
    </row>
    <row r="4968" spans="1:1">
      <c r="A4968" s="11">
        <v>4965</v>
      </c>
    </row>
    <row r="4969" spans="1:1">
      <c r="A4969" s="11">
        <v>4966</v>
      </c>
    </row>
    <row r="4970" spans="1:1">
      <c r="A4970" s="11">
        <v>4967</v>
      </c>
    </row>
    <row r="4971" spans="1:1">
      <c r="A4971" s="11">
        <v>4968</v>
      </c>
    </row>
    <row r="4972" spans="1:1">
      <c r="A4972" s="11">
        <v>4969</v>
      </c>
    </row>
    <row r="4973" spans="1:1">
      <c r="A4973" s="11">
        <v>4970</v>
      </c>
    </row>
    <row r="4974" spans="1:1">
      <c r="A4974" s="11">
        <v>4971</v>
      </c>
    </row>
    <row r="4975" spans="1:1">
      <c r="A4975" s="11">
        <v>4972</v>
      </c>
    </row>
    <row r="4976" spans="1:1">
      <c r="A4976" s="11">
        <v>4973</v>
      </c>
    </row>
    <row r="4977" spans="1:1">
      <c r="A4977" s="11">
        <v>4974</v>
      </c>
    </row>
    <row r="4978" spans="1:1">
      <c r="A4978" s="11">
        <v>4975</v>
      </c>
    </row>
    <row r="4979" spans="1:1">
      <c r="A4979" s="11">
        <v>4976</v>
      </c>
    </row>
    <row r="4980" spans="1:1">
      <c r="A4980" s="11">
        <v>4977</v>
      </c>
    </row>
    <row r="4981" spans="1:1">
      <c r="A4981" s="11">
        <v>4978</v>
      </c>
    </row>
    <row r="4982" spans="1:1">
      <c r="A4982" s="11">
        <v>4979</v>
      </c>
    </row>
    <row r="4983" spans="1:1">
      <c r="A4983" s="11">
        <v>4980</v>
      </c>
    </row>
    <row r="4984" spans="1:1">
      <c r="A4984" s="11">
        <v>4981</v>
      </c>
    </row>
    <row r="4985" spans="1:1">
      <c r="A4985" s="11">
        <v>4982</v>
      </c>
    </row>
    <row r="4986" spans="1:1">
      <c r="A4986" s="11">
        <v>4983</v>
      </c>
    </row>
    <row r="4987" spans="1:1">
      <c r="A4987" s="11">
        <v>4984</v>
      </c>
    </row>
    <row r="4988" spans="1:1">
      <c r="A4988" s="11">
        <v>4985</v>
      </c>
    </row>
    <row r="4989" spans="1:1">
      <c r="A4989" s="11">
        <v>4986</v>
      </c>
    </row>
    <row r="4990" spans="1:1">
      <c r="A4990" s="11">
        <v>4987</v>
      </c>
    </row>
    <row r="4991" spans="1:1">
      <c r="A4991" s="11">
        <v>4988</v>
      </c>
    </row>
    <row r="4992" spans="1:1">
      <c r="A4992" s="11">
        <v>4989</v>
      </c>
    </row>
    <row r="4993" spans="1:1">
      <c r="A4993" s="11">
        <v>4990</v>
      </c>
    </row>
    <row r="4994" spans="1:1">
      <c r="A4994" s="11">
        <v>4991</v>
      </c>
    </row>
    <row r="4995" spans="1:1">
      <c r="A4995" s="11">
        <v>4992</v>
      </c>
    </row>
    <row r="4996" spans="1:1">
      <c r="A4996" s="11">
        <v>4993</v>
      </c>
    </row>
    <row r="4997" spans="1:1">
      <c r="A4997" s="11">
        <v>4994</v>
      </c>
    </row>
    <row r="4998" spans="1:1">
      <c r="A4998" s="11">
        <v>4995</v>
      </c>
    </row>
    <row r="4999" spans="1:1">
      <c r="A4999" s="11">
        <v>4996</v>
      </c>
    </row>
    <row r="5000" spans="1:1">
      <c r="A5000" s="11">
        <v>4997</v>
      </c>
    </row>
    <row r="5001" spans="1:1">
      <c r="A5001" s="11">
        <v>4998</v>
      </c>
    </row>
    <row r="5002" spans="1:1">
      <c r="A5002" s="11">
        <v>4999</v>
      </c>
    </row>
    <row r="5003" spans="1:1">
      <c r="A5003" s="11">
        <v>5000</v>
      </c>
    </row>
  </sheetData>
  <phoneticPr fontId="5" type="noConversion"/>
  <pageMargins left="0.7" right="0.7" top="0.75" bottom="0.75" header="0.3" footer="0.3"/>
  <pageSetup paperSize="9" orientation="portrait" horizontalDpi="75" verticalDpi="7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7"/>
  <dimension ref="A3:AI843"/>
  <sheetViews>
    <sheetView zoomScale="85" zoomScaleNormal="85" zoomScalePageLayoutView="85" workbookViewId="0">
      <selection activeCell="C4" sqref="C4:I139"/>
    </sheetView>
  </sheetViews>
  <sheetFormatPr defaultColWidth="8.86328125" defaultRowHeight="13.5"/>
  <cols>
    <col min="3" max="3" width="9.73046875" bestFit="1" customWidth="1"/>
    <col min="5" max="5" width="11" customWidth="1"/>
    <col min="7" max="7" width="10.3984375" customWidth="1"/>
    <col min="8" max="8" width="10.86328125" customWidth="1"/>
    <col min="18" max="18" width="10.86328125" customWidth="1"/>
    <col min="20" max="23" width="8.86328125" style="123"/>
    <col min="24" max="24" width="9.265625" style="123" bestFit="1" customWidth="1"/>
    <col min="25" max="25" width="12.1328125" style="123" bestFit="1" customWidth="1"/>
    <col min="26" max="32" width="8.86328125" style="123"/>
  </cols>
  <sheetData>
    <row r="3" spans="1:35" ht="15.75">
      <c r="C3" s="89"/>
      <c r="D3" s="89"/>
      <c r="E3" s="89"/>
      <c r="F3" s="89"/>
      <c r="G3" s="89"/>
      <c r="H3" s="89"/>
      <c r="I3" s="89"/>
      <c r="J3" s="89"/>
      <c r="K3" s="89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</row>
    <row r="4" spans="1:35">
      <c r="A4">
        <v>1</v>
      </c>
      <c r="B4">
        <v>1</v>
      </c>
      <c r="C4">
        <v>910</v>
      </c>
      <c r="D4">
        <v>0.38492230945105993</v>
      </c>
      <c r="E4">
        <v>61</v>
      </c>
      <c r="F4">
        <v>0</v>
      </c>
      <c r="G4">
        <v>0.62298963421249998</v>
      </c>
      <c r="H4">
        <v>5195.853685</v>
      </c>
      <c r="I4">
        <v>53</v>
      </c>
      <c r="J4">
        <v>8020</v>
      </c>
      <c r="K4">
        <v>14</v>
      </c>
      <c r="L4">
        <v>19</v>
      </c>
      <c r="M4">
        <v>13</v>
      </c>
      <c r="N4">
        <v>15</v>
      </c>
      <c r="T4" s="124"/>
      <c r="U4" s="125"/>
      <c r="V4" s="124"/>
      <c r="X4" s="124"/>
      <c r="Y4" s="124"/>
      <c r="Z4" s="124"/>
    </row>
    <row r="5" spans="1:35">
      <c r="A5">
        <v>1</v>
      </c>
      <c r="B5">
        <v>2</v>
      </c>
      <c r="C5">
        <v>440</v>
      </c>
      <c r="D5">
        <v>0.32438839382009033</v>
      </c>
      <c r="E5">
        <v>28</v>
      </c>
      <c r="F5">
        <v>0</v>
      </c>
      <c r="G5">
        <v>0.29541362174250002</v>
      </c>
      <c r="H5">
        <v>6165.4486970000034</v>
      </c>
      <c r="I5">
        <v>44</v>
      </c>
      <c r="J5">
        <v>8020</v>
      </c>
      <c r="K5">
        <v>7</v>
      </c>
      <c r="L5">
        <v>7</v>
      </c>
      <c r="M5">
        <v>8</v>
      </c>
      <c r="N5">
        <v>6</v>
      </c>
      <c r="T5" s="124"/>
      <c r="U5" s="125"/>
      <c r="V5" s="124"/>
      <c r="X5" s="124"/>
      <c r="Y5" s="124"/>
      <c r="Z5" s="124"/>
    </row>
    <row r="6" spans="1:35">
      <c r="A6">
        <v>2</v>
      </c>
      <c r="B6">
        <v>1</v>
      </c>
      <c r="C6">
        <v>824</v>
      </c>
      <c r="D6">
        <v>0.37062734305417494</v>
      </c>
      <c r="E6">
        <v>40</v>
      </c>
      <c r="F6">
        <v>0</v>
      </c>
      <c r="G6">
        <v>0.41392154753350247</v>
      </c>
      <c r="H6">
        <v>5396.2559360000005</v>
      </c>
      <c r="I6">
        <v>89</v>
      </c>
      <c r="J6">
        <v>8020</v>
      </c>
      <c r="K6">
        <v>11</v>
      </c>
      <c r="L6">
        <v>10</v>
      </c>
      <c r="M6">
        <v>11</v>
      </c>
      <c r="N6">
        <v>8</v>
      </c>
      <c r="T6" s="124"/>
      <c r="U6" s="125"/>
      <c r="V6" s="124"/>
      <c r="X6" s="124"/>
      <c r="Y6" s="124"/>
      <c r="Z6" s="124"/>
    </row>
    <row r="7" spans="1:35">
      <c r="A7">
        <v>2</v>
      </c>
      <c r="B7">
        <v>2</v>
      </c>
      <c r="C7">
        <v>595</v>
      </c>
      <c r="D7">
        <v>0.31583053998236077</v>
      </c>
      <c r="E7">
        <v>21</v>
      </c>
      <c r="F7">
        <v>0</v>
      </c>
      <c r="G7">
        <v>0.22468414369438286</v>
      </c>
      <c r="H7">
        <v>6332.5098330000028</v>
      </c>
      <c r="I7">
        <v>75</v>
      </c>
      <c r="J7">
        <v>8020</v>
      </c>
      <c r="K7">
        <v>5</v>
      </c>
      <c r="L7">
        <v>6</v>
      </c>
      <c r="M7">
        <v>5</v>
      </c>
      <c r="N7">
        <v>5</v>
      </c>
      <c r="T7" s="124"/>
      <c r="U7" s="125"/>
      <c r="V7" s="124"/>
      <c r="X7" s="124"/>
      <c r="Y7" s="124"/>
      <c r="Z7" s="124"/>
    </row>
    <row r="8" spans="1:35">
      <c r="A8">
        <v>3</v>
      </c>
      <c r="B8">
        <v>1</v>
      </c>
      <c r="C8">
        <v>1029</v>
      </c>
      <c r="D8">
        <v>0.40838763072007378</v>
      </c>
      <c r="E8">
        <v>66</v>
      </c>
      <c r="F8">
        <v>0</v>
      </c>
      <c r="G8">
        <v>0.67347852825688392</v>
      </c>
      <c r="H8">
        <v>4897.3079730000072</v>
      </c>
      <c r="I8">
        <v>84</v>
      </c>
      <c r="J8">
        <v>8020</v>
      </c>
      <c r="K8">
        <v>14</v>
      </c>
      <c r="L8">
        <v>17</v>
      </c>
      <c r="M8">
        <v>24</v>
      </c>
      <c r="N8">
        <v>11</v>
      </c>
      <c r="T8" s="124"/>
      <c r="U8" s="125"/>
      <c r="V8" s="124"/>
      <c r="X8" s="124"/>
      <c r="Y8" s="124"/>
      <c r="Z8" s="124"/>
    </row>
    <row r="9" spans="1:35">
      <c r="A9">
        <v>3</v>
      </c>
      <c r="B9">
        <v>2</v>
      </c>
      <c r="C9">
        <v>709</v>
      </c>
      <c r="D9">
        <v>0.3355229111148807</v>
      </c>
      <c r="E9">
        <v>23</v>
      </c>
      <c r="F9">
        <v>0</v>
      </c>
      <c r="G9">
        <v>0.24439105411437237</v>
      </c>
      <c r="H9">
        <v>5960.8448000000035</v>
      </c>
      <c r="I9">
        <v>81</v>
      </c>
      <c r="J9">
        <v>8020</v>
      </c>
      <c r="K9">
        <v>4</v>
      </c>
      <c r="L9">
        <v>6</v>
      </c>
      <c r="M9">
        <v>8</v>
      </c>
      <c r="N9">
        <v>5</v>
      </c>
      <c r="T9" s="124"/>
      <c r="U9" s="125"/>
      <c r="V9" s="124"/>
      <c r="X9" s="124"/>
      <c r="Y9" s="124"/>
      <c r="Z9" s="124"/>
    </row>
    <row r="10" spans="1:35">
      <c r="A10">
        <v>4</v>
      </c>
      <c r="B10">
        <v>1</v>
      </c>
      <c r="C10">
        <v>1201</v>
      </c>
      <c r="D10">
        <v>0.41717635840092321</v>
      </c>
      <c r="E10">
        <v>90</v>
      </c>
      <c r="F10">
        <v>0</v>
      </c>
      <c r="G10">
        <v>0.91338320417842367</v>
      </c>
      <c r="H10">
        <v>4794.1355250000042</v>
      </c>
      <c r="I10">
        <v>81</v>
      </c>
      <c r="J10">
        <v>8020</v>
      </c>
      <c r="K10">
        <v>30</v>
      </c>
      <c r="L10">
        <v>19</v>
      </c>
      <c r="M10">
        <v>25</v>
      </c>
      <c r="N10">
        <v>16</v>
      </c>
      <c r="T10" s="124"/>
      <c r="U10" s="125"/>
      <c r="V10" s="124"/>
      <c r="X10" s="124"/>
      <c r="Y10" s="124"/>
      <c r="Z10" s="124"/>
    </row>
    <row r="11" spans="1:35">
      <c r="A11">
        <v>4</v>
      </c>
      <c r="B11">
        <v>2</v>
      </c>
      <c r="C11">
        <v>816</v>
      </c>
      <c r="D11">
        <v>0.34531488606030697</v>
      </c>
      <c r="E11">
        <v>29</v>
      </c>
      <c r="F11">
        <v>0</v>
      </c>
      <c r="G11">
        <v>0.30425372032379838</v>
      </c>
      <c r="H11">
        <v>5791.815182999997</v>
      </c>
      <c r="I11">
        <v>82</v>
      </c>
      <c r="J11">
        <v>8020</v>
      </c>
      <c r="K11">
        <v>7</v>
      </c>
      <c r="L11">
        <v>7</v>
      </c>
      <c r="M11">
        <v>8</v>
      </c>
      <c r="N11">
        <v>7</v>
      </c>
      <c r="T11" s="124"/>
      <c r="U11" s="125"/>
      <c r="V11" s="124"/>
      <c r="X11" s="124"/>
      <c r="Y11" s="124"/>
      <c r="Z11" s="124"/>
    </row>
    <row r="12" spans="1:35">
      <c r="A12">
        <v>5</v>
      </c>
      <c r="B12">
        <v>1</v>
      </c>
      <c r="C12">
        <v>1451</v>
      </c>
      <c r="D12">
        <v>0.40077074554561559</v>
      </c>
      <c r="E12">
        <v>66</v>
      </c>
      <c r="F12">
        <v>0</v>
      </c>
      <c r="G12">
        <v>0.67356338207541455</v>
      </c>
      <c r="H12">
        <v>4990.3842090000071</v>
      </c>
      <c r="I12">
        <v>82</v>
      </c>
      <c r="J12">
        <v>8020</v>
      </c>
      <c r="K12">
        <v>20</v>
      </c>
      <c r="L12">
        <v>15</v>
      </c>
      <c r="M12">
        <v>17</v>
      </c>
      <c r="N12">
        <v>14</v>
      </c>
      <c r="T12" s="124"/>
      <c r="U12" s="125"/>
      <c r="V12" s="124"/>
      <c r="X12" s="124"/>
      <c r="Y12" s="124"/>
      <c r="Z12" s="124"/>
    </row>
    <row r="13" spans="1:35">
      <c r="A13">
        <v>5</v>
      </c>
      <c r="B13">
        <v>2</v>
      </c>
      <c r="C13">
        <v>720</v>
      </c>
      <c r="D13">
        <v>0.31383591150313989</v>
      </c>
      <c r="E13">
        <v>20</v>
      </c>
      <c r="F13">
        <v>0</v>
      </c>
      <c r="G13">
        <v>0.21471518707014062</v>
      </c>
      <c r="H13">
        <v>6372.7569940000003</v>
      </c>
      <c r="I13">
        <v>79</v>
      </c>
      <c r="J13">
        <v>8020</v>
      </c>
      <c r="K13">
        <v>5</v>
      </c>
      <c r="L13">
        <v>5</v>
      </c>
      <c r="M13">
        <v>6</v>
      </c>
      <c r="N13">
        <v>4</v>
      </c>
      <c r="T13" s="124"/>
      <c r="U13" s="125"/>
      <c r="V13" s="124"/>
      <c r="X13" s="124"/>
      <c r="Y13" s="124"/>
      <c r="Z13" s="124"/>
    </row>
    <row r="14" spans="1:35">
      <c r="A14" s="130">
        <v>6</v>
      </c>
      <c r="B14" s="130">
        <v>1</v>
      </c>
      <c r="C14" s="130">
        <v>865</v>
      </c>
      <c r="D14" s="130">
        <v>0.42622201476651883</v>
      </c>
      <c r="E14" s="130">
        <v>61</v>
      </c>
      <c r="F14" s="130">
        <v>0</v>
      </c>
      <c r="G14" s="130">
        <v>0.62328784970956408</v>
      </c>
      <c r="H14" s="130">
        <v>4692.3901879999903</v>
      </c>
      <c r="I14" s="130">
        <v>77</v>
      </c>
      <c r="J14" s="130">
        <v>8020</v>
      </c>
      <c r="K14" s="130">
        <v>14</v>
      </c>
      <c r="L14" s="130">
        <v>19</v>
      </c>
      <c r="M14" s="130">
        <v>16</v>
      </c>
      <c r="N14" s="130">
        <v>12</v>
      </c>
      <c r="O14" s="130"/>
      <c r="P14" s="130"/>
      <c r="Q14" s="130"/>
      <c r="T14" s="124"/>
      <c r="U14" s="125"/>
      <c r="V14" s="124"/>
      <c r="X14" s="124"/>
      <c r="Y14" s="124"/>
      <c r="Z14" s="124"/>
    </row>
    <row r="15" spans="1:35" s="84" customFormat="1">
      <c r="A15" s="130">
        <v>6</v>
      </c>
      <c r="B15" s="130">
        <v>2</v>
      </c>
      <c r="C15" s="130">
        <v>831</v>
      </c>
      <c r="D15" s="130">
        <v>0.33463340256289903</v>
      </c>
      <c r="E15" s="130">
        <v>21</v>
      </c>
      <c r="F15" s="130">
        <v>0</v>
      </c>
      <c r="G15" s="130">
        <v>0.22440379406601099</v>
      </c>
      <c r="H15" s="130">
        <v>5976.6896690000094</v>
      </c>
      <c r="I15" s="130">
        <v>80</v>
      </c>
      <c r="J15" s="130">
        <v>8020</v>
      </c>
      <c r="K15" s="130">
        <v>5</v>
      </c>
      <c r="L15" s="130">
        <v>7</v>
      </c>
      <c r="M15" s="130">
        <v>5</v>
      </c>
      <c r="N15" s="130">
        <v>4</v>
      </c>
      <c r="O15" s="130"/>
      <c r="P15" s="130"/>
      <c r="Q15" s="130"/>
      <c r="T15" s="124"/>
      <c r="U15" s="125"/>
      <c r="V15" s="124"/>
      <c r="W15" s="123"/>
      <c r="X15" s="124"/>
      <c r="Y15" s="124"/>
      <c r="Z15" s="124"/>
      <c r="AA15" s="123"/>
      <c r="AB15" s="123"/>
      <c r="AC15" s="123"/>
      <c r="AD15" s="123"/>
      <c r="AE15" s="123"/>
      <c r="AF15" s="123"/>
    </row>
    <row r="16" spans="1:35">
      <c r="A16" s="130">
        <v>7</v>
      </c>
      <c r="B16" s="130">
        <v>1</v>
      </c>
      <c r="C16" s="130">
        <v>499</v>
      </c>
      <c r="D16" s="130">
        <v>0.42554774708065007</v>
      </c>
      <c r="E16" s="130">
        <v>153</v>
      </c>
      <c r="F16" s="130">
        <v>0</v>
      </c>
      <c r="G16" s="130">
        <v>1.5432948640730839</v>
      </c>
      <c r="H16" s="130">
        <v>4699.8251399999981</v>
      </c>
      <c r="I16" s="130">
        <v>77</v>
      </c>
      <c r="J16" s="130">
        <v>8020</v>
      </c>
      <c r="K16" s="130">
        <v>38</v>
      </c>
      <c r="L16" s="130">
        <v>31</v>
      </c>
      <c r="M16" s="130">
        <v>56</v>
      </c>
      <c r="N16" s="130">
        <v>28</v>
      </c>
      <c r="O16" s="130"/>
      <c r="P16" s="130"/>
      <c r="Q16" s="130"/>
      <c r="T16" s="124"/>
      <c r="U16" s="125"/>
      <c r="V16" s="124"/>
      <c r="X16" s="124"/>
      <c r="Y16" s="124"/>
      <c r="Z16" s="124"/>
    </row>
    <row r="17" spans="1:32">
      <c r="A17" s="130">
        <v>7</v>
      </c>
      <c r="B17" s="130">
        <v>2</v>
      </c>
      <c r="C17" s="130">
        <v>952</v>
      </c>
      <c r="D17" s="130">
        <v>0.33486914621011538</v>
      </c>
      <c r="E17" s="130">
        <v>31</v>
      </c>
      <c r="F17" s="130">
        <v>0</v>
      </c>
      <c r="G17" s="130">
        <v>0.32440041324286695</v>
      </c>
      <c r="H17" s="130">
        <v>5972.4821549999997</v>
      </c>
      <c r="I17" s="130">
        <v>79</v>
      </c>
      <c r="J17" s="130">
        <v>8020</v>
      </c>
      <c r="K17" s="130">
        <v>7</v>
      </c>
      <c r="L17" s="130">
        <v>8</v>
      </c>
      <c r="M17" s="130">
        <v>9</v>
      </c>
      <c r="N17" s="130">
        <v>7</v>
      </c>
      <c r="O17" s="130"/>
      <c r="P17" s="130"/>
      <c r="Q17" s="130"/>
      <c r="T17" s="124"/>
      <c r="U17" s="125"/>
      <c r="V17" s="124"/>
      <c r="X17" s="124"/>
      <c r="Y17" s="124"/>
      <c r="Z17" s="124"/>
    </row>
    <row r="18" spans="1:32">
      <c r="A18" s="130">
        <v>8</v>
      </c>
      <c r="B18" s="130">
        <v>1</v>
      </c>
      <c r="C18" s="130">
        <v>1151</v>
      </c>
      <c r="D18" s="130">
        <v>0.39245032339965075</v>
      </c>
      <c r="E18" s="130">
        <v>38</v>
      </c>
      <c r="F18" s="130">
        <v>0</v>
      </c>
      <c r="G18" s="130">
        <v>0.39365856591603021</v>
      </c>
      <c r="H18" s="130">
        <v>5096.1863979999971</v>
      </c>
      <c r="I18" s="130">
        <v>79</v>
      </c>
      <c r="J18" s="130">
        <v>8020</v>
      </c>
      <c r="K18" s="130">
        <v>10</v>
      </c>
      <c r="L18" s="130">
        <v>9</v>
      </c>
      <c r="M18" s="130">
        <v>10</v>
      </c>
      <c r="N18" s="130">
        <v>9</v>
      </c>
      <c r="O18" s="130"/>
      <c r="P18" s="130"/>
      <c r="Q18" s="130"/>
      <c r="T18" s="124"/>
      <c r="U18" s="125"/>
      <c r="V18" s="124"/>
      <c r="X18" s="124"/>
      <c r="Y18" s="124"/>
      <c r="Z18" s="124"/>
    </row>
    <row r="19" spans="1:32" s="84" customFormat="1">
      <c r="A19" s="130">
        <v>8</v>
      </c>
      <c r="B19" s="130">
        <v>2</v>
      </c>
      <c r="C19" s="130">
        <v>1029</v>
      </c>
      <c r="D19" s="130">
        <v>0.32343753939822972</v>
      </c>
      <c r="E19" s="130">
        <v>19</v>
      </c>
      <c r="F19" s="130">
        <v>0</v>
      </c>
      <c r="G19" s="130">
        <v>0.20456810932345867</v>
      </c>
      <c r="H19" s="130">
        <v>6183.5741260000032</v>
      </c>
      <c r="I19" s="130">
        <v>76</v>
      </c>
      <c r="J19" s="130">
        <v>8020</v>
      </c>
      <c r="K19" s="130">
        <v>4</v>
      </c>
      <c r="L19" s="130">
        <v>5</v>
      </c>
      <c r="M19" s="130">
        <v>6</v>
      </c>
      <c r="N19" s="130">
        <v>4</v>
      </c>
      <c r="O19" s="130"/>
      <c r="P19" s="130"/>
      <c r="Q19" s="130"/>
      <c r="T19" s="124"/>
      <c r="U19" s="125"/>
      <c r="V19" s="124"/>
      <c r="W19" s="123"/>
      <c r="X19" s="124"/>
      <c r="Y19" s="124"/>
      <c r="Z19" s="124"/>
      <c r="AA19" s="123"/>
      <c r="AB19" s="123"/>
      <c r="AC19" s="123"/>
      <c r="AD19" s="123"/>
      <c r="AE19" s="123"/>
      <c r="AF19" s="123"/>
    </row>
    <row r="20" spans="1:32">
      <c r="A20" s="130">
        <v>9</v>
      </c>
      <c r="B20" s="130">
        <v>1</v>
      </c>
      <c r="C20" s="130">
        <v>896</v>
      </c>
      <c r="D20" s="130">
        <v>0.40034359416907672</v>
      </c>
      <c r="E20" s="130">
        <v>62</v>
      </c>
      <c r="F20" s="130">
        <v>0</v>
      </c>
      <c r="G20" s="130">
        <v>0.63356820423160398</v>
      </c>
      <c r="H20" s="130">
        <v>4995.7087590000056</v>
      </c>
      <c r="I20" s="130">
        <v>78</v>
      </c>
      <c r="J20" s="130">
        <v>8020</v>
      </c>
      <c r="K20" s="130">
        <v>17</v>
      </c>
      <c r="L20" s="130">
        <v>18</v>
      </c>
      <c r="M20" s="130">
        <v>14</v>
      </c>
      <c r="N20" s="130">
        <v>13</v>
      </c>
      <c r="O20" s="130"/>
      <c r="P20" s="130"/>
      <c r="Q20" s="130"/>
      <c r="T20" s="124"/>
      <c r="U20" s="125"/>
      <c r="V20" s="124"/>
      <c r="X20" s="124"/>
      <c r="Y20" s="124"/>
      <c r="Z20" s="124"/>
    </row>
    <row r="21" spans="1:32">
      <c r="A21" s="130">
        <v>9</v>
      </c>
      <c r="B21" s="130">
        <v>2</v>
      </c>
      <c r="C21" s="130">
        <v>1110</v>
      </c>
      <c r="D21" s="130">
        <v>0.33375563183112189</v>
      </c>
      <c r="E21" s="130">
        <v>26</v>
      </c>
      <c r="F21" s="130">
        <v>0</v>
      </c>
      <c r="G21" s="130">
        <v>0.27441641024384184</v>
      </c>
      <c r="H21" s="130">
        <v>5992.4082450000024</v>
      </c>
      <c r="I21" s="130">
        <v>78</v>
      </c>
      <c r="J21" s="130">
        <v>8020</v>
      </c>
      <c r="K21" s="130">
        <v>6</v>
      </c>
      <c r="L21" s="130">
        <v>7</v>
      </c>
      <c r="M21" s="130">
        <v>7</v>
      </c>
      <c r="N21" s="130">
        <v>6</v>
      </c>
      <c r="O21" s="130"/>
      <c r="P21" s="130"/>
      <c r="Q21" s="130"/>
      <c r="T21" s="124"/>
      <c r="U21" s="125"/>
      <c r="V21" s="124"/>
      <c r="X21" s="124"/>
      <c r="Y21" s="124"/>
      <c r="Z21" s="124"/>
    </row>
    <row r="22" spans="1:32">
      <c r="A22">
        <v>10</v>
      </c>
      <c r="B22">
        <v>1</v>
      </c>
      <c r="C22">
        <v>1131</v>
      </c>
      <c r="D22">
        <v>0.39252624649072121</v>
      </c>
      <c r="E22">
        <v>60</v>
      </c>
      <c r="F22">
        <v>0</v>
      </c>
      <c r="G22">
        <v>0.61365768523826669</v>
      </c>
      <c r="H22">
        <v>5095.2006849999962</v>
      </c>
      <c r="I22">
        <v>78</v>
      </c>
      <c r="J22">
        <v>8020</v>
      </c>
      <c r="K22">
        <v>15</v>
      </c>
      <c r="L22">
        <v>10</v>
      </c>
      <c r="M22">
        <v>22</v>
      </c>
      <c r="N22">
        <v>13</v>
      </c>
      <c r="T22" s="124"/>
      <c r="U22" s="125"/>
      <c r="V22" s="124"/>
      <c r="X22" s="124"/>
      <c r="Y22" s="124"/>
      <c r="Z22" s="124"/>
    </row>
    <row r="23" spans="1:32">
      <c r="A23">
        <v>10</v>
      </c>
      <c r="B23">
        <v>2</v>
      </c>
      <c r="C23">
        <v>570</v>
      </c>
      <c r="D23">
        <v>0.3129788558400256</v>
      </c>
      <c r="E23">
        <v>21</v>
      </c>
      <c r="F23">
        <v>0</v>
      </c>
      <c r="G23">
        <v>0.22472860676260342</v>
      </c>
      <c r="H23">
        <v>6390.2080370000131</v>
      </c>
      <c r="I23">
        <v>76</v>
      </c>
      <c r="J23">
        <v>8020</v>
      </c>
      <c r="K23">
        <v>6</v>
      </c>
      <c r="L23">
        <v>5</v>
      </c>
      <c r="M23">
        <v>6</v>
      </c>
      <c r="N23">
        <v>4</v>
      </c>
      <c r="T23" s="124"/>
      <c r="U23" s="125"/>
      <c r="V23" s="124"/>
      <c r="X23" s="124"/>
      <c r="Y23" s="124"/>
      <c r="Z23" s="124"/>
    </row>
    <row r="24" spans="1:32">
      <c r="A24">
        <v>11</v>
      </c>
      <c r="B24">
        <v>1</v>
      </c>
      <c r="C24">
        <v>443</v>
      </c>
      <c r="D24">
        <v>0.43855443395402866</v>
      </c>
      <c r="E24">
        <v>18</v>
      </c>
      <c r="F24">
        <v>0</v>
      </c>
      <c r="G24">
        <v>0.19316210945138834</v>
      </c>
      <c r="H24">
        <v>4560.4373029999952</v>
      </c>
      <c r="I24">
        <v>75</v>
      </c>
      <c r="J24">
        <v>8020</v>
      </c>
      <c r="K24">
        <v>4</v>
      </c>
      <c r="L24">
        <v>5</v>
      </c>
      <c r="M24">
        <v>5</v>
      </c>
      <c r="N24">
        <v>4</v>
      </c>
      <c r="T24" s="124"/>
      <c r="U24" s="125"/>
      <c r="V24" s="124"/>
      <c r="X24" s="124"/>
      <c r="Y24" s="124"/>
      <c r="Z24" s="124"/>
    </row>
    <row r="25" spans="1:32">
      <c r="A25">
        <v>11</v>
      </c>
      <c r="B25">
        <v>2</v>
      </c>
      <c r="C25">
        <v>472</v>
      </c>
      <c r="D25">
        <v>0.35586390482813435</v>
      </c>
      <c r="E25">
        <v>9</v>
      </c>
      <c r="F25">
        <v>0</v>
      </c>
      <c r="G25">
        <v>0.10411146230644165</v>
      </c>
      <c r="H25">
        <v>5620.1260450000027</v>
      </c>
      <c r="I25">
        <v>74</v>
      </c>
      <c r="J25">
        <v>8020</v>
      </c>
      <c r="K25">
        <v>2</v>
      </c>
      <c r="L25">
        <v>2</v>
      </c>
      <c r="M25">
        <v>3</v>
      </c>
      <c r="N25">
        <v>2</v>
      </c>
      <c r="T25" s="124"/>
      <c r="U25" s="125"/>
      <c r="V25" s="124"/>
      <c r="X25" s="124"/>
      <c r="Y25" s="124"/>
      <c r="Z25" s="124"/>
    </row>
    <row r="26" spans="1:32">
      <c r="A26">
        <v>12</v>
      </c>
      <c r="B26">
        <v>1</v>
      </c>
      <c r="C26">
        <v>1085</v>
      </c>
      <c r="D26">
        <v>0.43827706721241511</v>
      </c>
      <c r="E26">
        <v>18</v>
      </c>
      <c r="F26">
        <v>0</v>
      </c>
      <c r="G26">
        <v>0.19316488544388613</v>
      </c>
      <c r="H26">
        <v>4563.3234079999929</v>
      </c>
      <c r="I26">
        <v>75</v>
      </c>
      <c r="J26">
        <v>8020</v>
      </c>
      <c r="K26">
        <v>4</v>
      </c>
      <c r="L26">
        <v>5</v>
      </c>
      <c r="M26">
        <v>4</v>
      </c>
      <c r="N26">
        <v>5</v>
      </c>
      <c r="T26" s="124"/>
      <c r="U26" s="125"/>
      <c r="V26" s="124"/>
      <c r="X26" s="124"/>
      <c r="Y26" s="124"/>
      <c r="Z26" s="124"/>
    </row>
    <row r="27" spans="1:32">
      <c r="A27">
        <v>12</v>
      </c>
      <c r="B27">
        <v>2</v>
      </c>
      <c r="C27">
        <v>456</v>
      </c>
      <c r="D27">
        <v>0.35212431308295472</v>
      </c>
      <c r="E27">
        <v>9</v>
      </c>
      <c r="F27">
        <v>0</v>
      </c>
      <c r="G27">
        <v>0.1041612414981974</v>
      </c>
      <c r="H27">
        <v>5679.812286999997</v>
      </c>
      <c r="I27">
        <v>74</v>
      </c>
      <c r="J27">
        <v>8020</v>
      </c>
      <c r="K27">
        <v>2</v>
      </c>
      <c r="L27">
        <v>2</v>
      </c>
      <c r="M27">
        <v>3</v>
      </c>
      <c r="N27">
        <v>2</v>
      </c>
      <c r="T27" s="124"/>
      <c r="U27" s="125"/>
      <c r="V27" s="124"/>
      <c r="X27" s="124"/>
      <c r="Y27" s="124"/>
      <c r="Z27" s="124"/>
    </row>
    <row r="28" spans="1:32">
      <c r="A28">
        <v>13</v>
      </c>
      <c r="B28">
        <v>1</v>
      </c>
      <c r="C28">
        <v>753</v>
      </c>
      <c r="D28">
        <v>0.43555677175201818</v>
      </c>
      <c r="E28">
        <v>17</v>
      </c>
      <c r="F28">
        <v>0</v>
      </c>
      <c r="G28">
        <v>0.18319223593865616</v>
      </c>
      <c r="H28">
        <v>4591.8239130000002</v>
      </c>
      <c r="I28">
        <v>71</v>
      </c>
      <c r="J28">
        <v>8020</v>
      </c>
      <c r="K28">
        <v>4</v>
      </c>
      <c r="L28">
        <v>5</v>
      </c>
      <c r="M28">
        <v>4</v>
      </c>
      <c r="N28">
        <v>4</v>
      </c>
      <c r="T28" s="124"/>
      <c r="U28" s="125"/>
      <c r="V28" s="124"/>
      <c r="X28" s="124"/>
      <c r="Y28" s="124"/>
      <c r="Z28" s="124"/>
    </row>
    <row r="29" spans="1:32">
      <c r="A29">
        <v>13</v>
      </c>
      <c r="B29">
        <v>2</v>
      </c>
      <c r="C29">
        <v>364</v>
      </c>
      <c r="D29">
        <v>0.35396976716007295</v>
      </c>
      <c r="E29">
        <v>9</v>
      </c>
      <c r="F29">
        <v>0</v>
      </c>
      <c r="G29">
        <v>0.1041365882909658</v>
      </c>
      <c r="H29">
        <v>5650.2000610000005</v>
      </c>
      <c r="I29">
        <v>69</v>
      </c>
      <c r="J29">
        <v>8020</v>
      </c>
      <c r="K29">
        <v>2</v>
      </c>
      <c r="L29">
        <v>3</v>
      </c>
      <c r="M29">
        <v>2</v>
      </c>
      <c r="N29">
        <v>2</v>
      </c>
      <c r="T29" s="124"/>
      <c r="U29" s="125"/>
      <c r="V29" s="124"/>
      <c r="X29" s="124"/>
      <c r="Y29" s="124"/>
      <c r="Z29" s="124"/>
    </row>
    <row r="30" spans="1:32">
      <c r="A30">
        <v>14</v>
      </c>
      <c r="B30">
        <v>1</v>
      </c>
      <c r="C30">
        <v>630</v>
      </c>
      <c r="D30">
        <v>0.4271842270368012</v>
      </c>
      <c r="E30">
        <v>16</v>
      </c>
      <c r="F30">
        <v>0</v>
      </c>
      <c r="G30">
        <v>0.17327786545842258</v>
      </c>
      <c r="H30">
        <v>4681.8208009999944</v>
      </c>
      <c r="I30">
        <v>68</v>
      </c>
      <c r="J30">
        <v>8020</v>
      </c>
      <c r="K30">
        <v>4</v>
      </c>
      <c r="L30">
        <v>4</v>
      </c>
      <c r="M30">
        <v>4</v>
      </c>
      <c r="N30">
        <v>4</v>
      </c>
      <c r="T30" s="124"/>
      <c r="U30" s="125"/>
      <c r="V30" s="124"/>
      <c r="X30" s="124"/>
      <c r="Y30" s="124"/>
      <c r="Z30" s="124"/>
    </row>
    <row r="31" spans="1:32">
      <c r="A31">
        <v>14</v>
      </c>
      <c r="B31">
        <v>2</v>
      </c>
      <c r="C31">
        <v>389</v>
      </c>
      <c r="D31">
        <v>0.33591993192555702</v>
      </c>
      <c r="E31">
        <v>8</v>
      </c>
      <c r="F31">
        <v>0</v>
      </c>
      <c r="G31">
        <v>9.4385382325911704E-2</v>
      </c>
      <c r="H31">
        <v>5953.7997300000006</v>
      </c>
      <c r="I31">
        <v>71</v>
      </c>
      <c r="J31">
        <v>8020</v>
      </c>
      <c r="K31">
        <v>2</v>
      </c>
      <c r="L31">
        <v>2</v>
      </c>
      <c r="M31">
        <v>2</v>
      </c>
      <c r="N31">
        <v>2</v>
      </c>
      <c r="T31" s="124"/>
      <c r="U31" s="125"/>
      <c r="V31" s="124"/>
      <c r="X31" s="124"/>
      <c r="Y31" s="124"/>
      <c r="Z31" s="124"/>
    </row>
    <row r="32" spans="1:32">
      <c r="A32">
        <v>15</v>
      </c>
      <c r="B32">
        <v>1</v>
      </c>
      <c r="C32">
        <v>442</v>
      </c>
      <c r="D32">
        <v>0.43710680573622418</v>
      </c>
      <c r="E32">
        <v>17</v>
      </c>
      <c r="F32">
        <v>0</v>
      </c>
      <c r="G32">
        <v>0.18317662371120147</v>
      </c>
      <c r="H32">
        <v>4575.5407459999997</v>
      </c>
      <c r="I32">
        <v>70</v>
      </c>
      <c r="J32">
        <v>8020</v>
      </c>
      <c r="K32">
        <v>4</v>
      </c>
      <c r="L32">
        <v>5</v>
      </c>
      <c r="M32">
        <v>4</v>
      </c>
      <c r="N32">
        <v>4</v>
      </c>
      <c r="T32" s="124"/>
      <c r="U32" s="125"/>
      <c r="V32" s="124"/>
      <c r="X32" s="124"/>
      <c r="Y32" s="124"/>
      <c r="Z32" s="124"/>
    </row>
    <row r="33" spans="1:26">
      <c r="A33">
        <v>15</v>
      </c>
      <c r="B33">
        <v>2</v>
      </c>
      <c r="C33">
        <v>493</v>
      </c>
      <c r="D33">
        <v>0.3538417704025863</v>
      </c>
      <c r="E33">
        <v>9</v>
      </c>
      <c r="F33">
        <v>0</v>
      </c>
      <c r="G33">
        <v>0.10413829264912784</v>
      </c>
      <c r="H33">
        <v>5652.243933000007</v>
      </c>
      <c r="I33">
        <v>68</v>
      </c>
      <c r="J33">
        <v>8020</v>
      </c>
      <c r="K33">
        <v>2</v>
      </c>
      <c r="L33">
        <v>3</v>
      </c>
      <c r="M33">
        <v>2</v>
      </c>
      <c r="N33">
        <v>2</v>
      </c>
      <c r="T33" s="124"/>
      <c r="U33" s="125"/>
      <c r="V33" s="124"/>
      <c r="X33" s="124"/>
      <c r="Y33" s="124"/>
      <c r="Z33" s="124"/>
    </row>
    <row r="34" spans="1:26">
      <c r="A34">
        <v>16</v>
      </c>
      <c r="B34">
        <v>1</v>
      </c>
      <c r="C34">
        <v>587</v>
      </c>
      <c r="D34">
        <v>0.43521060038211756</v>
      </c>
      <c r="E34">
        <v>21</v>
      </c>
      <c r="F34">
        <v>0</v>
      </c>
      <c r="G34">
        <v>0.22319573276226032</v>
      </c>
      <c r="H34">
        <v>4595.4763009999933</v>
      </c>
      <c r="I34">
        <v>77</v>
      </c>
      <c r="J34">
        <v>8020</v>
      </c>
      <c r="K34">
        <v>5</v>
      </c>
      <c r="L34">
        <v>6</v>
      </c>
      <c r="M34">
        <v>5</v>
      </c>
      <c r="N34">
        <v>5</v>
      </c>
      <c r="T34" s="124"/>
      <c r="U34" s="125"/>
      <c r="V34" s="124"/>
      <c r="X34" s="124"/>
      <c r="Y34" s="124"/>
      <c r="Z34" s="124"/>
    </row>
    <row r="35" spans="1:26">
      <c r="A35">
        <v>16</v>
      </c>
      <c r="B35">
        <v>2</v>
      </c>
      <c r="C35">
        <v>615</v>
      </c>
      <c r="D35">
        <v>0.34770190434457238</v>
      </c>
      <c r="E35">
        <v>9</v>
      </c>
      <c r="F35">
        <v>0</v>
      </c>
      <c r="G35">
        <v>0.10422102752153795</v>
      </c>
      <c r="H35">
        <v>5752.0536269999866</v>
      </c>
      <c r="I35">
        <v>76</v>
      </c>
      <c r="J35">
        <v>8020</v>
      </c>
      <c r="K35">
        <v>2</v>
      </c>
      <c r="L35">
        <v>3</v>
      </c>
      <c r="M35">
        <v>2</v>
      </c>
      <c r="N35">
        <v>2</v>
      </c>
      <c r="T35" s="124"/>
      <c r="U35" s="125"/>
      <c r="V35" s="124"/>
      <c r="X35" s="124"/>
      <c r="Y35" s="124"/>
      <c r="Z35" s="124"/>
    </row>
    <row r="36" spans="1:26">
      <c r="A36">
        <v>17</v>
      </c>
      <c r="B36">
        <v>1</v>
      </c>
      <c r="C36">
        <v>606</v>
      </c>
      <c r="D36">
        <v>0.42963970532677065</v>
      </c>
      <c r="E36">
        <v>16</v>
      </c>
      <c r="F36">
        <v>0</v>
      </c>
      <c r="G36">
        <v>0.17325252188190987</v>
      </c>
      <c r="H36">
        <v>4655.0632429999969</v>
      </c>
      <c r="I36">
        <v>76</v>
      </c>
      <c r="J36">
        <v>8020</v>
      </c>
      <c r="K36">
        <v>4</v>
      </c>
      <c r="L36">
        <v>4</v>
      </c>
      <c r="M36">
        <v>4</v>
      </c>
      <c r="N36">
        <v>4</v>
      </c>
      <c r="T36" s="124"/>
      <c r="U36" s="125"/>
      <c r="V36" s="124"/>
      <c r="X36" s="124"/>
      <c r="Y36" s="124"/>
      <c r="Z36" s="124"/>
    </row>
    <row r="37" spans="1:26">
      <c r="A37">
        <v>17</v>
      </c>
      <c r="B37">
        <v>2</v>
      </c>
      <c r="C37">
        <v>500</v>
      </c>
      <c r="D37">
        <v>0.33975999384613115</v>
      </c>
      <c r="E37">
        <v>8</v>
      </c>
      <c r="F37">
        <v>0</v>
      </c>
      <c r="G37">
        <v>9.4330980991583699E-2</v>
      </c>
      <c r="H37">
        <v>5886.5082299999985</v>
      </c>
      <c r="I37">
        <v>76</v>
      </c>
      <c r="J37">
        <v>8020</v>
      </c>
      <c r="K37">
        <v>2</v>
      </c>
      <c r="L37">
        <v>2</v>
      </c>
      <c r="M37">
        <v>2</v>
      </c>
      <c r="N37">
        <v>2</v>
      </c>
      <c r="T37" s="124"/>
      <c r="U37" s="125"/>
      <c r="V37" s="124"/>
      <c r="X37" s="124"/>
      <c r="Y37" s="124"/>
      <c r="Z37" s="124"/>
    </row>
    <row r="38" spans="1:26">
      <c r="A38">
        <v>18</v>
      </c>
      <c r="B38">
        <v>1</v>
      </c>
      <c r="C38">
        <v>580</v>
      </c>
      <c r="D38">
        <v>0.43766999203701956</v>
      </c>
      <c r="E38">
        <v>19</v>
      </c>
      <c r="F38">
        <v>0</v>
      </c>
      <c r="G38">
        <v>0.20317096946682853</v>
      </c>
      <c r="H38">
        <v>4569.6530179999945</v>
      </c>
      <c r="I38">
        <v>78</v>
      </c>
      <c r="J38">
        <v>8020</v>
      </c>
      <c r="K38">
        <v>5</v>
      </c>
      <c r="L38">
        <v>5</v>
      </c>
      <c r="M38">
        <v>5</v>
      </c>
      <c r="N38">
        <v>4</v>
      </c>
      <c r="T38" s="124"/>
      <c r="U38" s="125"/>
      <c r="V38" s="124"/>
      <c r="X38" s="124"/>
      <c r="Y38" s="124"/>
      <c r="Z38" s="124"/>
    </row>
    <row r="39" spans="1:26">
      <c r="A39">
        <v>18</v>
      </c>
      <c r="B39">
        <v>2</v>
      </c>
      <c r="C39">
        <v>540</v>
      </c>
      <c r="D39">
        <v>0.34887840074630927</v>
      </c>
      <c r="E39">
        <v>9</v>
      </c>
      <c r="F39">
        <v>0</v>
      </c>
      <c r="G39">
        <v>0.10420502401824512</v>
      </c>
      <c r="H39">
        <v>5732.6564089999993</v>
      </c>
      <c r="I39">
        <v>74</v>
      </c>
      <c r="J39">
        <v>8020</v>
      </c>
      <c r="K39">
        <v>2</v>
      </c>
      <c r="L39">
        <v>2</v>
      </c>
      <c r="M39">
        <v>3</v>
      </c>
      <c r="N39">
        <v>2</v>
      </c>
      <c r="T39" s="124"/>
      <c r="U39" s="125"/>
      <c r="V39" s="124"/>
      <c r="X39" s="124"/>
      <c r="Y39" s="124"/>
      <c r="Z39" s="124"/>
    </row>
    <row r="40" spans="1:26">
      <c r="A40">
        <v>19</v>
      </c>
      <c r="B40">
        <v>1</v>
      </c>
      <c r="C40">
        <v>930</v>
      </c>
      <c r="D40">
        <v>0.43618421317713918</v>
      </c>
      <c r="E40">
        <v>17</v>
      </c>
      <c r="F40">
        <v>0</v>
      </c>
      <c r="G40">
        <v>0.18318590732246304</v>
      </c>
      <c r="H40">
        <v>4585.218675000001</v>
      </c>
      <c r="I40">
        <v>77</v>
      </c>
      <c r="J40">
        <v>8020</v>
      </c>
      <c r="K40">
        <v>4</v>
      </c>
      <c r="L40">
        <v>4</v>
      </c>
      <c r="M40">
        <v>5</v>
      </c>
      <c r="N40">
        <v>4</v>
      </c>
      <c r="T40" s="124"/>
      <c r="U40" s="125"/>
      <c r="V40" s="124"/>
      <c r="X40" s="124"/>
      <c r="Y40" s="124"/>
      <c r="Z40" s="124"/>
    </row>
    <row r="41" spans="1:26">
      <c r="A41">
        <v>19</v>
      </c>
      <c r="B41">
        <v>2</v>
      </c>
      <c r="C41">
        <v>422</v>
      </c>
      <c r="D41">
        <v>0.35564741526805449</v>
      </c>
      <c r="E41">
        <v>9</v>
      </c>
      <c r="F41">
        <v>0</v>
      </c>
      <c r="G41">
        <v>0.10411432503365306</v>
      </c>
      <c r="H41">
        <v>5623.5471260000104</v>
      </c>
      <c r="I41">
        <v>74</v>
      </c>
      <c r="J41">
        <v>8020</v>
      </c>
      <c r="K41">
        <v>2</v>
      </c>
      <c r="L41">
        <v>2</v>
      </c>
      <c r="M41">
        <v>3</v>
      </c>
      <c r="N41">
        <v>2</v>
      </c>
      <c r="T41" s="124"/>
      <c r="U41" s="125"/>
      <c r="V41" s="124"/>
      <c r="X41" s="124"/>
      <c r="Y41" s="124"/>
      <c r="Z41" s="124"/>
    </row>
    <row r="42" spans="1:26">
      <c r="A42">
        <v>20</v>
      </c>
      <c r="B42">
        <v>1</v>
      </c>
      <c r="C42">
        <v>565</v>
      </c>
      <c r="D42">
        <v>0.43867010382327537</v>
      </c>
      <c r="E42">
        <v>18</v>
      </c>
      <c r="F42">
        <v>0</v>
      </c>
      <c r="G42">
        <v>0.19316095247465256</v>
      </c>
      <c r="H42">
        <v>4559.2347930000014</v>
      </c>
      <c r="I42">
        <v>77</v>
      </c>
      <c r="J42">
        <v>8020</v>
      </c>
      <c r="K42">
        <v>4</v>
      </c>
      <c r="L42">
        <v>4</v>
      </c>
      <c r="M42">
        <v>5</v>
      </c>
      <c r="N42">
        <v>5</v>
      </c>
      <c r="T42" s="124"/>
      <c r="U42" s="125"/>
      <c r="V42" s="124"/>
      <c r="X42" s="124"/>
      <c r="Y42" s="124"/>
      <c r="Z42" s="124"/>
    </row>
    <row r="43" spans="1:26">
      <c r="A43">
        <v>20</v>
      </c>
      <c r="B43">
        <v>2</v>
      </c>
      <c r="C43">
        <v>337</v>
      </c>
      <c r="D43">
        <v>0.35324743992307522</v>
      </c>
      <c r="E43">
        <v>9</v>
      </c>
      <c r="F43">
        <v>0</v>
      </c>
      <c r="G43">
        <v>0.10414621732098288</v>
      </c>
      <c r="H43">
        <v>5661.7537000000029</v>
      </c>
      <c r="I43">
        <v>74</v>
      </c>
      <c r="J43">
        <v>8020</v>
      </c>
      <c r="K43">
        <v>2</v>
      </c>
      <c r="L43">
        <v>3</v>
      </c>
      <c r="M43">
        <v>2</v>
      </c>
      <c r="N43">
        <v>2</v>
      </c>
      <c r="T43" s="124"/>
      <c r="U43" s="125"/>
      <c r="V43" s="124"/>
      <c r="X43" s="124"/>
      <c r="Y43" s="124"/>
      <c r="Z43" s="124"/>
    </row>
    <row r="44" spans="1:26">
      <c r="A44">
        <v>21</v>
      </c>
      <c r="B44">
        <v>1</v>
      </c>
      <c r="C44">
        <v>510</v>
      </c>
      <c r="D44">
        <v>0.23626968348128671</v>
      </c>
      <c r="E44">
        <v>15</v>
      </c>
      <c r="F44">
        <v>0</v>
      </c>
      <c r="G44">
        <v>0.16617573413293008</v>
      </c>
      <c r="H44">
        <v>8464.9032009999974</v>
      </c>
      <c r="I44">
        <v>73</v>
      </c>
      <c r="J44">
        <v>8020</v>
      </c>
      <c r="K44">
        <v>5</v>
      </c>
      <c r="L44">
        <v>4</v>
      </c>
      <c r="M44">
        <v>4</v>
      </c>
      <c r="N44">
        <v>2</v>
      </c>
      <c r="T44" s="124"/>
      <c r="U44" s="125"/>
      <c r="V44" s="124"/>
      <c r="X44" s="124"/>
      <c r="Y44" s="124"/>
      <c r="Z44" s="124"/>
    </row>
    <row r="45" spans="1:26">
      <c r="A45">
        <v>21</v>
      </c>
      <c r="B45">
        <v>2</v>
      </c>
      <c r="C45">
        <v>567</v>
      </c>
      <c r="D45">
        <v>0.18905736729453274</v>
      </c>
      <c r="E45">
        <v>8</v>
      </c>
      <c r="F45">
        <v>0</v>
      </c>
      <c r="G45">
        <v>9.7423502608411483E-2</v>
      </c>
      <c r="H45">
        <v>10578.799592000016</v>
      </c>
      <c r="I45">
        <v>79</v>
      </c>
      <c r="J45">
        <v>8020</v>
      </c>
      <c r="K45">
        <v>3</v>
      </c>
      <c r="L45">
        <v>2</v>
      </c>
      <c r="M45">
        <v>1</v>
      </c>
      <c r="N45">
        <v>2</v>
      </c>
      <c r="T45" s="124"/>
      <c r="U45" s="125"/>
      <c r="V45" s="124"/>
      <c r="X45" s="124"/>
      <c r="Y45" s="124"/>
      <c r="Z45" s="124"/>
    </row>
    <row r="46" spans="1:26">
      <c r="A46">
        <v>22</v>
      </c>
      <c r="B46">
        <v>1</v>
      </c>
      <c r="C46">
        <v>384</v>
      </c>
      <c r="D46">
        <v>0.21049087776686207</v>
      </c>
      <c r="E46">
        <v>13</v>
      </c>
      <c r="F46">
        <v>0</v>
      </c>
      <c r="G46">
        <v>0.14681082034545942</v>
      </c>
      <c r="H46">
        <v>9501.5994100000062</v>
      </c>
      <c r="I46">
        <v>73</v>
      </c>
      <c r="J46">
        <v>8020</v>
      </c>
      <c r="K46">
        <v>5</v>
      </c>
      <c r="L46">
        <v>3</v>
      </c>
      <c r="M46">
        <v>3</v>
      </c>
      <c r="N46">
        <v>2</v>
      </c>
      <c r="T46" s="124"/>
      <c r="U46" s="125"/>
      <c r="V46" s="124"/>
      <c r="X46" s="124"/>
      <c r="Y46" s="124"/>
      <c r="Z46" s="124"/>
    </row>
    <row r="47" spans="1:26">
      <c r="A47">
        <v>22</v>
      </c>
      <c r="B47">
        <v>2</v>
      </c>
      <c r="C47">
        <v>341</v>
      </c>
      <c r="D47">
        <v>0.16670818925884365</v>
      </c>
      <c r="E47">
        <v>7</v>
      </c>
      <c r="F47">
        <v>0</v>
      </c>
      <c r="G47">
        <v>8.8169697147762141E-2</v>
      </c>
      <c r="H47">
        <v>11997.011118000028</v>
      </c>
      <c r="I47">
        <v>73</v>
      </c>
      <c r="J47">
        <v>8020</v>
      </c>
      <c r="K47">
        <v>2</v>
      </c>
      <c r="L47">
        <v>2</v>
      </c>
      <c r="M47">
        <v>1</v>
      </c>
      <c r="N47">
        <v>2</v>
      </c>
      <c r="T47" s="124"/>
      <c r="U47" s="125"/>
      <c r="V47" s="124"/>
      <c r="X47" s="124"/>
      <c r="Y47" s="124"/>
      <c r="Z47" s="124"/>
    </row>
    <row r="48" spans="1:26">
      <c r="A48">
        <v>23</v>
      </c>
      <c r="B48">
        <v>1</v>
      </c>
      <c r="C48">
        <v>450</v>
      </c>
      <c r="D48">
        <v>0.22796670886434545</v>
      </c>
      <c r="E48">
        <v>18</v>
      </c>
      <c r="F48">
        <v>0</v>
      </c>
      <c r="G48">
        <v>0.19636978053037971</v>
      </c>
      <c r="H48">
        <v>8773.2108340000032</v>
      </c>
      <c r="I48">
        <v>79</v>
      </c>
      <c r="J48">
        <v>8020</v>
      </c>
      <c r="K48">
        <v>7</v>
      </c>
      <c r="L48">
        <v>4</v>
      </c>
      <c r="M48">
        <v>6</v>
      </c>
      <c r="N48">
        <v>1</v>
      </c>
      <c r="T48" s="124"/>
      <c r="U48" s="125"/>
      <c r="V48" s="124"/>
      <c r="X48" s="124"/>
      <c r="Y48" s="124"/>
      <c r="Z48" s="124"/>
    </row>
    <row r="49" spans="1:26">
      <c r="A49">
        <v>23</v>
      </c>
      <c r="B49">
        <v>2</v>
      </c>
      <c r="C49">
        <v>261</v>
      </c>
      <c r="D49">
        <v>0.18171992838046508</v>
      </c>
      <c r="E49">
        <v>9</v>
      </c>
      <c r="F49">
        <v>0</v>
      </c>
      <c r="G49">
        <v>0.1076549224538335</v>
      </c>
      <c r="H49">
        <v>11005.947547000025</v>
      </c>
      <c r="I49">
        <v>76</v>
      </c>
      <c r="J49">
        <v>8020</v>
      </c>
      <c r="K49">
        <v>4</v>
      </c>
      <c r="L49">
        <v>3</v>
      </c>
      <c r="M49">
        <v>1</v>
      </c>
      <c r="N49">
        <v>1</v>
      </c>
      <c r="T49" s="124"/>
      <c r="U49" s="125"/>
      <c r="V49" s="124"/>
      <c r="X49" s="124"/>
      <c r="Y49" s="124"/>
      <c r="Z49" s="124"/>
    </row>
    <row r="50" spans="1:26">
      <c r="A50">
        <v>24</v>
      </c>
      <c r="B50">
        <v>1</v>
      </c>
      <c r="C50">
        <v>542</v>
      </c>
      <c r="D50">
        <v>0.23095618009685998</v>
      </c>
      <c r="E50">
        <v>17</v>
      </c>
      <c r="F50">
        <v>0</v>
      </c>
      <c r="G50">
        <v>0.18629884403710953</v>
      </c>
      <c r="H50">
        <v>8659.6513639999866</v>
      </c>
      <c r="I50">
        <v>68</v>
      </c>
      <c r="J50">
        <v>8020</v>
      </c>
      <c r="K50">
        <v>7</v>
      </c>
      <c r="L50">
        <v>4</v>
      </c>
      <c r="M50">
        <v>3</v>
      </c>
      <c r="N50">
        <v>3</v>
      </c>
      <c r="T50" s="124"/>
      <c r="U50" s="125"/>
      <c r="V50" s="124"/>
      <c r="X50" s="124"/>
      <c r="Y50" s="124"/>
      <c r="Z50" s="124"/>
    </row>
    <row r="51" spans="1:26">
      <c r="A51">
        <v>24</v>
      </c>
      <c r="B51">
        <v>2</v>
      </c>
      <c r="C51">
        <v>206</v>
      </c>
      <c r="D51">
        <v>0.18093441313813799</v>
      </c>
      <c r="E51">
        <v>8</v>
      </c>
      <c r="F51">
        <v>0</v>
      </c>
      <c r="G51">
        <v>9.7680434810119593E-2</v>
      </c>
      <c r="H51">
        <v>11053.729168000009</v>
      </c>
      <c r="I51">
        <v>74</v>
      </c>
      <c r="J51">
        <v>8020</v>
      </c>
      <c r="K51">
        <v>3</v>
      </c>
      <c r="L51">
        <v>2</v>
      </c>
      <c r="M51">
        <v>2</v>
      </c>
      <c r="N51">
        <v>1</v>
      </c>
      <c r="T51" s="124"/>
      <c r="U51" s="125"/>
      <c r="V51" s="124"/>
      <c r="X51" s="124"/>
      <c r="Y51" s="124"/>
      <c r="Z51" s="124"/>
    </row>
    <row r="52" spans="1:26">
      <c r="A52">
        <v>25</v>
      </c>
      <c r="B52">
        <v>1</v>
      </c>
      <c r="C52">
        <v>944</v>
      </c>
      <c r="D52">
        <v>0.20114698421553065</v>
      </c>
      <c r="E52">
        <v>12</v>
      </c>
      <c r="F52">
        <v>0</v>
      </c>
      <c r="G52">
        <v>0.13706719529928338</v>
      </c>
      <c r="H52">
        <v>9942.9778069999975</v>
      </c>
      <c r="I52">
        <v>70</v>
      </c>
      <c r="J52">
        <v>8020</v>
      </c>
      <c r="K52">
        <v>5</v>
      </c>
      <c r="L52">
        <v>3</v>
      </c>
      <c r="M52">
        <v>2</v>
      </c>
      <c r="N52">
        <v>2</v>
      </c>
      <c r="T52" s="124"/>
      <c r="U52" s="125"/>
      <c r="V52" s="124"/>
      <c r="X52" s="124"/>
      <c r="Y52" s="124"/>
      <c r="Z52" s="124"/>
    </row>
    <row r="53" spans="1:26">
      <c r="A53">
        <v>25</v>
      </c>
      <c r="B53">
        <v>2</v>
      </c>
      <c r="C53">
        <v>377</v>
      </c>
      <c r="D53">
        <v>0.16200953066702228</v>
      </c>
      <c r="E53">
        <v>7</v>
      </c>
      <c r="F53">
        <v>0</v>
      </c>
      <c r="G53">
        <v>8.8343680551301484E-2</v>
      </c>
      <c r="H53">
        <v>12344.952743000003</v>
      </c>
      <c r="I53">
        <v>69</v>
      </c>
      <c r="J53">
        <v>8020</v>
      </c>
      <c r="K53">
        <v>2</v>
      </c>
      <c r="L53">
        <v>2</v>
      </c>
      <c r="M53">
        <v>1</v>
      </c>
      <c r="N53">
        <v>2</v>
      </c>
      <c r="T53" s="124"/>
      <c r="U53" s="125"/>
      <c r="V53" s="124"/>
      <c r="X53" s="124"/>
      <c r="Y53" s="124"/>
      <c r="Z53" s="124"/>
    </row>
    <row r="54" spans="1:26">
      <c r="A54">
        <v>26</v>
      </c>
      <c r="B54">
        <v>1</v>
      </c>
      <c r="C54">
        <v>364</v>
      </c>
      <c r="D54">
        <v>0.20083612606125573</v>
      </c>
      <c r="E54">
        <v>15</v>
      </c>
      <c r="F54">
        <v>0</v>
      </c>
      <c r="G54">
        <v>0.16707599640822265</v>
      </c>
      <c r="H54">
        <v>9958.3677460000054</v>
      </c>
      <c r="I54">
        <v>71</v>
      </c>
      <c r="J54">
        <v>8020</v>
      </c>
      <c r="K54">
        <v>5</v>
      </c>
      <c r="L54">
        <v>5</v>
      </c>
      <c r="M54">
        <v>1</v>
      </c>
      <c r="N54">
        <v>4</v>
      </c>
      <c r="T54" s="124"/>
      <c r="U54" s="125"/>
      <c r="V54" s="124"/>
      <c r="X54" s="124"/>
      <c r="Y54" s="124"/>
      <c r="Z54" s="124"/>
    </row>
    <row r="55" spans="1:26">
      <c r="A55">
        <v>26</v>
      </c>
      <c r="B55">
        <v>2</v>
      </c>
      <c r="C55">
        <v>346</v>
      </c>
      <c r="D55">
        <v>0.15894834295760366</v>
      </c>
      <c r="E55">
        <v>14</v>
      </c>
      <c r="F55">
        <v>0</v>
      </c>
      <c r="G55">
        <v>0.15846069292981857</v>
      </c>
      <c r="H55">
        <v>12582.704310000016</v>
      </c>
      <c r="I55">
        <v>65</v>
      </c>
      <c r="J55">
        <v>8020</v>
      </c>
      <c r="K55">
        <v>1</v>
      </c>
      <c r="L55">
        <v>9</v>
      </c>
      <c r="M55">
        <v>1</v>
      </c>
      <c r="N55">
        <v>3</v>
      </c>
      <c r="T55" s="124"/>
      <c r="U55" s="125"/>
      <c r="V55" s="124"/>
      <c r="X55" s="124"/>
      <c r="Y55" s="124"/>
      <c r="Z55" s="124"/>
    </row>
    <row r="56" spans="1:26">
      <c r="A56">
        <v>27</v>
      </c>
      <c r="B56">
        <v>1</v>
      </c>
      <c r="C56">
        <v>349</v>
      </c>
      <c r="D56">
        <v>0.21857826914338788</v>
      </c>
      <c r="E56">
        <v>13</v>
      </c>
      <c r="F56">
        <v>0</v>
      </c>
      <c r="G56">
        <v>0.14660087600677821</v>
      </c>
      <c r="H56">
        <v>9150.0404310000049</v>
      </c>
      <c r="I56">
        <v>68</v>
      </c>
      <c r="J56">
        <v>8020</v>
      </c>
      <c r="K56">
        <v>5</v>
      </c>
      <c r="L56">
        <v>3</v>
      </c>
      <c r="M56">
        <v>3</v>
      </c>
      <c r="N56">
        <v>2</v>
      </c>
      <c r="T56" s="124"/>
      <c r="U56" s="125"/>
      <c r="V56" s="124"/>
      <c r="X56" s="124"/>
      <c r="Y56" s="124"/>
      <c r="Z56" s="124"/>
    </row>
    <row r="57" spans="1:26">
      <c r="A57">
        <v>27</v>
      </c>
      <c r="B57">
        <v>2</v>
      </c>
      <c r="C57">
        <v>282</v>
      </c>
      <c r="D57">
        <v>0.17277017661722488</v>
      </c>
      <c r="E57">
        <v>7</v>
      </c>
      <c r="F57">
        <v>0</v>
      </c>
      <c r="G57">
        <v>8.7954655401826135E-2</v>
      </c>
      <c r="H57">
        <v>11576.071977000014</v>
      </c>
      <c r="I57">
        <v>73</v>
      </c>
      <c r="J57">
        <v>8020</v>
      </c>
      <c r="K57">
        <v>2</v>
      </c>
      <c r="L57">
        <v>2</v>
      </c>
      <c r="M57">
        <v>2</v>
      </c>
      <c r="N57">
        <v>1</v>
      </c>
      <c r="T57" s="124"/>
      <c r="U57" s="125"/>
      <c r="V57" s="124"/>
      <c r="X57" s="124"/>
      <c r="Y57" s="124"/>
      <c r="Z57" s="124"/>
    </row>
    <row r="58" spans="1:26">
      <c r="A58">
        <v>28</v>
      </c>
      <c r="B58">
        <v>1</v>
      </c>
      <c r="C58">
        <v>618</v>
      </c>
      <c r="D58">
        <v>0.22260986455295678</v>
      </c>
      <c r="E58">
        <v>17</v>
      </c>
      <c r="F58">
        <v>0</v>
      </c>
      <c r="G58">
        <v>0.1865000476423479</v>
      </c>
      <c r="H58">
        <v>8984.3278239999963</v>
      </c>
      <c r="I58">
        <v>69</v>
      </c>
      <c r="J58">
        <v>8020</v>
      </c>
      <c r="K58">
        <v>7</v>
      </c>
      <c r="L58">
        <v>4</v>
      </c>
      <c r="M58">
        <v>3</v>
      </c>
      <c r="N58">
        <v>3</v>
      </c>
      <c r="T58" s="124"/>
      <c r="U58" s="125"/>
      <c r="V58" s="124"/>
      <c r="X58" s="124"/>
      <c r="Y58" s="124"/>
      <c r="Z58" s="124"/>
    </row>
    <row r="59" spans="1:26">
      <c r="A59">
        <v>28</v>
      </c>
      <c r="B59">
        <v>2</v>
      </c>
      <c r="C59">
        <v>108</v>
      </c>
      <c r="D59">
        <v>0.12747337937263933</v>
      </c>
      <c r="E59">
        <v>4</v>
      </c>
      <c r="F59">
        <v>0</v>
      </c>
      <c r="G59">
        <v>5.9869800206222609E-2</v>
      </c>
      <c r="H59">
        <v>15689.550318999989</v>
      </c>
      <c r="I59">
        <v>69</v>
      </c>
      <c r="J59">
        <v>8020</v>
      </c>
      <c r="K59">
        <v>1</v>
      </c>
      <c r="L59">
        <v>1</v>
      </c>
      <c r="M59">
        <v>1</v>
      </c>
      <c r="N59">
        <v>1</v>
      </c>
      <c r="T59" s="124"/>
      <c r="U59" s="125"/>
      <c r="V59" s="124"/>
      <c r="X59" s="124"/>
      <c r="Y59" s="124"/>
      <c r="Z59" s="124"/>
    </row>
    <row r="60" spans="1:26">
      <c r="A60">
        <v>29</v>
      </c>
      <c r="B60">
        <v>1</v>
      </c>
      <c r="C60">
        <v>336</v>
      </c>
      <c r="D60">
        <v>0.22101488081931875</v>
      </c>
      <c r="E60">
        <v>14</v>
      </c>
      <c r="F60">
        <v>0</v>
      </c>
      <c r="G60">
        <v>0.15653964415070465</v>
      </c>
      <c r="H60">
        <v>9049.1644389999892</v>
      </c>
      <c r="I60">
        <v>69</v>
      </c>
      <c r="J60">
        <v>8020</v>
      </c>
      <c r="K60">
        <v>5</v>
      </c>
      <c r="L60">
        <v>3</v>
      </c>
      <c r="M60">
        <v>4</v>
      </c>
      <c r="N60">
        <v>2</v>
      </c>
      <c r="T60" s="124"/>
      <c r="U60" s="125"/>
      <c r="V60" s="124"/>
      <c r="X60" s="124"/>
      <c r="Y60" s="124"/>
      <c r="Z60" s="124"/>
    </row>
    <row r="61" spans="1:26">
      <c r="A61">
        <v>29</v>
      </c>
      <c r="B61">
        <v>2</v>
      </c>
      <c r="C61">
        <v>182</v>
      </c>
      <c r="D61">
        <v>0.17572141866564014</v>
      </c>
      <c r="E61">
        <v>8</v>
      </c>
      <c r="F61">
        <v>0</v>
      </c>
      <c r="G61">
        <v>9.785357119476093E-2</v>
      </c>
      <c r="H61">
        <v>11381.651793999954</v>
      </c>
      <c r="I61">
        <v>74</v>
      </c>
      <c r="J61">
        <v>8020</v>
      </c>
      <c r="K61">
        <v>3</v>
      </c>
      <c r="L61">
        <v>3</v>
      </c>
      <c r="M61">
        <v>1</v>
      </c>
      <c r="N61">
        <v>1</v>
      </c>
      <c r="T61" s="124"/>
      <c r="U61" s="125"/>
      <c r="V61" s="124"/>
      <c r="X61" s="124"/>
      <c r="Y61" s="124"/>
      <c r="Z61" s="124"/>
    </row>
    <row r="62" spans="1:26">
      <c r="A62">
        <v>30</v>
      </c>
      <c r="B62">
        <v>1</v>
      </c>
      <c r="C62">
        <v>326</v>
      </c>
      <c r="D62">
        <v>0.20196646470093585</v>
      </c>
      <c r="E62">
        <v>12</v>
      </c>
      <c r="F62">
        <v>0</v>
      </c>
      <c r="G62">
        <v>0.13704408058288345</v>
      </c>
      <c r="H62">
        <v>9902.6340979999968</v>
      </c>
      <c r="I62">
        <v>72</v>
      </c>
      <c r="J62">
        <v>8020</v>
      </c>
      <c r="K62">
        <v>4</v>
      </c>
      <c r="L62">
        <v>3</v>
      </c>
      <c r="M62">
        <v>3</v>
      </c>
      <c r="N62">
        <v>2</v>
      </c>
      <c r="T62" s="124"/>
      <c r="U62" s="125"/>
      <c r="V62" s="124"/>
      <c r="X62" s="124"/>
      <c r="Y62" s="124"/>
      <c r="Z62" s="124"/>
    </row>
    <row r="63" spans="1:26">
      <c r="A63">
        <v>30</v>
      </c>
      <c r="B63">
        <v>2</v>
      </c>
      <c r="C63">
        <v>270</v>
      </c>
      <c r="D63">
        <v>0.16352471446764788</v>
      </c>
      <c r="E63">
        <v>7</v>
      </c>
      <c r="F63">
        <v>0</v>
      </c>
      <c r="G63">
        <v>8.8286848496180875E-2</v>
      </c>
      <c r="H63">
        <v>12230.567144000026</v>
      </c>
      <c r="I63">
        <v>71</v>
      </c>
      <c r="J63">
        <v>8020</v>
      </c>
      <c r="K63">
        <v>2</v>
      </c>
      <c r="L63">
        <v>2</v>
      </c>
      <c r="M63">
        <v>2</v>
      </c>
      <c r="N63">
        <v>1</v>
      </c>
      <c r="T63" s="124"/>
      <c r="U63" s="125"/>
      <c r="V63" s="124"/>
      <c r="X63" s="124"/>
      <c r="Y63" s="124"/>
      <c r="Z63" s="124"/>
    </row>
    <row r="64" spans="1:26">
      <c r="A64">
        <v>31</v>
      </c>
      <c r="B64">
        <v>1</v>
      </c>
      <c r="C64">
        <v>6</v>
      </c>
      <c r="D64">
        <v>0.22789715213240713</v>
      </c>
      <c r="E64">
        <v>7</v>
      </c>
      <c r="F64">
        <v>0</v>
      </c>
      <c r="G64">
        <v>8.6371445773677044E-2</v>
      </c>
      <c r="H64">
        <v>8775.8885150000024</v>
      </c>
      <c r="I64">
        <v>69</v>
      </c>
      <c r="J64">
        <v>8020</v>
      </c>
      <c r="K64">
        <v>2</v>
      </c>
      <c r="L64">
        <v>2</v>
      </c>
      <c r="M64">
        <v>2</v>
      </c>
      <c r="N64">
        <v>1</v>
      </c>
      <c r="T64" s="124"/>
      <c r="U64" s="125"/>
      <c r="V64" s="124"/>
      <c r="X64" s="124"/>
      <c r="Y64" s="124"/>
      <c r="Z64" s="124"/>
    </row>
    <row r="65" spans="1:26">
      <c r="A65">
        <v>31</v>
      </c>
      <c r="B65">
        <v>2</v>
      </c>
      <c r="C65">
        <v>58</v>
      </c>
      <c r="D65">
        <v>0.19611461011514986</v>
      </c>
      <c r="E65">
        <v>5</v>
      </c>
      <c r="F65">
        <v>0</v>
      </c>
      <c r="G65">
        <v>6.7211947671102987E-2</v>
      </c>
      <c r="H65">
        <v>10198.118329000008</v>
      </c>
      <c r="I65">
        <v>71</v>
      </c>
      <c r="J65">
        <v>8020</v>
      </c>
      <c r="K65">
        <v>2</v>
      </c>
      <c r="L65">
        <v>1</v>
      </c>
      <c r="M65">
        <v>1</v>
      </c>
      <c r="N65">
        <v>1</v>
      </c>
      <c r="T65" s="124"/>
      <c r="U65" s="125"/>
      <c r="V65" s="124"/>
      <c r="X65" s="124"/>
      <c r="Y65" s="124"/>
      <c r="Z65" s="124"/>
    </row>
    <row r="66" spans="1:26">
      <c r="A66">
        <v>32</v>
      </c>
      <c r="B66">
        <v>1</v>
      </c>
      <c r="C66">
        <v>6</v>
      </c>
      <c r="D66">
        <v>0.22974135789607322</v>
      </c>
      <c r="E66">
        <v>7</v>
      </c>
      <c r="F66">
        <v>0</v>
      </c>
      <c r="G66">
        <v>8.6327521793433434E-2</v>
      </c>
      <c r="H66">
        <v>8705.4417120000162</v>
      </c>
      <c r="I66">
        <v>70</v>
      </c>
      <c r="J66">
        <v>8020</v>
      </c>
      <c r="K66">
        <v>2</v>
      </c>
      <c r="L66">
        <v>2</v>
      </c>
      <c r="M66">
        <v>2</v>
      </c>
      <c r="N66">
        <v>1</v>
      </c>
      <c r="T66" s="124"/>
      <c r="U66" s="125"/>
      <c r="V66" s="124"/>
      <c r="X66" s="124"/>
      <c r="Y66" s="124"/>
      <c r="Z66" s="124"/>
    </row>
    <row r="67" spans="1:26">
      <c r="A67">
        <v>32</v>
      </c>
      <c r="B67">
        <v>2</v>
      </c>
      <c r="C67">
        <v>58</v>
      </c>
      <c r="D67">
        <v>0.19676080670443652</v>
      </c>
      <c r="E67">
        <v>5</v>
      </c>
      <c r="F67">
        <v>0</v>
      </c>
      <c r="G67">
        <v>6.7193084666513317E-2</v>
      </c>
      <c r="H67">
        <v>10164.625940999989</v>
      </c>
      <c r="I67">
        <v>68</v>
      </c>
      <c r="J67">
        <v>8020</v>
      </c>
      <c r="K67">
        <v>2</v>
      </c>
      <c r="L67">
        <v>1</v>
      </c>
      <c r="M67">
        <v>1</v>
      </c>
      <c r="N67">
        <v>1</v>
      </c>
      <c r="T67" s="124"/>
      <c r="U67" s="125"/>
      <c r="V67" s="124"/>
      <c r="X67" s="124"/>
      <c r="Y67" s="124"/>
      <c r="Z67" s="124"/>
    </row>
    <row r="68" spans="1:26">
      <c r="A68">
        <v>33</v>
      </c>
      <c r="B68">
        <v>1</v>
      </c>
      <c r="C68">
        <v>122</v>
      </c>
      <c r="D68">
        <v>0.23247996574050636</v>
      </c>
      <c r="E68">
        <v>7</v>
      </c>
      <c r="F68">
        <v>0</v>
      </c>
      <c r="G68">
        <v>8.6263155793069327E-2</v>
      </c>
      <c r="H68">
        <v>8602.8918389999926</v>
      </c>
      <c r="I68">
        <v>69</v>
      </c>
      <c r="J68">
        <v>8020</v>
      </c>
      <c r="K68">
        <v>2</v>
      </c>
      <c r="L68">
        <v>2</v>
      </c>
      <c r="M68">
        <v>2</v>
      </c>
      <c r="N68">
        <v>1</v>
      </c>
      <c r="T68" s="124"/>
      <c r="U68" s="125"/>
      <c r="V68" s="124"/>
      <c r="X68" s="124"/>
      <c r="Y68" s="124"/>
      <c r="Z68" s="124"/>
    </row>
    <row r="69" spans="1:26">
      <c r="A69">
        <v>33</v>
      </c>
      <c r="B69">
        <v>2</v>
      </c>
      <c r="C69">
        <v>34</v>
      </c>
      <c r="D69">
        <v>0.19944760468852724</v>
      </c>
      <c r="E69">
        <v>5</v>
      </c>
      <c r="F69">
        <v>0</v>
      </c>
      <c r="G69">
        <v>6.7115531562057948E-2</v>
      </c>
      <c r="H69">
        <v>10027.696262000009</v>
      </c>
      <c r="I69">
        <v>70</v>
      </c>
      <c r="J69">
        <v>8020</v>
      </c>
      <c r="K69">
        <v>2</v>
      </c>
      <c r="L69">
        <v>1</v>
      </c>
      <c r="M69">
        <v>1</v>
      </c>
      <c r="N69">
        <v>1</v>
      </c>
      <c r="T69" s="124"/>
      <c r="U69" s="125"/>
      <c r="V69" s="124"/>
      <c r="X69" s="124"/>
      <c r="Y69" s="124"/>
      <c r="Z69" s="124"/>
    </row>
    <row r="70" spans="1:26">
      <c r="A70">
        <v>34</v>
      </c>
      <c r="B70">
        <v>1</v>
      </c>
      <c r="C70">
        <v>24</v>
      </c>
      <c r="D70">
        <v>0.22679830897212255</v>
      </c>
      <c r="E70">
        <v>7</v>
      </c>
      <c r="F70">
        <v>0</v>
      </c>
      <c r="G70">
        <v>8.6397843201148114E-2</v>
      </c>
      <c r="H70">
        <v>8818.4079019999863</v>
      </c>
      <c r="I70">
        <v>69</v>
      </c>
      <c r="J70">
        <v>8020</v>
      </c>
      <c r="K70">
        <v>2</v>
      </c>
      <c r="L70">
        <v>2</v>
      </c>
      <c r="M70">
        <v>2</v>
      </c>
      <c r="N70">
        <v>1</v>
      </c>
      <c r="T70" s="124"/>
      <c r="U70" s="125"/>
      <c r="V70" s="124"/>
      <c r="X70" s="124"/>
      <c r="Y70" s="124"/>
      <c r="Z70" s="124"/>
    </row>
    <row r="71" spans="1:26">
      <c r="A71">
        <v>34</v>
      </c>
      <c r="B71">
        <v>2</v>
      </c>
      <c r="C71">
        <v>69</v>
      </c>
      <c r="D71">
        <v>0.1967365447989749</v>
      </c>
      <c r="E71">
        <v>5</v>
      </c>
      <c r="F71">
        <v>0</v>
      </c>
      <c r="G71">
        <v>6.7193791398196895E-2</v>
      </c>
      <c r="H71">
        <v>10165.879460999973</v>
      </c>
      <c r="I71">
        <v>72</v>
      </c>
      <c r="J71">
        <v>8020</v>
      </c>
      <c r="K71">
        <v>2</v>
      </c>
      <c r="L71">
        <v>1</v>
      </c>
      <c r="M71">
        <v>1</v>
      </c>
      <c r="N71">
        <v>1</v>
      </c>
      <c r="T71" s="124"/>
      <c r="U71" s="125"/>
      <c r="V71" s="124"/>
      <c r="X71" s="124"/>
      <c r="Y71" s="124"/>
      <c r="Z71" s="124"/>
    </row>
    <row r="72" spans="1:26">
      <c r="A72">
        <v>35</v>
      </c>
      <c r="B72">
        <v>1</v>
      </c>
      <c r="C72">
        <v>126</v>
      </c>
      <c r="D72">
        <v>0.23152862853506134</v>
      </c>
      <c r="E72">
        <v>7</v>
      </c>
      <c r="F72">
        <v>0</v>
      </c>
      <c r="G72">
        <v>8.6285400130194284E-2</v>
      </c>
      <c r="H72">
        <v>8638.2406040000005</v>
      </c>
      <c r="I72">
        <v>70</v>
      </c>
      <c r="J72">
        <v>8020</v>
      </c>
      <c r="K72">
        <v>2</v>
      </c>
      <c r="L72">
        <v>2</v>
      </c>
      <c r="M72">
        <v>2</v>
      </c>
      <c r="N72">
        <v>1</v>
      </c>
      <c r="T72" s="124"/>
      <c r="U72" s="125"/>
      <c r="V72" s="124"/>
      <c r="X72" s="124"/>
      <c r="Y72" s="124"/>
      <c r="Z72" s="124"/>
    </row>
    <row r="73" spans="1:26">
      <c r="A73">
        <v>35</v>
      </c>
      <c r="B73">
        <v>2</v>
      </c>
      <c r="C73">
        <v>99</v>
      </c>
      <c r="D73">
        <v>0.19876609609187842</v>
      </c>
      <c r="E73">
        <v>5</v>
      </c>
      <c r="F73">
        <v>0</v>
      </c>
      <c r="G73">
        <v>6.7135070568378433E-2</v>
      </c>
      <c r="H73">
        <v>10062.07818799999</v>
      </c>
      <c r="I73">
        <v>76</v>
      </c>
      <c r="J73">
        <v>8020</v>
      </c>
      <c r="K73">
        <v>2</v>
      </c>
      <c r="L73">
        <v>1</v>
      </c>
      <c r="M73">
        <v>1</v>
      </c>
      <c r="N73">
        <v>1</v>
      </c>
      <c r="T73" s="124"/>
      <c r="U73" s="125"/>
      <c r="V73" s="124"/>
      <c r="X73" s="124"/>
      <c r="Y73" s="124"/>
      <c r="Z73" s="124"/>
    </row>
    <row r="74" spans="1:26">
      <c r="A74">
        <v>36</v>
      </c>
      <c r="B74">
        <v>1</v>
      </c>
      <c r="C74">
        <v>46</v>
      </c>
      <c r="D74">
        <v>0.23147507230108855</v>
      </c>
      <c r="E74">
        <v>7</v>
      </c>
      <c r="F74">
        <v>0</v>
      </c>
      <c r="G74">
        <v>8.6286656014084334E-2</v>
      </c>
      <c r="H74">
        <v>8640.2392279999931</v>
      </c>
      <c r="I74">
        <v>69</v>
      </c>
      <c r="J74">
        <v>8020</v>
      </c>
      <c r="K74">
        <v>2</v>
      </c>
      <c r="L74">
        <v>2</v>
      </c>
      <c r="M74">
        <v>2</v>
      </c>
      <c r="N74">
        <v>1</v>
      </c>
      <c r="T74" s="124"/>
      <c r="U74" s="125"/>
      <c r="V74" s="124"/>
      <c r="X74" s="124"/>
      <c r="Y74" s="124"/>
      <c r="Z74" s="124"/>
    </row>
    <row r="75" spans="1:26">
      <c r="A75">
        <v>36</v>
      </c>
      <c r="B75">
        <v>2</v>
      </c>
      <c r="C75">
        <v>46</v>
      </c>
      <c r="D75">
        <v>0.19754102268365309</v>
      </c>
      <c r="E75">
        <v>5</v>
      </c>
      <c r="F75">
        <v>0</v>
      </c>
      <c r="G75">
        <v>6.7170419300371431E-2</v>
      </c>
      <c r="H75">
        <v>10124.479324999991</v>
      </c>
      <c r="I75">
        <v>73</v>
      </c>
      <c r="J75">
        <v>8020</v>
      </c>
      <c r="K75">
        <v>2</v>
      </c>
      <c r="L75">
        <v>1</v>
      </c>
      <c r="M75">
        <v>1</v>
      </c>
      <c r="N75">
        <v>1</v>
      </c>
      <c r="T75" s="124"/>
      <c r="U75" s="125"/>
      <c r="V75" s="124"/>
      <c r="X75" s="124"/>
      <c r="Y75" s="124"/>
      <c r="Z75" s="124"/>
    </row>
    <row r="76" spans="1:26">
      <c r="A76">
        <v>37</v>
      </c>
      <c r="B76">
        <v>1</v>
      </c>
      <c r="C76">
        <v>6</v>
      </c>
      <c r="D76">
        <v>0.23274032674119607</v>
      </c>
      <c r="E76">
        <v>7</v>
      </c>
      <c r="F76">
        <v>0</v>
      </c>
      <c r="G76">
        <v>8.6257089130004239E-2</v>
      </c>
      <c r="H76">
        <v>8593.2679909999933</v>
      </c>
      <c r="I76">
        <v>74</v>
      </c>
      <c r="J76">
        <v>8020</v>
      </c>
      <c r="K76">
        <v>2</v>
      </c>
      <c r="L76">
        <v>2</v>
      </c>
      <c r="M76">
        <v>2</v>
      </c>
      <c r="N76">
        <v>1</v>
      </c>
      <c r="T76" s="124"/>
      <c r="U76" s="125"/>
      <c r="V76" s="124"/>
      <c r="X76" s="124"/>
      <c r="Y76" s="124"/>
      <c r="Z76" s="124"/>
    </row>
    <row r="77" spans="1:26">
      <c r="A77">
        <v>37</v>
      </c>
      <c r="B77">
        <v>2</v>
      </c>
      <c r="C77">
        <v>58</v>
      </c>
      <c r="D77">
        <v>0.20126735227949458</v>
      </c>
      <c r="E77">
        <v>5</v>
      </c>
      <c r="F77">
        <v>0</v>
      </c>
      <c r="G77">
        <v>6.7063792271912961E-2</v>
      </c>
      <c r="H77">
        <v>9937.0314029999936</v>
      </c>
      <c r="I77">
        <v>74</v>
      </c>
      <c r="J77">
        <v>8020</v>
      </c>
      <c r="K77">
        <v>2</v>
      </c>
      <c r="L77">
        <v>1</v>
      </c>
      <c r="M77">
        <v>1</v>
      </c>
      <c r="N77">
        <v>1</v>
      </c>
      <c r="T77" s="124"/>
      <c r="U77" s="125"/>
      <c r="V77" s="124"/>
      <c r="X77" s="124"/>
      <c r="Y77" s="124"/>
      <c r="Z77" s="124"/>
    </row>
    <row r="78" spans="1:26">
      <c r="A78">
        <v>38</v>
      </c>
      <c r="B78">
        <v>1</v>
      </c>
      <c r="C78">
        <v>349</v>
      </c>
      <c r="D78">
        <v>0.23239101472597712</v>
      </c>
      <c r="E78">
        <v>7</v>
      </c>
      <c r="F78">
        <v>0</v>
      </c>
      <c r="G78">
        <v>8.6265230514239996E-2</v>
      </c>
      <c r="H78">
        <v>8606.1847200000029</v>
      </c>
      <c r="I78">
        <v>65</v>
      </c>
      <c r="J78">
        <v>8020</v>
      </c>
      <c r="K78">
        <v>2</v>
      </c>
      <c r="L78">
        <v>2</v>
      </c>
      <c r="M78">
        <v>2</v>
      </c>
      <c r="N78">
        <v>1</v>
      </c>
      <c r="T78" s="124"/>
      <c r="U78" s="125"/>
      <c r="V78" s="124"/>
      <c r="X78" s="124"/>
      <c r="Y78" s="124"/>
      <c r="Z78" s="124"/>
    </row>
    <row r="79" spans="1:26">
      <c r="A79">
        <v>38</v>
      </c>
      <c r="B79">
        <v>2</v>
      </c>
      <c r="C79">
        <v>34</v>
      </c>
      <c r="D79">
        <v>0.20021384101569864</v>
      </c>
      <c r="E79">
        <v>5</v>
      </c>
      <c r="F79">
        <v>0</v>
      </c>
      <c r="G79">
        <v>6.709366942403365E-2</v>
      </c>
      <c r="H79">
        <v>9989.3193689999753</v>
      </c>
      <c r="I79">
        <v>68</v>
      </c>
      <c r="J79">
        <v>8020</v>
      </c>
      <c r="K79">
        <v>2</v>
      </c>
      <c r="L79">
        <v>1</v>
      </c>
      <c r="M79">
        <v>1</v>
      </c>
      <c r="N79">
        <v>1</v>
      </c>
      <c r="T79" s="124"/>
      <c r="U79" s="125"/>
      <c r="V79" s="124"/>
      <c r="X79" s="124"/>
      <c r="Y79" s="124"/>
      <c r="Z79" s="124"/>
    </row>
    <row r="80" spans="1:26">
      <c r="A80">
        <v>39</v>
      </c>
      <c r="B80">
        <v>1</v>
      </c>
      <c r="C80">
        <v>124</v>
      </c>
      <c r="D80">
        <v>0.22361762912459798</v>
      </c>
      <c r="E80">
        <v>7</v>
      </c>
      <c r="F80">
        <v>0</v>
      </c>
      <c r="G80">
        <v>8.6475223712175794E-2</v>
      </c>
      <c r="H80">
        <v>8943.8386759999848</v>
      </c>
      <c r="I80">
        <v>71</v>
      </c>
      <c r="J80">
        <v>8020</v>
      </c>
      <c r="K80">
        <v>3</v>
      </c>
      <c r="L80">
        <v>1</v>
      </c>
      <c r="M80">
        <v>2</v>
      </c>
      <c r="N80">
        <v>1</v>
      </c>
      <c r="T80" s="124"/>
      <c r="U80" s="125"/>
      <c r="V80" s="124"/>
      <c r="X80" s="124"/>
      <c r="Y80" s="124"/>
      <c r="Z80" s="124"/>
    </row>
    <row r="81" spans="1:26">
      <c r="A81">
        <v>39</v>
      </c>
      <c r="B81">
        <v>2</v>
      </c>
      <c r="C81">
        <v>79</v>
      </c>
      <c r="D81">
        <v>0.19840560781355676</v>
      </c>
      <c r="E81">
        <v>5</v>
      </c>
      <c r="F81">
        <v>0</v>
      </c>
      <c r="G81">
        <v>6.7145442007106509E-2</v>
      </c>
      <c r="H81">
        <v>10080.360238000001</v>
      </c>
      <c r="I81">
        <v>68</v>
      </c>
      <c r="J81">
        <v>8020</v>
      </c>
      <c r="K81">
        <v>2</v>
      </c>
      <c r="L81">
        <v>1</v>
      </c>
      <c r="M81">
        <v>1</v>
      </c>
      <c r="N81">
        <v>1</v>
      </c>
      <c r="T81" s="124"/>
      <c r="U81" s="125"/>
      <c r="V81" s="124"/>
      <c r="X81" s="124"/>
      <c r="Y81" s="124"/>
      <c r="Z81" s="124"/>
    </row>
    <row r="82" spans="1:26">
      <c r="A82">
        <v>40</v>
      </c>
      <c r="B82">
        <v>1</v>
      </c>
      <c r="C82">
        <v>115</v>
      </c>
      <c r="D82">
        <v>0.23187691489847448</v>
      </c>
      <c r="E82">
        <v>7</v>
      </c>
      <c r="F82">
        <v>0</v>
      </c>
      <c r="G82">
        <v>8.6277242317971084E-2</v>
      </c>
      <c r="H82">
        <v>8625.2656969999989</v>
      </c>
      <c r="I82">
        <v>64</v>
      </c>
      <c r="J82">
        <v>8020</v>
      </c>
      <c r="K82">
        <v>2</v>
      </c>
      <c r="L82">
        <v>2</v>
      </c>
      <c r="M82">
        <v>2</v>
      </c>
      <c r="N82">
        <v>1</v>
      </c>
      <c r="T82" s="124"/>
      <c r="U82" s="125"/>
      <c r="V82" s="124"/>
      <c r="X82" s="124"/>
      <c r="Y82" s="124"/>
      <c r="Z82" s="124"/>
    </row>
    <row r="83" spans="1:26">
      <c r="A83">
        <v>40</v>
      </c>
      <c r="B83">
        <v>2</v>
      </c>
      <c r="C83">
        <v>51</v>
      </c>
      <c r="D83">
        <v>0.19907952751533251</v>
      </c>
      <c r="E83">
        <v>5</v>
      </c>
      <c r="F83">
        <v>0</v>
      </c>
      <c r="G83">
        <v>6.7126073342283099E-2</v>
      </c>
      <c r="H83">
        <v>10046.236420999974</v>
      </c>
      <c r="I83">
        <v>62</v>
      </c>
      <c r="J83">
        <v>8020</v>
      </c>
      <c r="K83">
        <v>2</v>
      </c>
      <c r="L83">
        <v>1</v>
      </c>
      <c r="M83">
        <v>1</v>
      </c>
      <c r="N83">
        <v>1</v>
      </c>
      <c r="T83" s="124"/>
      <c r="U83" s="125"/>
      <c r="V83" s="124"/>
      <c r="X83" s="124"/>
      <c r="Y83" s="124"/>
      <c r="Z83" s="124"/>
    </row>
    <row r="84" spans="1:26">
      <c r="A84">
        <v>41</v>
      </c>
      <c r="B84">
        <v>1</v>
      </c>
      <c r="C84">
        <v>1087</v>
      </c>
      <c r="D84">
        <v>0.22470285056294773</v>
      </c>
      <c r="E84">
        <v>17</v>
      </c>
      <c r="F84">
        <v>0</v>
      </c>
      <c r="G84">
        <v>0.18644865806996624</v>
      </c>
      <c r="H84">
        <v>8900.6436500000018</v>
      </c>
      <c r="I84">
        <v>70</v>
      </c>
      <c r="J84">
        <v>8020</v>
      </c>
      <c r="K84">
        <v>3</v>
      </c>
      <c r="L84">
        <v>5</v>
      </c>
      <c r="M84">
        <v>6</v>
      </c>
      <c r="N84">
        <v>3</v>
      </c>
      <c r="T84" s="124"/>
      <c r="U84" s="125"/>
      <c r="V84" s="124"/>
      <c r="X84" s="124"/>
      <c r="Y84" s="124"/>
      <c r="Z84" s="124"/>
    </row>
    <row r="85" spans="1:26">
      <c r="A85">
        <v>41</v>
      </c>
      <c r="B85">
        <v>2</v>
      </c>
      <c r="C85">
        <v>597</v>
      </c>
      <c r="D85">
        <v>0.17670574736035205</v>
      </c>
      <c r="E85">
        <v>9</v>
      </c>
      <c r="F85">
        <v>0</v>
      </c>
      <c r="G85">
        <v>0.10782035870208237</v>
      </c>
      <c r="H85">
        <v>11318.250990000031</v>
      </c>
      <c r="I85">
        <v>69</v>
      </c>
      <c r="J85">
        <v>8020</v>
      </c>
      <c r="K85">
        <v>1</v>
      </c>
      <c r="L85">
        <v>3</v>
      </c>
      <c r="M85">
        <v>4</v>
      </c>
      <c r="N85">
        <v>1</v>
      </c>
      <c r="T85" s="124"/>
      <c r="U85" s="125"/>
      <c r="V85" s="124"/>
      <c r="X85" s="124"/>
      <c r="Y85" s="124"/>
      <c r="Z85" s="124"/>
    </row>
    <row r="86" spans="1:26">
      <c r="A86">
        <v>42</v>
      </c>
      <c r="B86">
        <v>1</v>
      </c>
      <c r="C86">
        <v>567</v>
      </c>
      <c r="D86">
        <v>0.2093517377060056</v>
      </c>
      <c r="E86">
        <v>22</v>
      </c>
      <c r="F86">
        <v>0</v>
      </c>
      <c r="G86">
        <v>0.23684125596622349</v>
      </c>
      <c r="H86">
        <v>9553.3002109999998</v>
      </c>
      <c r="I86">
        <v>66</v>
      </c>
      <c r="J86">
        <v>8020</v>
      </c>
      <c r="K86">
        <v>1</v>
      </c>
      <c r="L86">
        <v>11</v>
      </c>
      <c r="M86">
        <v>8</v>
      </c>
      <c r="N86">
        <v>2</v>
      </c>
      <c r="T86" s="124"/>
      <c r="U86" s="125"/>
      <c r="V86" s="124"/>
      <c r="X86" s="124"/>
      <c r="Y86" s="124"/>
      <c r="Z86" s="124"/>
    </row>
    <row r="87" spans="1:26">
      <c r="A87">
        <v>42</v>
      </c>
      <c r="B87">
        <v>2</v>
      </c>
      <c r="C87">
        <v>411</v>
      </c>
      <c r="D87">
        <v>0.1723301799708753</v>
      </c>
      <c r="E87">
        <v>9</v>
      </c>
      <c r="F87">
        <v>0</v>
      </c>
      <c r="G87">
        <v>0.10796992313616276</v>
      </c>
      <c r="H87">
        <v>11605.628221000004</v>
      </c>
      <c r="I87">
        <v>65</v>
      </c>
      <c r="J87">
        <v>8020</v>
      </c>
      <c r="K87">
        <v>1</v>
      </c>
      <c r="L87">
        <v>3</v>
      </c>
      <c r="M87">
        <v>3</v>
      </c>
      <c r="N87">
        <v>2</v>
      </c>
      <c r="T87" s="124"/>
      <c r="U87" s="125"/>
      <c r="V87" s="124"/>
      <c r="X87" s="124"/>
      <c r="Y87" s="124"/>
      <c r="Z87" s="124"/>
    </row>
    <row r="88" spans="1:26">
      <c r="A88">
        <v>43</v>
      </c>
      <c r="B88">
        <v>1</v>
      </c>
      <c r="C88">
        <v>558</v>
      </c>
      <c r="D88">
        <v>0.23851786070869746</v>
      </c>
      <c r="E88">
        <v>34</v>
      </c>
      <c r="F88">
        <v>0</v>
      </c>
      <c r="G88">
        <v>0.35612475154107082</v>
      </c>
      <c r="H88">
        <v>8385.1162929999846</v>
      </c>
      <c r="I88">
        <v>77</v>
      </c>
      <c r="J88">
        <v>8020</v>
      </c>
      <c r="K88">
        <v>4</v>
      </c>
      <c r="L88">
        <v>9</v>
      </c>
      <c r="M88">
        <v>20</v>
      </c>
      <c r="N88">
        <v>1</v>
      </c>
      <c r="T88" s="124"/>
      <c r="U88" s="125"/>
      <c r="V88" s="124"/>
      <c r="X88" s="124"/>
      <c r="Y88" s="124"/>
      <c r="Z88" s="124"/>
    </row>
    <row r="89" spans="1:26">
      <c r="A89">
        <v>43</v>
      </c>
      <c r="B89">
        <v>2</v>
      </c>
      <c r="C89">
        <v>327</v>
      </c>
      <c r="D89">
        <v>0.18873299886257522</v>
      </c>
      <c r="E89">
        <v>10</v>
      </c>
      <c r="F89">
        <v>0</v>
      </c>
      <c r="G89">
        <v>0.11743347860552664</v>
      </c>
      <c r="H89">
        <v>10596.980983999983</v>
      </c>
      <c r="I89">
        <v>74</v>
      </c>
      <c r="J89">
        <v>8020</v>
      </c>
      <c r="K89">
        <v>1</v>
      </c>
      <c r="L89">
        <v>4</v>
      </c>
      <c r="M89">
        <v>4</v>
      </c>
      <c r="N89">
        <v>1</v>
      </c>
      <c r="T89" s="124"/>
      <c r="U89" s="125"/>
      <c r="V89" s="124"/>
      <c r="X89" s="124"/>
      <c r="Y89" s="124"/>
      <c r="Z89" s="124"/>
    </row>
    <row r="90" spans="1:26">
      <c r="A90">
        <v>44</v>
      </c>
      <c r="B90">
        <v>1</v>
      </c>
      <c r="C90">
        <v>871</v>
      </c>
      <c r="D90">
        <v>0.22116802311982575</v>
      </c>
      <c r="E90">
        <v>16</v>
      </c>
      <c r="F90">
        <v>0</v>
      </c>
      <c r="G90">
        <v>0.17653582578075672</v>
      </c>
      <c r="H90">
        <v>9042.898570000003</v>
      </c>
      <c r="I90">
        <v>78</v>
      </c>
      <c r="J90">
        <v>8020</v>
      </c>
      <c r="K90">
        <v>3</v>
      </c>
      <c r="L90">
        <v>5</v>
      </c>
      <c r="M90">
        <v>6</v>
      </c>
      <c r="N90">
        <v>2</v>
      </c>
      <c r="T90" s="124"/>
      <c r="U90" s="125"/>
      <c r="V90" s="124"/>
      <c r="X90" s="124"/>
      <c r="Y90" s="124"/>
      <c r="Z90" s="124"/>
    </row>
    <row r="91" spans="1:26">
      <c r="A91">
        <v>44</v>
      </c>
      <c r="B91">
        <v>2</v>
      </c>
      <c r="C91">
        <v>995</v>
      </c>
      <c r="D91">
        <v>0.1720642245176264</v>
      </c>
      <c r="E91">
        <v>8</v>
      </c>
      <c r="F91">
        <v>0</v>
      </c>
      <c r="G91">
        <v>9.7979176926551392E-2</v>
      </c>
      <c r="H91">
        <v>11623.566755999986</v>
      </c>
      <c r="I91">
        <v>75</v>
      </c>
      <c r="J91">
        <v>8020</v>
      </c>
      <c r="K91">
        <v>1</v>
      </c>
      <c r="L91">
        <v>3</v>
      </c>
      <c r="M91">
        <v>2</v>
      </c>
      <c r="N91">
        <v>2</v>
      </c>
      <c r="T91" s="124"/>
      <c r="U91" s="125"/>
      <c r="V91" s="124"/>
      <c r="X91" s="124"/>
      <c r="Y91" s="124"/>
      <c r="Z91" s="124"/>
    </row>
    <row r="92" spans="1:26">
      <c r="A92">
        <v>45</v>
      </c>
      <c r="B92">
        <v>1</v>
      </c>
      <c r="C92">
        <v>542</v>
      </c>
      <c r="D92">
        <v>0.23259406579791997</v>
      </c>
      <c r="E92">
        <v>75</v>
      </c>
      <c r="F92">
        <v>0</v>
      </c>
      <c r="G92">
        <v>0.76626049603687596</v>
      </c>
      <c r="H92">
        <v>8598.6716520000118</v>
      </c>
      <c r="I92">
        <v>76</v>
      </c>
      <c r="J92">
        <v>8020</v>
      </c>
      <c r="K92">
        <v>1</v>
      </c>
      <c r="L92">
        <v>48</v>
      </c>
      <c r="M92">
        <v>25</v>
      </c>
      <c r="N92">
        <v>1</v>
      </c>
      <c r="T92" s="124"/>
      <c r="U92" s="125"/>
      <c r="V92" s="124"/>
      <c r="X92" s="124"/>
      <c r="Y92" s="124"/>
      <c r="Z92" s="124"/>
    </row>
    <row r="93" spans="1:26">
      <c r="A93">
        <v>45</v>
      </c>
      <c r="B93">
        <v>2</v>
      </c>
      <c r="C93">
        <v>455</v>
      </c>
      <c r="D93">
        <v>0.18334179017966509</v>
      </c>
      <c r="E93">
        <v>10</v>
      </c>
      <c r="F93">
        <v>0</v>
      </c>
      <c r="G93">
        <v>0.11760270905430251</v>
      </c>
      <c r="H93">
        <v>10908.587714999987</v>
      </c>
      <c r="I93">
        <v>78</v>
      </c>
      <c r="J93">
        <v>8020</v>
      </c>
      <c r="K93">
        <v>1</v>
      </c>
      <c r="L93">
        <v>4</v>
      </c>
      <c r="M93">
        <v>4</v>
      </c>
      <c r="N93">
        <v>1</v>
      </c>
      <c r="T93" s="124"/>
      <c r="U93" s="125"/>
      <c r="V93" s="124"/>
      <c r="X93" s="124"/>
      <c r="Y93" s="124"/>
      <c r="Z93" s="124"/>
    </row>
    <row r="94" spans="1:26">
      <c r="A94">
        <v>46</v>
      </c>
      <c r="B94">
        <v>1</v>
      </c>
      <c r="C94">
        <v>752</v>
      </c>
      <c r="D94">
        <v>0.22238107713017086</v>
      </c>
      <c r="E94">
        <v>40</v>
      </c>
      <c r="F94">
        <v>0</v>
      </c>
      <c r="G94">
        <v>0.41650570416309679</v>
      </c>
      <c r="H94">
        <v>8993.5709720000104</v>
      </c>
      <c r="I94">
        <v>83</v>
      </c>
      <c r="J94">
        <v>8020</v>
      </c>
      <c r="K94">
        <v>3</v>
      </c>
      <c r="L94">
        <v>9</v>
      </c>
      <c r="M94">
        <v>27</v>
      </c>
      <c r="N94">
        <v>1</v>
      </c>
      <c r="T94" s="124"/>
      <c r="U94" s="125"/>
      <c r="V94" s="124"/>
      <c r="X94" s="124"/>
      <c r="Y94" s="124"/>
      <c r="Z94" s="124"/>
    </row>
    <row r="95" spans="1:26">
      <c r="A95">
        <v>46</v>
      </c>
      <c r="B95">
        <v>2</v>
      </c>
      <c r="C95">
        <v>606</v>
      </c>
      <c r="D95">
        <v>0.1697958680412377</v>
      </c>
      <c r="E95">
        <v>9</v>
      </c>
      <c r="F95">
        <v>0</v>
      </c>
      <c r="G95">
        <v>0.108058886181951</v>
      </c>
      <c r="H95">
        <v>11778.849645000004</v>
      </c>
      <c r="I95">
        <v>77</v>
      </c>
      <c r="J95">
        <v>8020</v>
      </c>
      <c r="K95">
        <v>1</v>
      </c>
      <c r="L95">
        <v>3</v>
      </c>
      <c r="M95">
        <v>4</v>
      </c>
      <c r="N95">
        <v>1</v>
      </c>
      <c r="T95" s="124"/>
      <c r="U95" s="125"/>
      <c r="V95" s="124"/>
      <c r="X95" s="124"/>
      <c r="Y95" s="124"/>
      <c r="Z95" s="124"/>
    </row>
    <row r="96" spans="1:26">
      <c r="A96">
        <v>47</v>
      </c>
      <c r="B96">
        <v>1</v>
      </c>
      <c r="C96">
        <v>747</v>
      </c>
      <c r="D96">
        <v>0.22385223197192761</v>
      </c>
      <c r="E96">
        <v>15</v>
      </c>
      <c r="F96">
        <v>0</v>
      </c>
      <c r="G96">
        <v>0.1664694662155167</v>
      </c>
      <c r="H96">
        <v>8934.4653050000052</v>
      </c>
      <c r="I96">
        <v>79</v>
      </c>
      <c r="J96">
        <v>8020</v>
      </c>
      <c r="K96">
        <v>3</v>
      </c>
      <c r="L96">
        <v>5</v>
      </c>
      <c r="M96">
        <v>5</v>
      </c>
      <c r="N96">
        <v>2</v>
      </c>
      <c r="T96" s="124"/>
      <c r="U96" s="125"/>
      <c r="V96" s="124"/>
      <c r="X96" s="124"/>
      <c r="Y96" s="124"/>
      <c r="Z96" s="124"/>
    </row>
    <row r="97" spans="1:26">
      <c r="A97">
        <v>47</v>
      </c>
      <c r="B97">
        <v>2</v>
      </c>
      <c r="C97">
        <v>523</v>
      </c>
      <c r="D97">
        <v>0.17884914456498824</v>
      </c>
      <c r="E97">
        <v>8</v>
      </c>
      <c r="F97">
        <v>0</v>
      </c>
      <c r="G97">
        <v>9.7748883722698313E-2</v>
      </c>
      <c r="H97">
        <v>11182.608700000026</v>
      </c>
      <c r="I97">
        <v>76</v>
      </c>
      <c r="J97">
        <v>8020</v>
      </c>
      <c r="K97">
        <v>1</v>
      </c>
      <c r="L97">
        <v>3</v>
      </c>
      <c r="M97">
        <v>3</v>
      </c>
      <c r="N97">
        <v>1</v>
      </c>
      <c r="T97" s="124"/>
      <c r="U97" s="125"/>
      <c r="V97" s="124"/>
      <c r="X97" s="124"/>
      <c r="Y97" s="124"/>
      <c r="Z97" s="124"/>
    </row>
    <row r="98" spans="1:26">
      <c r="A98">
        <v>48</v>
      </c>
      <c r="B98">
        <v>1</v>
      </c>
      <c r="C98">
        <v>718</v>
      </c>
      <c r="D98">
        <v>0.21864973118264033</v>
      </c>
      <c r="E98">
        <v>19</v>
      </c>
      <c r="F98">
        <v>0</v>
      </c>
      <c r="G98">
        <v>0.20659906723601926</v>
      </c>
      <c r="H98">
        <v>9147.0498920000027</v>
      </c>
      <c r="I98">
        <v>76</v>
      </c>
      <c r="J98">
        <v>8020</v>
      </c>
      <c r="K98">
        <v>2</v>
      </c>
      <c r="L98">
        <v>6</v>
      </c>
      <c r="M98">
        <v>10</v>
      </c>
      <c r="N98">
        <v>1</v>
      </c>
      <c r="T98" s="124"/>
      <c r="U98" s="125"/>
      <c r="V98" s="124"/>
      <c r="X98" s="124"/>
      <c r="Y98" s="124"/>
      <c r="Z98" s="124"/>
    </row>
    <row r="99" spans="1:26">
      <c r="A99">
        <v>48</v>
      </c>
      <c r="B99">
        <v>2</v>
      </c>
      <c r="C99">
        <v>493</v>
      </c>
      <c r="D99">
        <v>0.16974470534827316</v>
      </c>
      <c r="E99">
        <v>17</v>
      </c>
      <c r="F99">
        <v>0</v>
      </c>
      <c r="G99">
        <v>0.18806070037390549</v>
      </c>
      <c r="H99">
        <v>11782.399903999989</v>
      </c>
      <c r="I99">
        <v>74</v>
      </c>
      <c r="J99">
        <v>8020</v>
      </c>
      <c r="K99">
        <v>7</v>
      </c>
      <c r="L99">
        <v>1</v>
      </c>
      <c r="M99">
        <v>7</v>
      </c>
      <c r="N99">
        <v>2</v>
      </c>
      <c r="T99" s="124"/>
      <c r="U99" s="125"/>
      <c r="V99" s="124"/>
      <c r="X99" s="124"/>
      <c r="Y99" s="124"/>
      <c r="Z99" s="124"/>
    </row>
    <row r="100" spans="1:26">
      <c r="A100">
        <v>49</v>
      </c>
      <c r="B100">
        <v>1</v>
      </c>
      <c r="C100">
        <v>500</v>
      </c>
      <c r="D100">
        <v>0.22770545022312838</v>
      </c>
      <c r="E100">
        <v>26</v>
      </c>
      <c r="F100">
        <v>0</v>
      </c>
      <c r="G100">
        <v>0.27637603877907962</v>
      </c>
      <c r="H100">
        <v>8783.2768079999914</v>
      </c>
      <c r="I100">
        <v>76</v>
      </c>
      <c r="J100">
        <v>8020</v>
      </c>
      <c r="K100">
        <v>1</v>
      </c>
      <c r="L100">
        <v>13</v>
      </c>
      <c r="M100">
        <v>11</v>
      </c>
      <c r="N100">
        <v>1</v>
      </c>
      <c r="T100" s="124"/>
      <c r="U100" s="125"/>
      <c r="V100" s="124"/>
      <c r="X100" s="124"/>
      <c r="Y100" s="124"/>
      <c r="Z100" s="124"/>
    </row>
    <row r="101" spans="1:26">
      <c r="A101">
        <v>49</v>
      </c>
      <c r="B101">
        <v>2</v>
      </c>
      <c r="C101">
        <v>281</v>
      </c>
      <c r="D101">
        <v>0.18399148197745191</v>
      </c>
      <c r="E101">
        <v>9</v>
      </c>
      <c r="F101">
        <v>0</v>
      </c>
      <c r="G101">
        <v>0.10758196566086795</v>
      </c>
      <c r="H101">
        <v>10870.068432000016</v>
      </c>
      <c r="I101">
        <v>76</v>
      </c>
      <c r="J101">
        <v>8020</v>
      </c>
      <c r="K101">
        <v>1</v>
      </c>
      <c r="L101">
        <v>3</v>
      </c>
      <c r="M101">
        <v>4</v>
      </c>
      <c r="N101">
        <v>1</v>
      </c>
      <c r="T101" s="124"/>
      <c r="U101" s="125"/>
      <c r="V101" s="124"/>
      <c r="X101" s="124"/>
      <c r="Y101" s="124"/>
      <c r="Z101" s="124"/>
    </row>
    <row r="102" spans="1:26">
      <c r="A102">
        <v>50</v>
      </c>
      <c r="B102">
        <v>1</v>
      </c>
      <c r="C102">
        <v>1077</v>
      </c>
      <c r="D102">
        <v>0.23912773549053548</v>
      </c>
      <c r="E102">
        <v>25</v>
      </c>
      <c r="F102">
        <v>0</v>
      </c>
      <c r="G102">
        <v>0.26611103160529487</v>
      </c>
      <c r="H102">
        <v>8363.7307730000175</v>
      </c>
      <c r="I102">
        <v>77</v>
      </c>
      <c r="J102">
        <v>8020</v>
      </c>
      <c r="K102">
        <v>5</v>
      </c>
      <c r="L102">
        <v>8</v>
      </c>
      <c r="M102">
        <v>9</v>
      </c>
      <c r="N102">
        <v>3</v>
      </c>
      <c r="T102" s="124"/>
      <c r="U102" s="125"/>
      <c r="V102" s="124"/>
      <c r="X102" s="124"/>
      <c r="Y102" s="124"/>
      <c r="Z102" s="124"/>
    </row>
    <row r="103" spans="1:26">
      <c r="A103">
        <v>50</v>
      </c>
      <c r="B103">
        <v>2</v>
      </c>
      <c r="C103">
        <v>499</v>
      </c>
      <c r="D103">
        <v>0.18497929548758121</v>
      </c>
      <c r="E103">
        <v>9</v>
      </c>
      <c r="F103">
        <v>0</v>
      </c>
      <c r="G103">
        <v>0.10755061312403581</v>
      </c>
      <c r="H103">
        <v>10812.020852000012</v>
      </c>
      <c r="I103">
        <v>76</v>
      </c>
      <c r="J103">
        <v>8020</v>
      </c>
      <c r="K103">
        <v>2</v>
      </c>
      <c r="L103">
        <v>3</v>
      </c>
      <c r="M103">
        <v>2</v>
      </c>
      <c r="N103">
        <v>2</v>
      </c>
      <c r="T103" s="124"/>
      <c r="U103" s="125"/>
      <c r="V103" s="124"/>
      <c r="X103" s="124"/>
      <c r="Y103" s="124"/>
      <c r="Z103" s="124"/>
    </row>
    <row r="104" spans="1:26">
      <c r="A104">
        <v>51</v>
      </c>
      <c r="B104">
        <v>1</v>
      </c>
      <c r="C104">
        <v>507</v>
      </c>
      <c r="D104">
        <v>0.22932260905785165</v>
      </c>
      <c r="E104">
        <v>9</v>
      </c>
      <c r="F104">
        <v>0</v>
      </c>
      <c r="G104">
        <v>0.10633745390528226</v>
      </c>
      <c r="H104">
        <v>8721.338066999997</v>
      </c>
      <c r="I104">
        <v>70</v>
      </c>
      <c r="J104">
        <v>8020</v>
      </c>
      <c r="K104">
        <v>1</v>
      </c>
      <c r="L104">
        <v>3</v>
      </c>
      <c r="M104">
        <v>4</v>
      </c>
      <c r="N104">
        <v>1</v>
      </c>
      <c r="T104" s="124"/>
      <c r="U104" s="125"/>
      <c r="V104" s="124"/>
      <c r="X104" s="124"/>
      <c r="Y104" s="124"/>
      <c r="Z104" s="124"/>
    </row>
    <row r="105" spans="1:26">
      <c r="A105">
        <v>51</v>
      </c>
      <c r="B105">
        <v>2</v>
      </c>
      <c r="C105">
        <v>530</v>
      </c>
      <c r="D105">
        <v>0.20955195349072714</v>
      </c>
      <c r="E105">
        <v>6</v>
      </c>
      <c r="F105">
        <v>0</v>
      </c>
      <c r="G105">
        <v>7.6835890614610089E-2</v>
      </c>
      <c r="H105">
        <v>9544.1725389999847</v>
      </c>
      <c r="I105">
        <v>69</v>
      </c>
      <c r="J105">
        <v>8020</v>
      </c>
      <c r="K105">
        <v>1</v>
      </c>
      <c r="L105">
        <v>2</v>
      </c>
      <c r="M105">
        <v>2</v>
      </c>
      <c r="N105">
        <v>1</v>
      </c>
      <c r="T105" s="124"/>
      <c r="U105" s="125"/>
      <c r="V105" s="124"/>
      <c r="X105" s="124"/>
      <c r="Y105" s="124"/>
      <c r="Z105" s="124"/>
    </row>
    <row r="106" spans="1:26">
      <c r="A106">
        <v>52</v>
      </c>
      <c r="B106">
        <v>1</v>
      </c>
      <c r="C106">
        <v>500</v>
      </c>
      <c r="D106">
        <v>0.22844065893022333</v>
      </c>
      <c r="E106">
        <v>8</v>
      </c>
      <c r="F106">
        <v>0</v>
      </c>
      <c r="G106">
        <v>9.6358451796505803E-2</v>
      </c>
      <c r="H106">
        <v>8755.0088909999831</v>
      </c>
      <c r="I106">
        <v>63</v>
      </c>
      <c r="J106">
        <v>8020</v>
      </c>
      <c r="K106">
        <v>1</v>
      </c>
      <c r="L106">
        <v>3</v>
      </c>
      <c r="M106">
        <v>2</v>
      </c>
      <c r="N106">
        <v>2</v>
      </c>
      <c r="T106" s="124"/>
      <c r="U106" s="125"/>
      <c r="V106" s="124"/>
      <c r="X106" s="124"/>
      <c r="Y106" s="124"/>
      <c r="Z106" s="124"/>
    </row>
    <row r="107" spans="1:26">
      <c r="A107">
        <v>52</v>
      </c>
      <c r="B107">
        <v>2</v>
      </c>
      <c r="C107">
        <v>397</v>
      </c>
      <c r="D107">
        <v>0.21021181598860336</v>
      </c>
      <c r="E107">
        <v>6</v>
      </c>
      <c r="F107">
        <v>0</v>
      </c>
      <c r="G107">
        <v>7.6818255993172199E-2</v>
      </c>
      <c r="H107">
        <v>9514.2130359999846</v>
      </c>
      <c r="I107">
        <v>66</v>
      </c>
      <c r="J107">
        <v>8020</v>
      </c>
      <c r="K107">
        <v>1</v>
      </c>
      <c r="L107">
        <v>2</v>
      </c>
      <c r="M107">
        <v>2</v>
      </c>
      <c r="N107">
        <v>1</v>
      </c>
      <c r="T107" s="124"/>
      <c r="U107" s="125"/>
      <c r="V107" s="124"/>
      <c r="X107" s="124"/>
      <c r="Y107" s="124"/>
      <c r="Z107" s="124"/>
    </row>
    <row r="108" spans="1:26">
      <c r="A108">
        <v>53</v>
      </c>
      <c r="B108">
        <v>1</v>
      </c>
      <c r="C108">
        <v>602</v>
      </c>
      <c r="D108">
        <v>0.22983537221527461</v>
      </c>
      <c r="E108">
        <v>8</v>
      </c>
      <c r="F108">
        <v>0</v>
      </c>
      <c r="G108">
        <v>9.6325295228423174E-2</v>
      </c>
      <c r="H108">
        <v>8701.8807449999731</v>
      </c>
      <c r="I108">
        <v>60</v>
      </c>
      <c r="J108">
        <v>8020</v>
      </c>
      <c r="K108">
        <v>1</v>
      </c>
      <c r="L108">
        <v>3</v>
      </c>
      <c r="M108">
        <v>2</v>
      </c>
      <c r="N108">
        <v>2</v>
      </c>
      <c r="T108" s="124"/>
      <c r="U108" s="125"/>
      <c r="V108" s="124"/>
      <c r="X108" s="124"/>
      <c r="Y108" s="124"/>
      <c r="Z108" s="124"/>
    </row>
    <row r="109" spans="1:26">
      <c r="A109">
        <v>53</v>
      </c>
      <c r="B109">
        <v>2</v>
      </c>
      <c r="C109">
        <v>429</v>
      </c>
      <c r="D109">
        <v>0.21034698988798295</v>
      </c>
      <c r="E109">
        <v>6</v>
      </c>
      <c r="F109">
        <v>0</v>
      </c>
      <c r="G109">
        <v>7.6814652619533519E-2</v>
      </c>
      <c r="H109">
        <v>9508.0989799999952</v>
      </c>
      <c r="I109">
        <v>70</v>
      </c>
      <c r="J109">
        <v>8020</v>
      </c>
      <c r="K109">
        <v>1</v>
      </c>
      <c r="L109">
        <v>2</v>
      </c>
      <c r="M109">
        <v>2</v>
      </c>
      <c r="N109">
        <v>1</v>
      </c>
      <c r="T109" s="124"/>
      <c r="U109" s="125"/>
      <c r="V109" s="124"/>
      <c r="X109" s="124"/>
      <c r="Y109" s="124"/>
      <c r="Z109" s="124"/>
    </row>
    <row r="110" spans="1:26">
      <c r="A110">
        <v>54</v>
      </c>
      <c r="B110">
        <v>1</v>
      </c>
      <c r="C110">
        <v>573</v>
      </c>
      <c r="D110">
        <v>0.22494336123833036</v>
      </c>
      <c r="E110">
        <v>8</v>
      </c>
      <c r="F110">
        <v>0</v>
      </c>
      <c r="G110">
        <v>9.644279364757527E-2</v>
      </c>
      <c r="H110">
        <v>8891.1270329999843</v>
      </c>
      <c r="I110">
        <v>66</v>
      </c>
      <c r="J110">
        <v>8020</v>
      </c>
      <c r="K110">
        <v>1</v>
      </c>
      <c r="L110">
        <v>3</v>
      </c>
      <c r="M110">
        <v>2</v>
      </c>
      <c r="N110">
        <v>2</v>
      </c>
      <c r="T110" s="124"/>
      <c r="U110" s="125"/>
      <c r="V110" s="124"/>
      <c r="X110" s="124"/>
      <c r="Y110" s="124"/>
      <c r="Z110" s="124"/>
    </row>
    <row r="111" spans="1:26">
      <c r="A111">
        <v>54</v>
      </c>
      <c r="B111">
        <v>2</v>
      </c>
      <c r="C111">
        <v>427</v>
      </c>
      <c r="D111">
        <v>0.20729752852015443</v>
      </c>
      <c r="E111">
        <v>6</v>
      </c>
      <c r="F111">
        <v>0</v>
      </c>
      <c r="G111">
        <v>7.6896702540483655E-2</v>
      </c>
      <c r="H111">
        <v>9647.968377999985</v>
      </c>
      <c r="I111">
        <v>71</v>
      </c>
      <c r="J111">
        <v>8020</v>
      </c>
      <c r="K111">
        <v>1</v>
      </c>
      <c r="L111">
        <v>2</v>
      </c>
      <c r="M111">
        <v>2</v>
      </c>
      <c r="N111">
        <v>1</v>
      </c>
      <c r="T111" s="124"/>
      <c r="U111" s="125"/>
      <c r="V111" s="124"/>
      <c r="X111" s="124"/>
      <c r="Y111" s="124"/>
      <c r="Z111" s="124"/>
    </row>
    <row r="112" spans="1:26">
      <c r="A112">
        <v>55</v>
      </c>
      <c r="B112">
        <v>1</v>
      </c>
      <c r="C112">
        <v>737</v>
      </c>
      <c r="D112">
        <v>0.23722788690719915</v>
      </c>
      <c r="E112">
        <v>9</v>
      </c>
      <c r="F112">
        <v>0</v>
      </c>
      <c r="G112">
        <v>0.106153925905156</v>
      </c>
      <c r="H112">
        <v>8430.712029999986</v>
      </c>
      <c r="I112">
        <v>66</v>
      </c>
      <c r="J112">
        <v>8020</v>
      </c>
      <c r="K112">
        <v>1</v>
      </c>
      <c r="L112">
        <v>4</v>
      </c>
      <c r="M112">
        <v>2</v>
      </c>
      <c r="N112">
        <v>2</v>
      </c>
      <c r="T112" s="124"/>
      <c r="U112" s="125"/>
      <c r="V112" s="124"/>
      <c r="X112" s="124"/>
      <c r="Y112" s="124"/>
      <c r="Z112" s="124"/>
    </row>
    <row r="113" spans="1:26">
      <c r="A113">
        <v>55</v>
      </c>
      <c r="B113">
        <v>2</v>
      </c>
      <c r="C113">
        <v>456</v>
      </c>
      <c r="D113">
        <v>0.21236227066419056</v>
      </c>
      <c r="E113">
        <v>6</v>
      </c>
      <c r="F113">
        <v>0</v>
      </c>
      <c r="G113">
        <v>7.6761294104202182E-2</v>
      </c>
      <c r="H113">
        <v>9417.8687849999933</v>
      </c>
      <c r="I113">
        <v>71</v>
      </c>
      <c r="J113">
        <v>8020</v>
      </c>
      <c r="K113">
        <v>1</v>
      </c>
      <c r="L113">
        <v>2</v>
      </c>
      <c r="M113">
        <v>2</v>
      </c>
      <c r="N113">
        <v>1</v>
      </c>
      <c r="T113" s="124"/>
      <c r="U113" s="125"/>
      <c r="V113" s="124"/>
      <c r="X113" s="124"/>
      <c r="Y113" s="124"/>
      <c r="Z113" s="124"/>
    </row>
    <row r="114" spans="1:26">
      <c r="A114">
        <v>56</v>
      </c>
      <c r="B114">
        <v>1</v>
      </c>
      <c r="C114">
        <v>389</v>
      </c>
      <c r="D114">
        <v>0.2303752348288631</v>
      </c>
      <c r="E114">
        <v>9</v>
      </c>
      <c r="F114">
        <v>0</v>
      </c>
      <c r="G114">
        <v>0.10631253299148263</v>
      </c>
      <c r="H114">
        <v>8681.4887090000066</v>
      </c>
      <c r="I114">
        <v>71</v>
      </c>
      <c r="J114">
        <v>8020</v>
      </c>
      <c r="K114">
        <v>1</v>
      </c>
      <c r="L114">
        <v>3</v>
      </c>
      <c r="M114">
        <v>4</v>
      </c>
      <c r="N114">
        <v>1</v>
      </c>
      <c r="T114" s="124"/>
      <c r="U114" s="125"/>
      <c r="V114" s="124"/>
      <c r="X114" s="124"/>
      <c r="Y114" s="124"/>
      <c r="Z114" s="124"/>
    </row>
    <row r="115" spans="1:26">
      <c r="A115">
        <v>56</v>
      </c>
      <c r="B115">
        <v>2</v>
      </c>
      <c r="C115">
        <v>513</v>
      </c>
      <c r="D115">
        <v>0.20939637341567077</v>
      </c>
      <c r="E115">
        <v>6</v>
      </c>
      <c r="F115">
        <v>0</v>
      </c>
      <c r="G115">
        <v>7.6840059232935604E-2</v>
      </c>
      <c r="H115">
        <v>9551.2637939999986</v>
      </c>
      <c r="I115">
        <v>73</v>
      </c>
      <c r="J115">
        <v>8020</v>
      </c>
      <c r="K115">
        <v>1</v>
      </c>
      <c r="L115">
        <v>2</v>
      </c>
      <c r="M115">
        <v>2</v>
      </c>
      <c r="N115">
        <v>1</v>
      </c>
      <c r="T115" s="124"/>
      <c r="U115" s="125"/>
      <c r="V115" s="124"/>
      <c r="X115" s="124"/>
      <c r="Y115" s="124"/>
      <c r="Z115" s="124"/>
    </row>
    <row r="116" spans="1:26">
      <c r="A116">
        <v>57</v>
      </c>
      <c r="B116">
        <v>1</v>
      </c>
      <c r="C116">
        <v>493</v>
      </c>
      <c r="D116">
        <v>0.22847535857375692</v>
      </c>
      <c r="E116">
        <v>9</v>
      </c>
      <c r="F116">
        <v>0</v>
      </c>
      <c r="G116">
        <v>0.10635762360918555</v>
      </c>
      <c r="H116">
        <v>8753.6792260000129</v>
      </c>
      <c r="I116">
        <v>72</v>
      </c>
      <c r="J116">
        <v>8020</v>
      </c>
      <c r="K116">
        <v>1</v>
      </c>
      <c r="L116">
        <v>3</v>
      </c>
      <c r="M116">
        <v>4</v>
      </c>
      <c r="N116">
        <v>1</v>
      </c>
      <c r="T116" s="124"/>
      <c r="U116" s="125"/>
      <c r="V116" s="124"/>
      <c r="X116" s="124"/>
      <c r="Y116" s="124"/>
      <c r="Z116" s="124"/>
    </row>
    <row r="117" spans="1:26">
      <c r="A117">
        <v>57</v>
      </c>
      <c r="B117">
        <v>2</v>
      </c>
      <c r="C117">
        <v>487</v>
      </c>
      <c r="D117">
        <v>0.20974601169993243</v>
      </c>
      <c r="E117">
        <v>6</v>
      </c>
      <c r="F117">
        <v>0</v>
      </c>
      <c r="G117">
        <v>7.683069679174491E-2</v>
      </c>
      <c r="H117">
        <v>9535.3422160000209</v>
      </c>
      <c r="I117">
        <v>73</v>
      </c>
      <c r="J117">
        <v>8020</v>
      </c>
      <c r="K117">
        <v>1</v>
      </c>
      <c r="L117">
        <v>2</v>
      </c>
      <c r="M117">
        <v>2</v>
      </c>
      <c r="N117">
        <v>1</v>
      </c>
      <c r="T117" s="124"/>
      <c r="U117" s="125"/>
      <c r="V117" s="124"/>
      <c r="X117" s="124"/>
      <c r="Y117" s="124"/>
      <c r="Z117" s="124"/>
    </row>
    <row r="118" spans="1:26">
      <c r="A118">
        <v>58</v>
      </c>
      <c r="B118">
        <v>1</v>
      </c>
      <c r="C118">
        <v>450</v>
      </c>
      <c r="D118">
        <v>0.22884008699047406</v>
      </c>
      <c r="E118">
        <v>9</v>
      </c>
      <c r="F118">
        <v>0</v>
      </c>
      <c r="G118">
        <v>0.10634892865446861</v>
      </c>
      <c r="H118">
        <v>8739.7274940000098</v>
      </c>
      <c r="I118">
        <v>72</v>
      </c>
      <c r="J118">
        <v>8020</v>
      </c>
      <c r="K118">
        <v>1</v>
      </c>
      <c r="L118">
        <v>4</v>
      </c>
      <c r="M118">
        <v>3</v>
      </c>
      <c r="N118">
        <v>1</v>
      </c>
      <c r="T118" s="124"/>
      <c r="U118" s="125"/>
      <c r="V118" s="124"/>
      <c r="X118" s="124"/>
      <c r="Y118" s="124"/>
      <c r="Z118" s="124"/>
    </row>
    <row r="119" spans="1:26">
      <c r="A119">
        <v>58</v>
      </c>
      <c r="B119">
        <v>2</v>
      </c>
      <c r="C119">
        <v>481</v>
      </c>
      <c r="D119">
        <v>0.20973055507977548</v>
      </c>
      <c r="E119">
        <v>6</v>
      </c>
      <c r="F119">
        <v>0</v>
      </c>
      <c r="G119">
        <v>7.6831110241749462E-2</v>
      </c>
      <c r="H119">
        <v>9536.0449470000094</v>
      </c>
      <c r="I119">
        <v>71</v>
      </c>
      <c r="J119">
        <v>8020</v>
      </c>
      <c r="K119">
        <v>1</v>
      </c>
      <c r="L119">
        <v>2</v>
      </c>
      <c r="M119">
        <v>2</v>
      </c>
      <c r="N119">
        <v>1</v>
      </c>
      <c r="T119" s="124"/>
      <c r="U119" s="125"/>
      <c r="V119" s="124"/>
      <c r="X119" s="124"/>
      <c r="Y119" s="124"/>
      <c r="Z119" s="124"/>
    </row>
    <row r="120" spans="1:26">
      <c r="A120">
        <v>59</v>
      </c>
      <c r="B120">
        <v>1</v>
      </c>
      <c r="C120">
        <v>262</v>
      </c>
      <c r="D120">
        <v>0.22771179587876755</v>
      </c>
      <c r="E120">
        <v>8</v>
      </c>
      <c r="F120">
        <v>0</v>
      </c>
      <c r="G120">
        <v>9.6375886660378121E-2</v>
      </c>
      <c r="H120">
        <v>8783.0320439999887</v>
      </c>
      <c r="I120">
        <v>71</v>
      </c>
      <c r="J120">
        <v>8020</v>
      </c>
      <c r="K120">
        <v>1</v>
      </c>
      <c r="L120">
        <v>3</v>
      </c>
      <c r="M120">
        <v>3</v>
      </c>
      <c r="N120">
        <v>1</v>
      </c>
      <c r="T120" s="124"/>
      <c r="U120" s="125"/>
      <c r="V120" s="124"/>
      <c r="X120" s="124"/>
      <c r="Y120" s="124"/>
      <c r="Z120" s="124"/>
    </row>
    <row r="121" spans="1:26">
      <c r="A121">
        <v>59</v>
      </c>
      <c r="B121">
        <v>2</v>
      </c>
      <c r="C121">
        <v>279</v>
      </c>
      <c r="D121">
        <v>0.21122829244133617</v>
      </c>
      <c r="E121">
        <v>6</v>
      </c>
      <c r="F121">
        <v>0</v>
      </c>
      <c r="G121">
        <v>7.6791234901851052E-2</v>
      </c>
      <c r="H121">
        <v>9468.4285749999817</v>
      </c>
      <c r="I121">
        <v>66</v>
      </c>
      <c r="J121">
        <v>8020</v>
      </c>
      <c r="K121">
        <v>1</v>
      </c>
      <c r="L121">
        <v>2</v>
      </c>
      <c r="M121">
        <v>2</v>
      </c>
      <c r="N121">
        <v>1</v>
      </c>
      <c r="T121" s="124"/>
      <c r="U121" s="125"/>
      <c r="V121" s="124"/>
      <c r="X121" s="124"/>
      <c r="Y121" s="124"/>
      <c r="Z121" s="124"/>
    </row>
    <row r="122" spans="1:26">
      <c r="A122">
        <v>60</v>
      </c>
      <c r="B122">
        <v>1</v>
      </c>
      <c r="C122">
        <v>580</v>
      </c>
      <c r="D122">
        <v>0.23149553092917716</v>
      </c>
      <c r="E122">
        <v>10</v>
      </c>
      <c r="F122">
        <v>0</v>
      </c>
      <c r="G122">
        <v>0.11628617621727062</v>
      </c>
      <c r="H122">
        <v>8639.475639000013</v>
      </c>
      <c r="I122">
        <v>66</v>
      </c>
      <c r="J122">
        <v>8020</v>
      </c>
      <c r="K122">
        <v>1</v>
      </c>
      <c r="L122">
        <v>4</v>
      </c>
      <c r="M122">
        <v>4</v>
      </c>
      <c r="N122">
        <v>1</v>
      </c>
      <c r="T122" s="124"/>
      <c r="U122" s="125"/>
      <c r="V122" s="124"/>
      <c r="X122" s="124"/>
      <c r="Y122" s="124"/>
      <c r="Z122" s="124"/>
    </row>
    <row r="123" spans="1:26">
      <c r="A123">
        <v>60</v>
      </c>
      <c r="B123">
        <v>2</v>
      </c>
      <c r="C123">
        <v>548</v>
      </c>
      <c r="D123">
        <v>0.20748587250272651</v>
      </c>
      <c r="E123">
        <v>6</v>
      </c>
      <c r="F123">
        <v>0</v>
      </c>
      <c r="G123">
        <v>7.6891588367924299E-2</v>
      </c>
      <c r="H123">
        <v>9639.2104960000033</v>
      </c>
      <c r="I123">
        <v>67</v>
      </c>
      <c r="J123">
        <v>8020</v>
      </c>
      <c r="K123">
        <v>1</v>
      </c>
      <c r="L123">
        <v>2</v>
      </c>
      <c r="M123">
        <v>2</v>
      </c>
      <c r="N123">
        <v>1</v>
      </c>
      <c r="T123" s="124"/>
      <c r="U123" s="125"/>
      <c r="V123" s="124"/>
      <c r="X123" s="124"/>
      <c r="Y123" s="124"/>
      <c r="Z123" s="124"/>
    </row>
    <row r="124" spans="1:26">
      <c r="A124" s="130">
        <v>61</v>
      </c>
      <c r="B124" s="130">
        <v>1</v>
      </c>
      <c r="C124" s="130">
        <v>617</v>
      </c>
      <c r="D124" s="130">
        <v>0.22745273996209386</v>
      </c>
      <c r="E124" s="130">
        <v>13</v>
      </c>
      <c r="F124" s="130">
        <v>0</v>
      </c>
      <c r="G124" s="130">
        <v>0.14638210137378749</v>
      </c>
      <c r="H124" s="130">
        <v>8793.03542499998</v>
      </c>
      <c r="I124" s="130">
        <v>67</v>
      </c>
      <c r="J124" s="130">
        <v>8020</v>
      </c>
      <c r="K124" s="130">
        <v>2</v>
      </c>
      <c r="L124" s="130">
        <v>3</v>
      </c>
      <c r="M124" s="130">
        <v>3</v>
      </c>
      <c r="N124" s="130">
        <v>5</v>
      </c>
      <c r="T124" s="124"/>
      <c r="U124" s="125"/>
      <c r="V124" s="124"/>
      <c r="X124" s="124"/>
      <c r="Y124" s="124"/>
      <c r="Z124" s="124"/>
    </row>
    <row r="125" spans="1:26">
      <c r="A125" s="130">
        <v>61</v>
      </c>
      <c r="B125" s="130">
        <v>2</v>
      </c>
      <c r="C125" s="130">
        <v>391</v>
      </c>
      <c r="D125" s="130">
        <v>0.17950555172620838</v>
      </c>
      <c r="E125" s="130">
        <v>8</v>
      </c>
      <c r="F125" s="130">
        <v>0</v>
      </c>
      <c r="G125" s="130">
        <v>9.7727222880504935E-2</v>
      </c>
      <c r="H125" s="130">
        <v>11141.716680999976</v>
      </c>
      <c r="I125" s="130">
        <v>63</v>
      </c>
      <c r="J125" s="130">
        <v>8020</v>
      </c>
      <c r="K125" s="130">
        <v>1</v>
      </c>
      <c r="L125" s="130">
        <v>1</v>
      </c>
      <c r="M125" s="130">
        <v>3</v>
      </c>
      <c r="N125" s="130">
        <v>3</v>
      </c>
      <c r="T125" s="124"/>
      <c r="U125" s="125"/>
      <c r="V125" s="124"/>
      <c r="X125" s="124"/>
      <c r="Y125" s="124"/>
      <c r="Z125" s="124"/>
    </row>
    <row r="126" spans="1:26">
      <c r="A126" s="130">
        <v>62</v>
      </c>
      <c r="B126" s="130">
        <v>1</v>
      </c>
      <c r="C126" s="130">
        <v>561</v>
      </c>
      <c r="D126" s="130">
        <v>0.20893579805294424</v>
      </c>
      <c r="E126" s="130">
        <v>18</v>
      </c>
      <c r="F126" s="130">
        <v>0</v>
      </c>
      <c r="G126" s="130">
        <v>0.19685242415439358</v>
      </c>
      <c r="H126" s="130">
        <v>9572.3184759999858</v>
      </c>
      <c r="I126" s="130">
        <v>65</v>
      </c>
      <c r="J126" s="130">
        <v>8020</v>
      </c>
      <c r="K126" s="130">
        <v>1</v>
      </c>
      <c r="L126" s="130">
        <v>5</v>
      </c>
      <c r="M126" s="130">
        <v>1</v>
      </c>
      <c r="N126" s="130">
        <v>11</v>
      </c>
      <c r="T126" s="124"/>
      <c r="U126" s="125"/>
      <c r="V126" s="124"/>
      <c r="X126" s="124"/>
      <c r="Y126" s="124"/>
      <c r="Z126" s="124"/>
    </row>
    <row r="127" spans="1:26">
      <c r="A127" s="130">
        <v>62</v>
      </c>
      <c r="B127" s="130">
        <v>2</v>
      </c>
      <c r="C127" s="130">
        <v>323</v>
      </c>
      <c r="D127" s="130">
        <v>0.16469160989127035</v>
      </c>
      <c r="E127" s="130">
        <v>9</v>
      </c>
      <c r="F127" s="130">
        <v>0</v>
      </c>
      <c r="G127" s="130">
        <v>0.10824355659892555</v>
      </c>
      <c r="H127" s="130">
        <v>12143.909464000037</v>
      </c>
      <c r="I127" s="130">
        <v>63</v>
      </c>
      <c r="J127" s="130">
        <v>8020</v>
      </c>
      <c r="K127" s="130">
        <v>1</v>
      </c>
      <c r="L127" s="130">
        <v>1</v>
      </c>
      <c r="M127" s="130">
        <v>1</v>
      </c>
      <c r="N127" s="130">
        <v>6</v>
      </c>
      <c r="T127" s="124"/>
      <c r="U127" s="125"/>
      <c r="V127" s="124"/>
      <c r="X127" s="124"/>
      <c r="Y127" s="124"/>
      <c r="Z127" s="124"/>
    </row>
    <row r="128" spans="1:26">
      <c r="A128" s="130">
        <v>63</v>
      </c>
      <c r="B128" s="130">
        <v>1</v>
      </c>
      <c r="C128" s="130">
        <v>664</v>
      </c>
      <c r="D128" s="130">
        <v>0.21147528839586135</v>
      </c>
      <c r="E128" s="130">
        <v>12</v>
      </c>
      <c r="F128" s="130">
        <v>0</v>
      </c>
      <c r="G128" s="130">
        <v>0.13678469515776159</v>
      </c>
      <c r="H128" s="130">
        <v>9457.3697719999927</v>
      </c>
      <c r="I128" s="130">
        <v>68</v>
      </c>
      <c r="J128" s="130">
        <v>8020</v>
      </c>
      <c r="K128" s="130">
        <v>2</v>
      </c>
      <c r="L128" s="130">
        <v>3</v>
      </c>
      <c r="M128" s="130">
        <v>2</v>
      </c>
      <c r="N128" s="130">
        <v>5</v>
      </c>
      <c r="T128" s="124"/>
      <c r="U128" s="125"/>
      <c r="V128" s="124"/>
      <c r="X128" s="124"/>
      <c r="Y128" s="124"/>
      <c r="Z128" s="124"/>
    </row>
    <row r="129" spans="1:26">
      <c r="A129" s="130">
        <v>63</v>
      </c>
      <c r="B129" s="130">
        <v>2</v>
      </c>
      <c r="C129" s="130">
        <v>181</v>
      </c>
      <c r="D129" s="130">
        <v>0.16405334552789522</v>
      </c>
      <c r="E129" s="130">
        <v>20</v>
      </c>
      <c r="F129" s="130">
        <v>0</v>
      </c>
      <c r="G129" s="130">
        <v>0.21826718538382528</v>
      </c>
      <c r="H129" s="130">
        <v>12191.15644100001</v>
      </c>
      <c r="I129" s="130">
        <v>65</v>
      </c>
      <c r="J129" s="130">
        <v>8020</v>
      </c>
      <c r="K129" s="130">
        <v>1</v>
      </c>
      <c r="L129" s="130">
        <v>1</v>
      </c>
      <c r="M129" s="130">
        <v>17</v>
      </c>
      <c r="N129" s="130">
        <v>1</v>
      </c>
      <c r="T129" s="124"/>
      <c r="U129" s="125"/>
      <c r="V129" s="124"/>
      <c r="X129" s="124"/>
      <c r="Y129" s="124"/>
      <c r="Z129" s="124"/>
    </row>
    <row r="130" spans="1:26">
      <c r="A130" s="130">
        <v>64</v>
      </c>
      <c r="B130" s="130">
        <v>1</v>
      </c>
      <c r="C130" s="130">
        <v>808</v>
      </c>
      <c r="D130" s="130">
        <v>0.22877180516784817</v>
      </c>
      <c r="E130" s="130">
        <v>24</v>
      </c>
      <c r="F130" s="130">
        <v>0</v>
      </c>
      <c r="G130" s="130">
        <v>0.25635055505477244</v>
      </c>
      <c r="H130" s="130">
        <v>8742.3360520000042</v>
      </c>
      <c r="I130" s="130">
        <v>66</v>
      </c>
      <c r="J130" s="130">
        <v>8020</v>
      </c>
      <c r="K130" s="130">
        <v>3</v>
      </c>
      <c r="L130" s="130">
        <v>5</v>
      </c>
      <c r="M130" s="130">
        <v>1</v>
      </c>
      <c r="N130" s="130">
        <v>15</v>
      </c>
      <c r="T130" s="124"/>
      <c r="U130" s="125"/>
      <c r="V130" s="124"/>
      <c r="X130" s="124"/>
      <c r="Y130" s="124"/>
      <c r="Z130" s="124"/>
    </row>
    <row r="131" spans="1:26">
      <c r="A131" s="130">
        <v>64</v>
      </c>
      <c r="B131" s="130">
        <v>2</v>
      </c>
      <c r="C131" s="130">
        <v>439</v>
      </c>
      <c r="D131" s="130">
        <v>0.17677606092367523</v>
      </c>
      <c r="E131" s="130">
        <v>8</v>
      </c>
      <c r="F131" s="130">
        <v>0</v>
      </c>
      <c r="G131" s="130">
        <v>9.7817995676453717E-2</v>
      </c>
      <c r="H131" s="130">
        <v>11313.749099000001</v>
      </c>
      <c r="I131" s="130">
        <v>63</v>
      </c>
      <c r="J131" s="130">
        <v>8020</v>
      </c>
      <c r="K131" s="130">
        <v>1</v>
      </c>
      <c r="L131" s="130">
        <v>3</v>
      </c>
      <c r="M131" s="130">
        <v>1</v>
      </c>
      <c r="N131" s="130">
        <v>3</v>
      </c>
      <c r="T131" s="124"/>
      <c r="U131" s="125"/>
      <c r="V131" s="124"/>
      <c r="X131" s="124"/>
      <c r="Y131" s="124"/>
      <c r="Z131" s="124"/>
    </row>
    <row r="132" spans="1:26">
      <c r="A132" s="130">
        <v>65</v>
      </c>
      <c r="B132" s="130">
        <v>1</v>
      </c>
      <c r="C132" s="130">
        <v>666</v>
      </c>
      <c r="D132" s="130">
        <v>0.213405132972459</v>
      </c>
      <c r="E132" s="130">
        <v>19</v>
      </c>
      <c r="F132" s="130">
        <v>0</v>
      </c>
      <c r="G132" s="130">
        <v>0.20673394663242464</v>
      </c>
      <c r="H132" s="130">
        <v>9371.8458039999914</v>
      </c>
      <c r="I132" s="130">
        <v>63</v>
      </c>
      <c r="J132" s="130">
        <v>8020</v>
      </c>
      <c r="K132" s="130">
        <v>4</v>
      </c>
      <c r="L132" s="130">
        <v>1</v>
      </c>
      <c r="M132" s="130">
        <v>7</v>
      </c>
      <c r="N132" s="130">
        <v>7</v>
      </c>
      <c r="T132" s="124"/>
      <c r="U132" s="125"/>
      <c r="V132" s="124"/>
      <c r="X132" s="124"/>
      <c r="Y132" s="124"/>
      <c r="Z132" s="124"/>
    </row>
    <row r="133" spans="1:26">
      <c r="A133" s="130">
        <v>65</v>
      </c>
      <c r="B133" s="130">
        <v>2</v>
      </c>
      <c r="C133" s="130">
        <v>386</v>
      </c>
      <c r="D133" s="130">
        <v>0.16770623795927536</v>
      </c>
      <c r="E133" s="130">
        <v>9</v>
      </c>
      <c r="F133" s="130">
        <v>0</v>
      </c>
      <c r="G133" s="130">
        <v>0.10813358174424587</v>
      </c>
      <c r="H133" s="130">
        <v>11925.614839000003</v>
      </c>
      <c r="I133" s="130">
        <v>67</v>
      </c>
      <c r="J133" s="130">
        <v>8020</v>
      </c>
      <c r="K133" s="130">
        <v>2</v>
      </c>
      <c r="L133" s="130">
        <v>1</v>
      </c>
      <c r="M133" s="130">
        <v>1</v>
      </c>
      <c r="N133" s="130">
        <v>5</v>
      </c>
      <c r="T133" s="124"/>
      <c r="U133" s="125"/>
      <c r="V133" s="124"/>
      <c r="X133" s="124"/>
      <c r="Y133" s="124"/>
      <c r="Z133" s="124"/>
    </row>
    <row r="134" spans="1:26">
      <c r="A134" s="130">
        <v>66</v>
      </c>
      <c r="B134" s="130">
        <v>1</v>
      </c>
      <c r="C134" s="130">
        <v>756</v>
      </c>
      <c r="D134" s="130">
        <v>0.22809750256985317</v>
      </c>
      <c r="E134" s="130">
        <v>27</v>
      </c>
      <c r="F134" s="130">
        <v>0</v>
      </c>
      <c r="G134" s="130">
        <v>0.28636665105928794</v>
      </c>
      <c r="H134" s="130">
        <v>8768.1801750000086</v>
      </c>
      <c r="I134" s="130">
        <v>69</v>
      </c>
      <c r="J134" s="130">
        <v>8020</v>
      </c>
      <c r="K134" s="130">
        <v>3</v>
      </c>
      <c r="L134" s="130">
        <v>7</v>
      </c>
      <c r="M134" s="130">
        <v>1</v>
      </c>
      <c r="N134" s="130">
        <v>16</v>
      </c>
      <c r="T134" s="124"/>
      <c r="U134" s="125"/>
      <c r="V134" s="124"/>
      <c r="X134" s="124"/>
      <c r="Y134" s="124"/>
      <c r="Z134" s="124"/>
    </row>
    <row r="135" spans="1:26">
      <c r="A135" s="130">
        <v>66</v>
      </c>
      <c r="B135" s="130">
        <v>2</v>
      </c>
      <c r="C135" s="130">
        <v>479</v>
      </c>
      <c r="D135" s="130">
        <v>0.17563050399896457</v>
      </c>
      <c r="E135" s="130">
        <v>8</v>
      </c>
      <c r="F135" s="130">
        <v>0</v>
      </c>
      <c r="G135" s="130">
        <v>9.7856651281352486E-2</v>
      </c>
      <c r="H135" s="130">
        <v>11387.543475999995</v>
      </c>
      <c r="I135" s="130">
        <v>72</v>
      </c>
      <c r="J135" s="130">
        <v>8020</v>
      </c>
      <c r="K135" s="130">
        <v>1</v>
      </c>
      <c r="L135" s="130">
        <v>3</v>
      </c>
      <c r="M135" s="130">
        <v>1</v>
      </c>
      <c r="N135" s="130">
        <v>3</v>
      </c>
      <c r="T135" s="124"/>
      <c r="U135" s="125"/>
      <c r="V135" s="124"/>
      <c r="X135" s="124"/>
      <c r="Y135" s="124"/>
      <c r="Z135" s="124"/>
    </row>
    <row r="136" spans="1:26">
      <c r="A136" s="130">
        <v>67</v>
      </c>
      <c r="B136" s="130">
        <v>1</v>
      </c>
      <c r="C136" s="130">
        <v>695</v>
      </c>
      <c r="D136" s="130">
        <v>0.20967239872557858</v>
      </c>
      <c r="E136" s="130">
        <v>16</v>
      </c>
      <c r="F136" s="130">
        <v>0</v>
      </c>
      <c r="G136" s="130">
        <v>0.17683266623342894</v>
      </c>
      <c r="H136" s="130">
        <v>9538.6899379999977</v>
      </c>
      <c r="I136" s="130">
        <v>73</v>
      </c>
      <c r="J136" s="130">
        <v>8020</v>
      </c>
      <c r="K136" s="130">
        <v>3</v>
      </c>
      <c r="L136" s="130">
        <v>1</v>
      </c>
      <c r="M136" s="130">
        <v>6</v>
      </c>
      <c r="N136" s="130">
        <v>6</v>
      </c>
      <c r="T136" s="124"/>
      <c r="U136" s="125"/>
      <c r="V136" s="124"/>
      <c r="X136" s="124"/>
      <c r="Y136" s="124"/>
      <c r="Z136" s="124"/>
    </row>
    <row r="137" spans="1:26">
      <c r="A137" s="130">
        <v>67</v>
      </c>
      <c r="B137" s="130">
        <v>2</v>
      </c>
      <c r="C137" s="130">
        <v>296</v>
      </c>
      <c r="D137" s="130">
        <v>0.16486692160577907</v>
      </c>
      <c r="E137" s="130">
        <v>12</v>
      </c>
      <c r="F137" s="130">
        <v>0</v>
      </c>
      <c r="G137" s="130">
        <v>0.13823708785943381</v>
      </c>
      <c r="H137" s="130">
        <v>12130.996202999973</v>
      </c>
      <c r="I137" s="130">
        <v>70</v>
      </c>
      <c r="J137" s="130">
        <v>8020</v>
      </c>
      <c r="K137" s="130">
        <v>1</v>
      </c>
      <c r="L137" s="130">
        <v>1</v>
      </c>
      <c r="M137" s="130">
        <v>1</v>
      </c>
      <c r="N137" s="130">
        <v>9</v>
      </c>
      <c r="T137" s="124"/>
      <c r="U137" s="125"/>
      <c r="V137" s="124"/>
      <c r="X137" s="124"/>
      <c r="Y137" s="124"/>
      <c r="Z137" s="124"/>
    </row>
    <row r="138" spans="1:26">
      <c r="A138" s="130">
        <v>68</v>
      </c>
      <c r="B138" s="130">
        <v>1</v>
      </c>
      <c r="C138" s="130">
        <v>494</v>
      </c>
      <c r="D138" s="130">
        <v>0.2222582965959122</v>
      </c>
      <c r="E138" s="130">
        <v>34</v>
      </c>
      <c r="F138" s="130">
        <v>0</v>
      </c>
      <c r="G138" s="130">
        <v>0.35650874297896229</v>
      </c>
      <c r="H138" s="130">
        <v>8998.5392250000004</v>
      </c>
      <c r="I138" s="130">
        <v>71</v>
      </c>
      <c r="J138" s="130">
        <v>8020</v>
      </c>
      <c r="K138" s="130">
        <v>1</v>
      </c>
      <c r="L138" s="130">
        <v>11</v>
      </c>
      <c r="M138" s="130">
        <v>1</v>
      </c>
      <c r="N138" s="130">
        <v>21</v>
      </c>
      <c r="T138" s="124"/>
      <c r="U138" s="125"/>
      <c r="V138" s="124"/>
      <c r="X138" s="124"/>
      <c r="Y138" s="124"/>
      <c r="Z138" s="124"/>
    </row>
    <row r="139" spans="1:26">
      <c r="A139" s="130">
        <v>68</v>
      </c>
      <c r="B139" s="130">
        <v>2</v>
      </c>
      <c r="C139" s="130">
        <v>432</v>
      </c>
      <c r="D139" s="130">
        <v>0.17645989150136068</v>
      </c>
      <c r="E139" s="130">
        <v>8</v>
      </c>
      <c r="F139" s="130">
        <v>0</v>
      </c>
      <c r="G139" s="130">
        <v>9.7828631037863628E-2</v>
      </c>
      <c r="H139" s="130">
        <v>11334.020343000029</v>
      </c>
      <c r="I139" s="130">
        <v>72</v>
      </c>
      <c r="J139" s="130">
        <v>8020</v>
      </c>
      <c r="K139" s="130">
        <v>1</v>
      </c>
      <c r="L139" s="130">
        <v>3</v>
      </c>
      <c r="M139" s="130">
        <v>1</v>
      </c>
      <c r="N139" s="130">
        <v>3</v>
      </c>
      <c r="T139" s="124"/>
      <c r="U139" s="125"/>
      <c r="V139" s="124"/>
      <c r="X139" s="124"/>
      <c r="Y139" s="124"/>
      <c r="Z139" s="124"/>
    </row>
    <row r="140" spans="1:26">
      <c r="A140" s="130">
        <v>69</v>
      </c>
      <c r="B140" s="130">
        <v>1</v>
      </c>
      <c r="C140" s="130">
        <v>540</v>
      </c>
      <c r="D140" s="130">
        <v>0.223960711772763</v>
      </c>
      <c r="E140" s="130">
        <v>14</v>
      </c>
      <c r="F140" s="130">
        <v>0</v>
      </c>
      <c r="G140" s="130">
        <v>0.15646680668215854</v>
      </c>
      <c r="H140" s="130">
        <v>8930.1377200000043</v>
      </c>
      <c r="I140" s="130">
        <v>76</v>
      </c>
      <c r="J140" s="130">
        <v>8020</v>
      </c>
      <c r="K140" s="130">
        <v>2</v>
      </c>
      <c r="L140" s="130">
        <v>3</v>
      </c>
      <c r="M140" s="130">
        <v>4</v>
      </c>
      <c r="N140" s="130">
        <v>5</v>
      </c>
      <c r="T140" s="124"/>
      <c r="U140" s="125"/>
      <c r="V140" s="124"/>
      <c r="X140" s="124"/>
      <c r="Y140" s="124"/>
      <c r="Z140" s="124"/>
    </row>
    <row r="141" spans="1:26">
      <c r="A141">
        <v>69</v>
      </c>
      <c r="B141">
        <v>2</v>
      </c>
      <c r="C141">
        <v>448</v>
      </c>
      <c r="D141">
        <v>0.18033254797507833</v>
      </c>
      <c r="E141">
        <v>8</v>
      </c>
      <c r="F141">
        <v>0</v>
      </c>
      <c r="G141">
        <v>9.7700082624339005E-2</v>
      </c>
      <c r="H141">
        <v>11090.621313000007</v>
      </c>
      <c r="I141">
        <v>77</v>
      </c>
      <c r="J141">
        <v>8020</v>
      </c>
      <c r="K141">
        <v>2</v>
      </c>
      <c r="L141">
        <v>2</v>
      </c>
      <c r="M141">
        <v>1</v>
      </c>
      <c r="N141">
        <v>3</v>
      </c>
      <c r="T141" s="124"/>
      <c r="U141" s="125"/>
      <c r="V141" s="124"/>
      <c r="X141" s="124"/>
      <c r="Y141" s="124"/>
      <c r="Z141" s="124"/>
    </row>
    <row r="142" spans="1:26">
      <c r="A142">
        <v>70</v>
      </c>
      <c r="B142">
        <v>1</v>
      </c>
      <c r="C142">
        <v>597</v>
      </c>
      <c r="D142">
        <v>0.23268477392112785</v>
      </c>
      <c r="E142">
        <v>37</v>
      </c>
      <c r="F142">
        <v>0</v>
      </c>
      <c r="G142">
        <v>0.3862583828048024</v>
      </c>
      <c r="H142">
        <v>8595.319608999991</v>
      </c>
      <c r="I142">
        <v>68</v>
      </c>
      <c r="J142">
        <v>8020</v>
      </c>
      <c r="K142">
        <v>6</v>
      </c>
      <c r="L142">
        <v>1</v>
      </c>
      <c r="M142">
        <v>12</v>
      </c>
      <c r="N142">
        <v>18</v>
      </c>
      <c r="T142" s="124"/>
      <c r="U142" s="125"/>
      <c r="V142" s="124"/>
      <c r="X142" s="124"/>
      <c r="Y142" s="124"/>
      <c r="Z142" s="124"/>
    </row>
    <row r="143" spans="1:26">
      <c r="A143">
        <v>70</v>
      </c>
      <c r="B143">
        <v>2</v>
      </c>
      <c r="C143">
        <v>512</v>
      </c>
      <c r="D143">
        <v>0.18835291656971317</v>
      </c>
      <c r="E143">
        <v>9</v>
      </c>
      <c r="F143">
        <v>0</v>
      </c>
      <c r="G143">
        <v>0.10744519721794099</v>
      </c>
      <c r="H143">
        <v>10618.36491</v>
      </c>
      <c r="I143">
        <v>70</v>
      </c>
      <c r="J143">
        <v>8020</v>
      </c>
      <c r="K143">
        <v>2</v>
      </c>
      <c r="L143">
        <v>1</v>
      </c>
      <c r="M143">
        <v>3</v>
      </c>
      <c r="N143">
        <v>3</v>
      </c>
      <c r="T143" s="124"/>
      <c r="U143" s="125"/>
      <c r="V143" s="124"/>
      <c r="X143" s="124"/>
      <c r="Y143" s="124"/>
      <c r="Z143" s="124"/>
    </row>
    <row r="144" spans="1:26">
      <c r="A144">
        <v>71</v>
      </c>
      <c r="B144">
        <v>1</v>
      </c>
      <c r="C144">
        <v>423</v>
      </c>
      <c r="D144">
        <v>0.21758714723095871</v>
      </c>
      <c r="E144">
        <v>8</v>
      </c>
      <c r="F144">
        <v>0</v>
      </c>
      <c r="G144">
        <v>9.6626043811975523E-2</v>
      </c>
      <c r="H144">
        <v>9191.7193889999962</v>
      </c>
      <c r="I144">
        <v>68</v>
      </c>
      <c r="J144">
        <v>8020</v>
      </c>
      <c r="K144">
        <v>2</v>
      </c>
      <c r="L144">
        <v>1</v>
      </c>
      <c r="M144">
        <v>1</v>
      </c>
      <c r="N144">
        <v>4</v>
      </c>
      <c r="T144" s="124"/>
      <c r="U144" s="125"/>
      <c r="V144" s="124"/>
      <c r="X144" s="124"/>
      <c r="Y144" s="124"/>
      <c r="Z144" s="124"/>
    </row>
    <row r="145" spans="1:26">
      <c r="A145">
        <v>71</v>
      </c>
      <c r="B145">
        <v>2</v>
      </c>
      <c r="C145">
        <v>327</v>
      </c>
      <c r="D145">
        <v>0.19778012759600211</v>
      </c>
      <c r="E145">
        <v>5</v>
      </c>
      <c r="F145">
        <v>0</v>
      </c>
      <c r="G145">
        <v>6.7163497157054775E-2</v>
      </c>
      <c r="H145">
        <v>10112.239405999997</v>
      </c>
      <c r="I145">
        <v>69</v>
      </c>
      <c r="J145">
        <v>8020</v>
      </c>
      <c r="K145">
        <v>1</v>
      </c>
      <c r="L145">
        <v>1</v>
      </c>
      <c r="M145">
        <v>1</v>
      </c>
      <c r="N145">
        <v>2</v>
      </c>
      <c r="T145" s="124"/>
      <c r="U145" s="125"/>
      <c r="V145" s="124"/>
      <c r="X145" s="124"/>
      <c r="Y145" s="124"/>
      <c r="Z145" s="124"/>
    </row>
    <row r="146" spans="1:26">
      <c r="A146">
        <v>72</v>
      </c>
      <c r="B146">
        <v>1</v>
      </c>
      <c r="C146">
        <v>413</v>
      </c>
      <c r="D146">
        <v>0.23074080446058304</v>
      </c>
      <c r="E146">
        <v>8</v>
      </c>
      <c r="F146">
        <v>0</v>
      </c>
      <c r="G146">
        <v>9.6303913624857532E-2</v>
      </c>
      <c r="H146">
        <v>8667.7343639999999</v>
      </c>
      <c r="I146">
        <v>67</v>
      </c>
      <c r="J146">
        <v>8020</v>
      </c>
      <c r="K146">
        <v>1</v>
      </c>
      <c r="L146">
        <v>3</v>
      </c>
      <c r="M146">
        <v>1</v>
      </c>
      <c r="N146">
        <v>3</v>
      </c>
      <c r="T146" s="124"/>
      <c r="U146" s="125"/>
      <c r="V146" s="124"/>
      <c r="X146" s="124"/>
      <c r="Y146" s="124"/>
      <c r="Z146" s="124"/>
    </row>
    <row r="147" spans="1:26">
      <c r="A147">
        <v>72</v>
      </c>
      <c r="B147">
        <v>2</v>
      </c>
      <c r="C147">
        <v>291</v>
      </c>
      <c r="D147">
        <v>0.19986146979958963</v>
      </c>
      <c r="E147">
        <v>5</v>
      </c>
      <c r="F147">
        <v>0</v>
      </c>
      <c r="G147">
        <v>6.7103709346009094E-2</v>
      </c>
      <c r="H147">
        <v>10006.931311000028</v>
      </c>
      <c r="I147">
        <v>69</v>
      </c>
      <c r="J147">
        <v>8020</v>
      </c>
      <c r="K147">
        <v>1</v>
      </c>
      <c r="L147">
        <v>1</v>
      </c>
      <c r="M147">
        <v>1</v>
      </c>
      <c r="N147">
        <v>2</v>
      </c>
      <c r="T147" s="124"/>
      <c r="U147" s="125"/>
      <c r="V147" s="124"/>
      <c r="X147" s="124"/>
      <c r="Y147" s="124"/>
      <c r="Z147" s="124"/>
    </row>
    <row r="148" spans="1:26">
      <c r="A148">
        <v>73</v>
      </c>
      <c r="B148">
        <v>1</v>
      </c>
      <c r="C148">
        <v>424</v>
      </c>
      <c r="D148">
        <v>0.22488452302023826</v>
      </c>
      <c r="E148">
        <v>8</v>
      </c>
      <c r="F148">
        <v>0</v>
      </c>
      <c r="G148">
        <v>9.6444227539516703E-2</v>
      </c>
      <c r="H148">
        <v>8893.4532850000178</v>
      </c>
      <c r="I148">
        <v>67</v>
      </c>
      <c r="J148">
        <v>8020</v>
      </c>
      <c r="K148">
        <v>1</v>
      </c>
      <c r="L148">
        <v>2</v>
      </c>
      <c r="M148">
        <v>1</v>
      </c>
      <c r="N148">
        <v>4</v>
      </c>
      <c r="T148" s="124"/>
      <c r="U148" s="125"/>
      <c r="V148" s="124"/>
      <c r="X148" s="124"/>
      <c r="Y148" s="124"/>
      <c r="Z148" s="124"/>
    </row>
    <row r="149" spans="1:26">
      <c r="A149">
        <v>73</v>
      </c>
      <c r="B149">
        <v>2</v>
      </c>
      <c r="C149">
        <v>328</v>
      </c>
      <c r="D149">
        <v>0.19728840423107552</v>
      </c>
      <c r="E149">
        <v>5</v>
      </c>
      <c r="F149">
        <v>0</v>
      </c>
      <c r="G149">
        <v>6.7177744810686835E-2</v>
      </c>
      <c r="H149">
        <v>10137.443241000039</v>
      </c>
      <c r="I149">
        <v>69</v>
      </c>
      <c r="J149">
        <v>8020</v>
      </c>
      <c r="K149">
        <v>1</v>
      </c>
      <c r="L149">
        <v>1</v>
      </c>
      <c r="M149">
        <v>1</v>
      </c>
      <c r="N149">
        <v>2</v>
      </c>
      <c r="T149" s="124"/>
      <c r="U149" s="125"/>
      <c r="V149" s="124"/>
      <c r="X149" s="124"/>
      <c r="Y149" s="124"/>
      <c r="Z149" s="124"/>
    </row>
    <row r="150" spans="1:26">
      <c r="A150">
        <v>74</v>
      </c>
      <c r="B150">
        <v>1</v>
      </c>
      <c r="C150">
        <v>460</v>
      </c>
      <c r="D150">
        <v>0.22326005257985446</v>
      </c>
      <c r="E150">
        <v>7</v>
      </c>
      <c r="F150">
        <v>0</v>
      </c>
      <c r="G150">
        <v>8.6484014673175874E-2</v>
      </c>
      <c r="H150">
        <v>8958.1632579999987</v>
      </c>
      <c r="I150">
        <v>67</v>
      </c>
      <c r="J150">
        <v>8020</v>
      </c>
      <c r="K150">
        <v>1</v>
      </c>
      <c r="L150">
        <v>2</v>
      </c>
      <c r="M150">
        <v>1</v>
      </c>
      <c r="N150">
        <v>3</v>
      </c>
      <c r="T150" s="124"/>
      <c r="U150" s="125"/>
      <c r="V150" s="124"/>
      <c r="X150" s="124"/>
      <c r="Y150" s="124"/>
      <c r="Z150" s="124"/>
    </row>
    <row r="151" spans="1:26">
      <c r="A151">
        <v>74</v>
      </c>
      <c r="B151">
        <v>2</v>
      </c>
      <c r="C151">
        <v>354</v>
      </c>
      <c r="D151">
        <v>0.19793621698454861</v>
      </c>
      <c r="E151">
        <v>5</v>
      </c>
      <c r="F151">
        <v>0</v>
      </c>
      <c r="G151">
        <v>6.7158984349272088E-2</v>
      </c>
      <c r="H151">
        <v>10104.265053000003</v>
      </c>
      <c r="I151">
        <v>73</v>
      </c>
      <c r="J151">
        <v>8020</v>
      </c>
      <c r="K151">
        <v>1</v>
      </c>
      <c r="L151">
        <v>1</v>
      </c>
      <c r="M151">
        <v>1</v>
      </c>
      <c r="N151">
        <v>2</v>
      </c>
      <c r="T151" s="124"/>
      <c r="U151" s="125"/>
      <c r="V151" s="124"/>
      <c r="X151" s="124"/>
      <c r="Y151" s="124"/>
      <c r="Z151" s="124"/>
    </row>
    <row r="152" spans="1:26">
      <c r="A152">
        <v>75</v>
      </c>
      <c r="B152">
        <v>1</v>
      </c>
      <c r="C152">
        <v>611</v>
      </c>
      <c r="D152">
        <v>0.228512228992065</v>
      </c>
      <c r="E152">
        <v>7</v>
      </c>
      <c r="F152">
        <v>0</v>
      </c>
      <c r="G152">
        <v>8.6356743795053467E-2</v>
      </c>
      <c r="H152">
        <v>8752.2668209999792</v>
      </c>
      <c r="I152">
        <v>74</v>
      </c>
      <c r="J152">
        <v>8020</v>
      </c>
      <c r="K152">
        <v>2</v>
      </c>
      <c r="L152">
        <v>1</v>
      </c>
      <c r="M152">
        <v>2</v>
      </c>
      <c r="N152">
        <v>2</v>
      </c>
      <c r="T152" s="124"/>
      <c r="U152" s="125"/>
      <c r="V152" s="124"/>
      <c r="X152" s="124"/>
      <c r="Y152" s="124"/>
      <c r="Z152" s="124"/>
    </row>
    <row r="153" spans="1:26">
      <c r="A153">
        <v>75</v>
      </c>
      <c r="B153">
        <v>2</v>
      </c>
      <c r="C153">
        <v>236</v>
      </c>
      <c r="D153">
        <v>0.1999626168488064</v>
      </c>
      <c r="E153">
        <v>5</v>
      </c>
      <c r="F153">
        <v>0</v>
      </c>
      <c r="G153">
        <v>6.7100825004369438E-2</v>
      </c>
      <c r="H153">
        <v>10001.869506999994</v>
      </c>
      <c r="I153">
        <v>72</v>
      </c>
      <c r="J153">
        <v>8020</v>
      </c>
      <c r="K153">
        <v>1</v>
      </c>
      <c r="L153">
        <v>1</v>
      </c>
      <c r="M153">
        <v>1</v>
      </c>
      <c r="N153">
        <v>2</v>
      </c>
      <c r="T153" s="124"/>
      <c r="U153" s="125"/>
      <c r="V153" s="124"/>
      <c r="X153" s="124"/>
      <c r="Y153" s="124"/>
      <c r="Z153" s="124"/>
    </row>
    <row r="154" spans="1:26">
      <c r="A154">
        <v>76</v>
      </c>
      <c r="B154">
        <v>1</v>
      </c>
      <c r="C154">
        <v>313</v>
      </c>
      <c r="D154">
        <v>0.23149328238741482</v>
      </c>
      <c r="E154">
        <v>9</v>
      </c>
      <c r="F154">
        <v>0</v>
      </c>
      <c r="G154">
        <v>0.10628622894742394</v>
      </c>
      <c r="H154">
        <v>8639.5595560000165</v>
      </c>
      <c r="I154">
        <v>69</v>
      </c>
      <c r="J154">
        <v>8020</v>
      </c>
      <c r="K154">
        <v>1</v>
      </c>
      <c r="L154">
        <v>3</v>
      </c>
      <c r="M154">
        <v>1</v>
      </c>
      <c r="N154">
        <v>4</v>
      </c>
      <c r="T154" s="124"/>
      <c r="U154" s="125"/>
      <c r="V154" s="124"/>
      <c r="X154" s="124"/>
      <c r="Y154" s="124"/>
      <c r="Z154" s="124"/>
    </row>
    <row r="155" spans="1:26">
      <c r="A155">
        <v>76</v>
      </c>
      <c r="B155">
        <v>2</v>
      </c>
      <c r="C155">
        <v>279</v>
      </c>
      <c r="D155">
        <v>0.19806233490572267</v>
      </c>
      <c r="E155">
        <v>5</v>
      </c>
      <c r="F155">
        <v>0</v>
      </c>
      <c r="G155">
        <v>6.7155341531593429E-2</v>
      </c>
      <c r="H155">
        <v>10097.831073999994</v>
      </c>
      <c r="I155">
        <v>70</v>
      </c>
      <c r="J155">
        <v>8020</v>
      </c>
      <c r="K155">
        <v>1</v>
      </c>
      <c r="L155">
        <v>1</v>
      </c>
      <c r="M155">
        <v>1</v>
      </c>
      <c r="N155">
        <v>2</v>
      </c>
      <c r="T155" s="124"/>
      <c r="U155" s="125"/>
      <c r="V155" s="124"/>
      <c r="X155" s="124"/>
      <c r="Y155" s="124"/>
      <c r="Z155" s="124"/>
    </row>
    <row r="156" spans="1:26">
      <c r="A156">
        <v>77</v>
      </c>
      <c r="B156">
        <v>1</v>
      </c>
      <c r="C156">
        <v>523</v>
      </c>
      <c r="D156">
        <v>0.22408787667035504</v>
      </c>
      <c r="E156">
        <v>7</v>
      </c>
      <c r="F156">
        <v>0</v>
      </c>
      <c r="G156">
        <v>8.6463691243636662E-2</v>
      </c>
      <c r="H156">
        <v>8925.0700650000108</v>
      </c>
      <c r="I156">
        <v>69</v>
      </c>
      <c r="J156">
        <v>8020</v>
      </c>
      <c r="K156">
        <v>1</v>
      </c>
      <c r="L156">
        <v>2</v>
      </c>
      <c r="M156">
        <v>1</v>
      </c>
      <c r="N156">
        <v>3</v>
      </c>
      <c r="T156" s="124"/>
      <c r="U156" s="125"/>
      <c r="V156" s="124"/>
      <c r="X156" s="124"/>
      <c r="Y156" s="124"/>
      <c r="Z156" s="124"/>
    </row>
    <row r="157" spans="1:26">
      <c r="A157">
        <v>77</v>
      </c>
      <c r="B157">
        <v>2</v>
      </c>
      <c r="C157">
        <v>281</v>
      </c>
      <c r="D157">
        <v>0.19900480051499173</v>
      </c>
      <c r="E157">
        <v>5</v>
      </c>
      <c r="F157">
        <v>0</v>
      </c>
      <c r="G157">
        <v>6.7128216707554159E-2</v>
      </c>
      <c r="H157">
        <v>10050.008818000011</v>
      </c>
      <c r="I157">
        <v>72</v>
      </c>
      <c r="J157">
        <v>8020</v>
      </c>
      <c r="K157">
        <v>1</v>
      </c>
      <c r="L157">
        <v>1</v>
      </c>
      <c r="M157">
        <v>1</v>
      </c>
      <c r="N157">
        <v>2</v>
      </c>
      <c r="T157" s="124"/>
      <c r="U157" s="125"/>
      <c r="V157" s="124"/>
      <c r="X157" s="124"/>
      <c r="Y157" s="124"/>
      <c r="Z157" s="124"/>
    </row>
    <row r="158" spans="1:26">
      <c r="A158">
        <v>78</v>
      </c>
      <c r="B158">
        <v>1</v>
      </c>
      <c r="C158">
        <v>380</v>
      </c>
      <c r="D158">
        <v>0.22411522971313128</v>
      </c>
      <c r="E158">
        <v>7</v>
      </c>
      <c r="F158">
        <v>0</v>
      </c>
      <c r="G158">
        <v>8.6463021423958744E-2</v>
      </c>
      <c r="H158">
        <v>8923.9807689999961</v>
      </c>
      <c r="I158">
        <v>65</v>
      </c>
      <c r="J158">
        <v>8020</v>
      </c>
      <c r="K158">
        <v>1</v>
      </c>
      <c r="L158">
        <v>2</v>
      </c>
      <c r="M158">
        <v>1</v>
      </c>
      <c r="N158">
        <v>3</v>
      </c>
      <c r="T158" s="124"/>
      <c r="U158" s="125"/>
      <c r="V158" s="124"/>
      <c r="X158" s="124"/>
      <c r="Y158" s="124"/>
      <c r="Z158" s="124"/>
    </row>
    <row r="159" spans="1:26">
      <c r="A159">
        <v>78</v>
      </c>
      <c r="B159">
        <v>2</v>
      </c>
      <c r="C159">
        <v>262</v>
      </c>
      <c r="D159">
        <v>0.19913207996198365</v>
      </c>
      <c r="E159">
        <v>5</v>
      </c>
      <c r="F159">
        <v>0</v>
      </c>
      <c r="G159">
        <v>6.7124566643410682E-2</v>
      </c>
      <c r="H159">
        <v>10043.585144000004</v>
      </c>
      <c r="I159">
        <v>66</v>
      </c>
      <c r="J159">
        <v>8020</v>
      </c>
      <c r="K159">
        <v>1</v>
      </c>
      <c r="L159">
        <v>1</v>
      </c>
      <c r="M159">
        <v>1</v>
      </c>
      <c r="N159">
        <v>2</v>
      </c>
      <c r="T159" s="124"/>
      <c r="U159" s="125"/>
      <c r="V159" s="124"/>
      <c r="X159" s="124"/>
      <c r="Y159" s="124"/>
      <c r="Z159" s="124"/>
    </row>
    <row r="160" spans="1:26">
      <c r="A160">
        <v>79</v>
      </c>
      <c r="B160">
        <v>1</v>
      </c>
      <c r="C160">
        <v>490</v>
      </c>
      <c r="D160">
        <v>0.22375961754539847</v>
      </c>
      <c r="E160">
        <v>7</v>
      </c>
      <c r="F160">
        <v>0</v>
      </c>
      <c r="G160">
        <v>8.647173814732044E-2</v>
      </c>
      <c r="H160">
        <v>8938.1632930000033</v>
      </c>
      <c r="I160">
        <v>66</v>
      </c>
      <c r="J160">
        <v>8020</v>
      </c>
      <c r="K160">
        <v>1</v>
      </c>
      <c r="L160">
        <v>2</v>
      </c>
      <c r="M160">
        <v>1</v>
      </c>
      <c r="N160">
        <v>3</v>
      </c>
      <c r="T160" s="124"/>
      <c r="U160" s="125"/>
      <c r="V160" s="124"/>
      <c r="X160" s="124"/>
      <c r="Y160" s="124"/>
      <c r="Z160" s="124"/>
    </row>
    <row r="161" spans="1:26">
      <c r="A161">
        <v>79</v>
      </c>
      <c r="B161">
        <v>2</v>
      </c>
      <c r="C161">
        <v>298</v>
      </c>
      <c r="D161">
        <v>0.19911811395747844</v>
      </c>
      <c r="E161">
        <v>5</v>
      </c>
      <c r="F161">
        <v>0</v>
      </c>
      <c r="G161">
        <v>6.7124967002405014E-2</v>
      </c>
      <c r="H161">
        <v>10044.289593999965</v>
      </c>
      <c r="I161">
        <v>65</v>
      </c>
      <c r="J161">
        <v>8020</v>
      </c>
      <c r="K161">
        <v>1</v>
      </c>
      <c r="L161">
        <v>1</v>
      </c>
      <c r="M161">
        <v>1</v>
      </c>
      <c r="N161">
        <v>2</v>
      </c>
      <c r="T161" s="124"/>
      <c r="U161" s="125"/>
      <c r="V161" s="124"/>
      <c r="X161" s="124"/>
      <c r="Y161" s="124"/>
      <c r="Z161" s="124"/>
    </row>
    <row r="162" spans="1:26">
      <c r="A162">
        <v>80</v>
      </c>
      <c r="B162">
        <v>1</v>
      </c>
      <c r="C162">
        <v>395</v>
      </c>
      <c r="D162">
        <v>0.22430734358579618</v>
      </c>
      <c r="E162">
        <v>7</v>
      </c>
      <c r="F162">
        <v>0</v>
      </c>
      <c r="G162">
        <v>8.6458320020179724E-2</v>
      </c>
      <c r="H162">
        <v>8916.3375929999911</v>
      </c>
      <c r="I162">
        <v>65</v>
      </c>
      <c r="J162">
        <v>8020</v>
      </c>
      <c r="K162">
        <v>1</v>
      </c>
      <c r="L162">
        <v>2</v>
      </c>
      <c r="M162">
        <v>1</v>
      </c>
      <c r="N162">
        <v>3</v>
      </c>
      <c r="T162" s="124"/>
      <c r="U162" s="125"/>
      <c r="V162" s="124"/>
      <c r="X162" s="124"/>
      <c r="Y162" s="124"/>
      <c r="Z162" s="124"/>
    </row>
    <row r="163" spans="1:26">
      <c r="A163">
        <v>80</v>
      </c>
      <c r="B163">
        <v>2</v>
      </c>
      <c r="C163">
        <v>262</v>
      </c>
      <c r="D163">
        <v>0.19945357260451421</v>
      </c>
      <c r="E163">
        <v>5</v>
      </c>
      <c r="F163">
        <v>0</v>
      </c>
      <c r="G163">
        <v>6.7115360853871098E-2</v>
      </c>
      <c r="H163">
        <v>10027.396219999993</v>
      </c>
      <c r="I163">
        <v>67</v>
      </c>
      <c r="J163">
        <v>8020</v>
      </c>
      <c r="K163">
        <v>1</v>
      </c>
      <c r="L163">
        <v>1</v>
      </c>
      <c r="M163">
        <v>1</v>
      </c>
      <c r="N163">
        <v>2</v>
      </c>
      <c r="T163" s="124"/>
      <c r="U163" s="125"/>
      <c r="V163" s="124"/>
      <c r="X163" s="124"/>
      <c r="Y163" s="124"/>
      <c r="Z163" s="124"/>
    </row>
    <row r="164" spans="1:26">
      <c r="E164">
        <f>AVERAGE(E4:E163)</f>
        <v>15.737500000000001</v>
      </c>
    </row>
    <row r="174" spans="1:26">
      <c r="A174">
        <v>1</v>
      </c>
      <c r="B174">
        <v>1</v>
      </c>
      <c r="C174">
        <v>808</v>
      </c>
      <c r="D174">
        <v>0.38492230945105993</v>
      </c>
      <c r="E174">
        <v>61</v>
      </c>
      <c r="F174">
        <v>0</v>
      </c>
      <c r="G174">
        <v>0.62374703291129829</v>
      </c>
      <c r="H174">
        <v>5195.853685</v>
      </c>
      <c r="I174">
        <v>73</v>
      </c>
      <c r="J174">
        <v>8020</v>
      </c>
      <c r="K174">
        <v>14</v>
      </c>
      <c r="L174">
        <v>19</v>
      </c>
      <c r="M174">
        <v>13</v>
      </c>
      <c r="N174">
        <v>15</v>
      </c>
    </row>
    <row r="175" spans="1:26">
      <c r="A175">
        <v>1</v>
      </c>
      <c r="B175">
        <v>2</v>
      </c>
      <c r="C175">
        <v>848</v>
      </c>
      <c r="D175">
        <v>0.32438839382009033</v>
      </c>
      <c r="E175">
        <v>28</v>
      </c>
      <c r="F175">
        <v>0</v>
      </c>
      <c r="G175">
        <v>0.29455386127174732</v>
      </c>
      <c r="H175">
        <v>6165.4486970000034</v>
      </c>
      <c r="I175">
        <v>71</v>
      </c>
      <c r="J175">
        <v>8020</v>
      </c>
      <c r="K175">
        <v>7</v>
      </c>
      <c r="L175">
        <v>7</v>
      </c>
      <c r="M175">
        <v>8</v>
      </c>
      <c r="N175">
        <v>6</v>
      </c>
    </row>
    <row r="176" spans="1:26">
      <c r="A176">
        <v>2</v>
      </c>
      <c r="B176">
        <v>1</v>
      </c>
      <c r="C176">
        <v>975</v>
      </c>
      <c r="D176">
        <v>0.37062734305417494</v>
      </c>
      <c r="E176">
        <v>40</v>
      </c>
      <c r="F176">
        <v>0</v>
      </c>
      <c r="G176">
        <v>0.41392154753350247</v>
      </c>
      <c r="H176">
        <v>5396.2559360000005</v>
      </c>
      <c r="I176">
        <v>71</v>
      </c>
      <c r="J176">
        <v>8020</v>
      </c>
      <c r="K176">
        <v>11</v>
      </c>
      <c r="L176">
        <v>10</v>
      </c>
      <c r="M176">
        <v>11</v>
      </c>
      <c r="N176">
        <v>8</v>
      </c>
    </row>
    <row r="177" spans="1:14">
      <c r="A177">
        <v>2</v>
      </c>
      <c r="B177">
        <v>2</v>
      </c>
      <c r="C177">
        <v>665</v>
      </c>
      <c r="D177">
        <v>0.31583053998236077</v>
      </c>
      <c r="E177">
        <v>21</v>
      </c>
      <c r="F177">
        <v>0</v>
      </c>
      <c r="G177">
        <v>0.22468414369438286</v>
      </c>
      <c r="H177">
        <v>6332.5098330000028</v>
      </c>
      <c r="I177">
        <v>71</v>
      </c>
      <c r="J177">
        <v>8020</v>
      </c>
      <c r="K177">
        <v>5</v>
      </c>
      <c r="L177">
        <v>6</v>
      </c>
      <c r="M177">
        <v>5</v>
      </c>
      <c r="N177">
        <v>5</v>
      </c>
    </row>
    <row r="178" spans="1:14">
      <c r="A178">
        <v>3</v>
      </c>
      <c r="B178">
        <v>1</v>
      </c>
      <c r="C178">
        <v>1059</v>
      </c>
      <c r="D178">
        <v>0.40870586964117839</v>
      </c>
      <c r="E178">
        <v>67</v>
      </c>
      <c r="F178">
        <v>0</v>
      </c>
      <c r="G178">
        <v>0.68347502899543189</v>
      </c>
      <c r="H178">
        <v>4893.4946830000063</v>
      </c>
      <c r="I178">
        <v>74</v>
      </c>
      <c r="J178">
        <v>8020</v>
      </c>
      <c r="K178">
        <v>15</v>
      </c>
      <c r="L178">
        <v>17</v>
      </c>
      <c r="M178">
        <v>23</v>
      </c>
      <c r="N178">
        <v>12</v>
      </c>
    </row>
    <row r="179" spans="1:14">
      <c r="A179">
        <v>3</v>
      </c>
      <c r="B179">
        <v>2</v>
      </c>
      <c r="C179">
        <v>858</v>
      </c>
      <c r="D179">
        <v>0.3355229111148807</v>
      </c>
      <c r="E179">
        <v>23</v>
      </c>
      <c r="F179">
        <v>0</v>
      </c>
      <c r="G179">
        <v>0.24439105411437237</v>
      </c>
      <c r="H179">
        <v>5960.8448000000035</v>
      </c>
      <c r="I179">
        <v>71</v>
      </c>
      <c r="J179">
        <v>8020</v>
      </c>
      <c r="K179">
        <v>4</v>
      </c>
      <c r="L179">
        <v>6</v>
      </c>
      <c r="M179">
        <v>8</v>
      </c>
      <c r="N179">
        <v>5</v>
      </c>
    </row>
    <row r="180" spans="1:14">
      <c r="A180">
        <v>4</v>
      </c>
      <c r="B180">
        <v>1</v>
      </c>
      <c r="C180">
        <v>1924</v>
      </c>
      <c r="D180">
        <v>0.41671891071650291</v>
      </c>
      <c r="E180">
        <v>89</v>
      </c>
      <c r="F180">
        <v>0</v>
      </c>
      <c r="G180">
        <v>0.90338809946620002</v>
      </c>
      <c r="H180">
        <v>4799.3982240000032</v>
      </c>
      <c r="I180">
        <v>73</v>
      </c>
      <c r="J180">
        <v>8020</v>
      </c>
      <c r="K180">
        <v>34</v>
      </c>
      <c r="L180">
        <v>19</v>
      </c>
      <c r="M180">
        <v>22</v>
      </c>
      <c r="N180">
        <v>14</v>
      </c>
    </row>
    <row r="181" spans="1:14">
      <c r="A181">
        <v>4</v>
      </c>
      <c r="B181">
        <v>2</v>
      </c>
      <c r="C181">
        <v>643</v>
      </c>
      <c r="D181">
        <v>0.34531488606030697</v>
      </c>
      <c r="E181">
        <v>29</v>
      </c>
      <c r="F181">
        <v>0</v>
      </c>
      <c r="G181">
        <v>0.30425372032379838</v>
      </c>
      <c r="H181">
        <v>5791.815182999997</v>
      </c>
      <c r="I181">
        <v>71</v>
      </c>
      <c r="J181">
        <v>8020</v>
      </c>
      <c r="K181">
        <v>7</v>
      </c>
      <c r="L181">
        <v>7</v>
      </c>
      <c r="M181">
        <v>8</v>
      </c>
      <c r="N181">
        <v>7</v>
      </c>
    </row>
    <row r="182" spans="1:14">
      <c r="A182">
        <v>5</v>
      </c>
      <c r="B182">
        <v>1</v>
      </c>
      <c r="C182">
        <v>635</v>
      </c>
      <c r="D182">
        <v>0.40072614912262555</v>
      </c>
      <c r="E182">
        <v>66</v>
      </c>
      <c r="F182">
        <v>0</v>
      </c>
      <c r="G182">
        <v>0.67356388520861254</v>
      </c>
      <c r="H182">
        <v>4990.9395840000034</v>
      </c>
      <c r="I182">
        <v>72</v>
      </c>
      <c r="J182">
        <v>8020</v>
      </c>
      <c r="K182">
        <v>22</v>
      </c>
      <c r="L182">
        <v>15</v>
      </c>
      <c r="M182">
        <v>16</v>
      </c>
      <c r="N182">
        <v>13</v>
      </c>
    </row>
    <row r="183" spans="1:14">
      <c r="A183">
        <v>5</v>
      </c>
      <c r="B183">
        <v>2</v>
      </c>
      <c r="C183">
        <v>806</v>
      </c>
      <c r="D183">
        <v>0.31383591150313989</v>
      </c>
      <c r="E183">
        <v>20</v>
      </c>
      <c r="F183">
        <v>0</v>
      </c>
      <c r="G183">
        <v>0.21471518707014062</v>
      </c>
      <c r="H183">
        <v>6372.7569940000003</v>
      </c>
      <c r="I183">
        <v>77</v>
      </c>
      <c r="J183">
        <v>8020</v>
      </c>
      <c r="K183">
        <v>5</v>
      </c>
      <c r="L183">
        <v>5</v>
      </c>
      <c r="M183">
        <v>6</v>
      </c>
      <c r="N183">
        <v>4</v>
      </c>
    </row>
    <row r="184" spans="1:14">
      <c r="A184">
        <v>6</v>
      </c>
      <c r="B184">
        <v>1</v>
      </c>
      <c r="C184">
        <v>1116</v>
      </c>
      <c r="D184">
        <v>0.42622201476651883</v>
      </c>
      <c r="E184">
        <v>61</v>
      </c>
      <c r="F184">
        <v>0</v>
      </c>
      <c r="G184">
        <v>0.62328784970956408</v>
      </c>
      <c r="H184">
        <v>4692.3901879999903</v>
      </c>
      <c r="I184">
        <v>74</v>
      </c>
      <c r="J184">
        <v>8020</v>
      </c>
      <c r="K184">
        <v>14</v>
      </c>
      <c r="L184">
        <v>19</v>
      </c>
      <c r="M184">
        <v>16</v>
      </c>
      <c r="N184">
        <v>12</v>
      </c>
    </row>
    <row r="185" spans="1:14">
      <c r="A185">
        <v>6</v>
      </c>
      <c r="B185">
        <v>2</v>
      </c>
      <c r="C185">
        <v>760</v>
      </c>
      <c r="D185">
        <v>0.33463340256289903</v>
      </c>
      <c r="E185">
        <v>21</v>
      </c>
      <c r="F185">
        <v>0</v>
      </c>
      <c r="G185">
        <v>0.22440379406601099</v>
      </c>
      <c r="H185">
        <v>5976.6896690000094</v>
      </c>
      <c r="I185">
        <v>78</v>
      </c>
      <c r="J185">
        <v>8020</v>
      </c>
      <c r="K185">
        <v>5</v>
      </c>
      <c r="L185">
        <v>7</v>
      </c>
      <c r="M185">
        <v>5</v>
      </c>
      <c r="N185">
        <v>4</v>
      </c>
    </row>
    <row r="186" spans="1:14">
      <c r="A186">
        <v>7</v>
      </c>
      <c r="B186">
        <v>1</v>
      </c>
      <c r="C186">
        <v>896</v>
      </c>
      <c r="D186">
        <v>0.42558171945455464</v>
      </c>
      <c r="E186">
        <v>154</v>
      </c>
      <c r="F186">
        <v>0</v>
      </c>
      <c r="G186">
        <v>1.5532945103062348</v>
      </c>
      <c r="H186">
        <v>4699.4499729999989</v>
      </c>
      <c r="I186">
        <v>78</v>
      </c>
      <c r="J186">
        <v>8020</v>
      </c>
      <c r="K186">
        <v>31</v>
      </c>
      <c r="L186">
        <v>39</v>
      </c>
      <c r="M186">
        <v>57</v>
      </c>
      <c r="N186">
        <v>27</v>
      </c>
    </row>
    <row r="187" spans="1:14">
      <c r="A187">
        <v>7</v>
      </c>
      <c r="B187">
        <v>2</v>
      </c>
      <c r="C187">
        <v>625</v>
      </c>
      <c r="D187">
        <v>0.33486914621011538</v>
      </c>
      <c r="E187">
        <v>31</v>
      </c>
      <c r="F187">
        <v>0</v>
      </c>
      <c r="G187">
        <v>0.32440041324286695</v>
      </c>
      <c r="H187">
        <v>5972.4821549999997</v>
      </c>
      <c r="I187">
        <v>79</v>
      </c>
      <c r="J187">
        <v>8020</v>
      </c>
      <c r="K187">
        <v>7</v>
      </c>
      <c r="L187">
        <v>8</v>
      </c>
      <c r="M187">
        <v>9</v>
      </c>
      <c r="N187">
        <v>7</v>
      </c>
    </row>
    <row r="188" spans="1:14">
      <c r="A188">
        <v>8</v>
      </c>
      <c r="B188">
        <v>1</v>
      </c>
      <c r="C188">
        <v>891</v>
      </c>
      <c r="D188">
        <v>0.39245032339965075</v>
      </c>
      <c r="E188">
        <v>38</v>
      </c>
      <c r="F188">
        <v>0</v>
      </c>
      <c r="G188">
        <v>0.39365856591603021</v>
      </c>
      <c r="H188">
        <v>5096.1863979999971</v>
      </c>
      <c r="I188">
        <v>77</v>
      </c>
      <c r="J188">
        <v>8020</v>
      </c>
      <c r="K188">
        <v>10</v>
      </c>
      <c r="L188">
        <v>9</v>
      </c>
      <c r="M188">
        <v>10</v>
      </c>
      <c r="N188">
        <v>9</v>
      </c>
    </row>
    <row r="189" spans="1:14">
      <c r="A189">
        <v>8</v>
      </c>
      <c r="B189">
        <v>2</v>
      </c>
      <c r="C189">
        <v>908</v>
      </c>
      <c r="D189">
        <v>0.32343753939822972</v>
      </c>
      <c r="E189">
        <v>19</v>
      </c>
      <c r="F189">
        <v>0</v>
      </c>
      <c r="G189">
        <v>0.20456810932345867</v>
      </c>
      <c r="H189">
        <v>6183.5741260000032</v>
      </c>
      <c r="I189">
        <v>77</v>
      </c>
      <c r="J189">
        <v>8020</v>
      </c>
      <c r="K189">
        <v>4</v>
      </c>
      <c r="L189">
        <v>5</v>
      </c>
      <c r="M189">
        <v>6</v>
      </c>
      <c r="N189">
        <v>4</v>
      </c>
    </row>
    <row r="190" spans="1:14">
      <c r="A190">
        <v>9</v>
      </c>
      <c r="B190">
        <v>1</v>
      </c>
      <c r="C190">
        <v>1123</v>
      </c>
      <c r="D190">
        <v>0.400647280297245</v>
      </c>
      <c r="E190">
        <v>62</v>
      </c>
      <c r="F190">
        <v>0</v>
      </c>
      <c r="G190">
        <v>0.63356477518304344</v>
      </c>
      <c r="H190">
        <v>4991.9220680000026</v>
      </c>
      <c r="I190">
        <v>79</v>
      </c>
      <c r="J190">
        <v>8020</v>
      </c>
      <c r="K190">
        <v>16</v>
      </c>
      <c r="L190">
        <v>18</v>
      </c>
      <c r="M190">
        <v>14</v>
      </c>
      <c r="N190">
        <v>14</v>
      </c>
    </row>
    <row r="191" spans="1:14">
      <c r="A191">
        <v>9</v>
      </c>
      <c r="B191">
        <v>2</v>
      </c>
      <c r="C191">
        <v>694</v>
      </c>
      <c r="D191">
        <v>0.33375563183112189</v>
      </c>
      <c r="E191">
        <v>26</v>
      </c>
      <c r="F191">
        <v>0</v>
      </c>
      <c r="G191">
        <v>0.27441641024384184</v>
      </c>
      <c r="H191">
        <v>5992.4082450000024</v>
      </c>
      <c r="I191">
        <v>79</v>
      </c>
      <c r="J191">
        <v>8020</v>
      </c>
      <c r="K191">
        <v>6</v>
      </c>
      <c r="L191">
        <v>7</v>
      </c>
      <c r="M191">
        <v>7</v>
      </c>
      <c r="N191">
        <v>6</v>
      </c>
    </row>
    <row r="192" spans="1:14">
      <c r="A192">
        <v>10</v>
      </c>
      <c r="B192">
        <v>1</v>
      </c>
      <c r="C192">
        <v>2021</v>
      </c>
      <c r="D192">
        <v>0.39252624649072121</v>
      </c>
      <c r="E192">
        <v>60</v>
      </c>
      <c r="F192">
        <v>0</v>
      </c>
      <c r="G192">
        <v>0.61365768523826669</v>
      </c>
      <c r="H192">
        <v>5095.2006849999962</v>
      </c>
      <c r="I192">
        <v>78</v>
      </c>
      <c r="J192">
        <v>8020</v>
      </c>
      <c r="K192">
        <v>15</v>
      </c>
      <c r="L192">
        <v>10</v>
      </c>
      <c r="M192">
        <v>22</v>
      </c>
      <c r="N192">
        <v>13</v>
      </c>
    </row>
    <row r="193" spans="1:14">
      <c r="A193">
        <v>10</v>
      </c>
      <c r="B193">
        <v>2</v>
      </c>
      <c r="C193">
        <v>730</v>
      </c>
      <c r="D193">
        <v>0.3129788558400256</v>
      </c>
      <c r="E193">
        <v>21</v>
      </c>
      <c r="F193">
        <v>0</v>
      </c>
      <c r="G193">
        <v>0.22472860676260342</v>
      </c>
      <c r="H193">
        <v>6390.2080370000131</v>
      </c>
      <c r="I193">
        <v>81</v>
      </c>
      <c r="J193">
        <v>8020</v>
      </c>
      <c r="K193">
        <v>6</v>
      </c>
      <c r="L193">
        <v>5</v>
      </c>
      <c r="M193">
        <v>6</v>
      </c>
      <c r="N193">
        <v>4</v>
      </c>
    </row>
    <row r="194" spans="1:14">
      <c r="A194">
        <v>11</v>
      </c>
      <c r="B194">
        <v>1</v>
      </c>
      <c r="C194">
        <v>806</v>
      </c>
      <c r="D194">
        <v>0.43855443395402866</v>
      </c>
      <c r="E194">
        <v>18</v>
      </c>
      <c r="F194">
        <v>0</v>
      </c>
      <c r="G194">
        <v>0.19316210945138834</v>
      </c>
      <c r="H194">
        <v>4560.4373029999952</v>
      </c>
      <c r="I194">
        <v>77</v>
      </c>
      <c r="J194">
        <v>8020</v>
      </c>
      <c r="K194">
        <v>4</v>
      </c>
      <c r="L194">
        <v>5</v>
      </c>
      <c r="M194">
        <v>5</v>
      </c>
      <c r="N194">
        <v>4</v>
      </c>
    </row>
    <row r="195" spans="1:14">
      <c r="A195">
        <v>11</v>
      </c>
      <c r="B195">
        <v>2</v>
      </c>
      <c r="C195">
        <v>541</v>
      </c>
      <c r="D195">
        <v>0.35586390482813435</v>
      </c>
      <c r="E195">
        <v>9</v>
      </c>
      <c r="F195">
        <v>0</v>
      </c>
      <c r="G195">
        <v>0.10411146230644165</v>
      </c>
      <c r="H195">
        <v>5620.1260450000027</v>
      </c>
      <c r="I195">
        <v>77</v>
      </c>
      <c r="J195">
        <v>8020</v>
      </c>
      <c r="K195">
        <v>2</v>
      </c>
      <c r="L195">
        <v>2</v>
      </c>
      <c r="M195">
        <v>3</v>
      </c>
      <c r="N195">
        <v>2</v>
      </c>
    </row>
    <row r="196" spans="1:14">
      <c r="A196">
        <v>12</v>
      </c>
      <c r="B196">
        <v>1</v>
      </c>
      <c r="C196">
        <v>483</v>
      </c>
      <c r="D196">
        <v>0.43827706721241511</v>
      </c>
      <c r="E196">
        <v>18</v>
      </c>
      <c r="F196">
        <v>0</v>
      </c>
      <c r="G196">
        <v>0.19316488544388613</v>
      </c>
      <c r="H196">
        <v>4563.3234079999929</v>
      </c>
      <c r="I196">
        <v>78</v>
      </c>
      <c r="J196">
        <v>8020</v>
      </c>
      <c r="K196">
        <v>4</v>
      </c>
      <c r="L196">
        <v>5</v>
      </c>
      <c r="M196">
        <v>4</v>
      </c>
      <c r="N196">
        <v>5</v>
      </c>
    </row>
    <row r="197" spans="1:14">
      <c r="A197">
        <v>12</v>
      </c>
      <c r="B197">
        <v>2</v>
      </c>
      <c r="C197">
        <v>574</v>
      </c>
      <c r="D197">
        <v>0.35212431308295472</v>
      </c>
      <c r="E197">
        <v>9</v>
      </c>
      <c r="F197">
        <v>0</v>
      </c>
      <c r="G197">
        <v>0.1041612414981974</v>
      </c>
      <c r="H197">
        <v>5679.812286999997</v>
      </c>
      <c r="I197">
        <v>76</v>
      </c>
      <c r="J197">
        <v>8020</v>
      </c>
      <c r="K197">
        <v>2</v>
      </c>
      <c r="L197">
        <v>2</v>
      </c>
      <c r="M197">
        <v>3</v>
      </c>
      <c r="N197">
        <v>2</v>
      </c>
    </row>
    <row r="198" spans="1:14">
      <c r="A198">
        <v>13</v>
      </c>
      <c r="B198">
        <v>1</v>
      </c>
      <c r="C198">
        <v>551</v>
      </c>
      <c r="D198">
        <v>0.43555677175201818</v>
      </c>
      <c r="E198">
        <v>17</v>
      </c>
      <c r="F198">
        <v>0</v>
      </c>
      <c r="G198">
        <v>0.18319223593865616</v>
      </c>
      <c r="H198">
        <v>4591.8239130000002</v>
      </c>
      <c r="I198">
        <v>78</v>
      </c>
      <c r="J198">
        <v>8020</v>
      </c>
      <c r="K198">
        <v>4</v>
      </c>
      <c r="L198">
        <v>5</v>
      </c>
      <c r="M198">
        <v>4</v>
      </c>
      <c r="N198">
        <v>4</v>
      </c>
    </row>
    <row r="199" spans="1:14">
      <c r="A199">
        <v>13</v>
      </c>
      <c r="B199">
        <v>2</v>
      </c>
      <c r="C199">
        <v>499</v>
      </c>
      <c r="D199">
        <v>0.35396976716007295</v>
      </c>
      <c r="E199">
        <v>9</v>
      </c>
      <c r="F199">
        <v>0</v>
      </c>
      <c r="G199">
        <v>0.1041365882909658</v>
      </c>
      <c r="H199">
        <v>5650.2000610000005</v>
      </c>
      <c r="I199">
        <v>80</v>
      </c>
      <c r="J199">
        <v>8020</v>
      </c>
      <c r="K199">
        <v>2</v>
      </c>
      <c r="L199">
        <v>3</v>
      </c>
      <c r="M199">
        <v>2</v>
      </c>
      <c r="N199">
        <v>2</v>
      </c>
    </row>
    <row r="200" spans="1:14">
      <c r="A200">
        <v>14</v>
      </c>
      <c r="B200">
        <v>1</v>
      </c>
      <c r="C200">
        <v>601</v>
      </c>
      <c r="D200">
        <v>0.4271842270368012</v>
      </c>
      <c r="E200">
        <v>16</v>
      </c>
      <c r="F200">
        <v>0</v>
      </c>
      <c r="G200">
        <v>0.17327786545842258</v>
      </c>
      <c r="H200">
        <v>4681.8208009999944</v>
      </c>
      <c r="I200">
        <v>78</v>
      </c>
      <c r="J200">
        <v>8020</v>
      </c>
      <c r="K200">
        <v>4</v>
      </c>
      <c r="L200">
        <v>4</v>
      </c>
      <c r="M200">
        <v>4</v>
      </c>
      <c r="N200">
        <v>4</v>
      </c>
    </row>
    <row r="201" spans="1:14">
      <c r="A201">
        <v>14</v>
      </c>
      <c r="B201">
        <v>2</v>
      </c>
      <c r="C201">
        <v>362</v>
      </c>
      <c r="D201">
        <v>0.33591993192555702</v>
      </c>
      <c r="E201">
        <v>8</v>
      </c>
      <c r="F201">
        <v>0</v>
      </c>
      <c r="G201">
        <v>9.4385382325911704E-2</v>
      </c>
      <c r="H201">
        <v>5953.7997300000006</v>
      </c>
      <c r="I201">
        <v>79</v>
      </c>
      <c r="J201">
        <v>8020</v>
      </c>
      <c r="K201">
        <v>2</v>
      </c>
      <c r="L201">
        <v>2</v>
      </c>
      <c r="M201">
        <v>2</v>
      </c>
      <c r="N201">
        <v>2</v>
      </c>
    </row>
    <row r="202" spans="1:14">
      <c r="A202">
        <v>15</v>
      </c>
      <c r="B202">
        <v>1</v>
      </c>
      <c r="C202">
        <v>778</v>
      </c>
      <c r="D202">
        <v>0.43710680573622418</v>
      </c>
      <c r="E202">
        <v>17</v>
      </c>
      <c r="F202">
        <v>0</v>
      </c>
      <c r="G202">
        <v>0.18317662371120147</v>
      </c>
      <c r="H202">
        <v>4575.5407459999997</v>
      </c>
      <c r="I202">
        <v>79</v>
      </c>
      <c r="J202">
        <v>8020</v>
      </c>
      <c r="K202">
        <v>4</v>
      </c>
      <c r="L202">
        <v>5</v>
      </c>
      <c r="M202">
        <v>4</v>
      </c>
      <c r="N202">
        <v>4</v>
      </c>
    </row>
    <row r="203" spans="1:14">
      <c r="A203">
        <v>15</v>
      </c>
      <c r="B203">
        <v>2</v>
      </c>
      <c r="C203">
        <v>548</v>
      </c>
      <c r="D203">
        <v>0.3538417704025863</v>
      </c>
      <c r="E203">
        <v>9</v>
      </c>
      <c r="F203">
        <v>0</v>
      </c>
      <c r="G203">
        <v>0.10413829264912784</v>
      </c>
      <c r="H203">
        <v>5652.243933000007</v>
      </c>
      <c r="I203">
        <v>78</v>
      </c>
      <c r="J203">
        <v>8020</v>
      </c>
      <c r="K203">
        <v>2</v>
      </c>
      <c r="L203">
        <v>3</v>
      </c>
      <c r="M203">
        <v>2</v>
      </c>
      <c r="N203">
        <v>2</v>
      </c>
    </row>
    <row r="204" spans="1:14">
      <c r="A204">
        <v>16</v>
      </c>
      <c r="B204">
        <v>1</v>
      </c>
      <c r="C204">
        <v>544</v>
      </c>
      <c r="D204">
        <v>0.43521060038211756</v>
      </c>
      <c r="E204">
        <v>21</v>
      </c>
      <c r="F204">
        <v>0</v>
      </c>
      <c r="G204">
        <v>0.22319573276226032</v>
      </c>
      <c r="H204">
        <v>4595.4763009999933</v>
      </c>
      <c r="I204">
        <v>79</v>
      </c>
      <c r="J204">
        <v>8020</v>
      </c>
      <c r="K204">
        <v>5</v>
      </c>
      <c r="L204">
        <v>6</v>
      </c>
      <c r="M204">
        <v>5</v>
      </c>
      <c r="N204">
        <v>5</v>
      </c>
    </row>
    <row r="205" spans="1:14">
      <c r="A205">
        <v>16</v>
      </c>
      <c r="B205">
        <v>2</v>
      </c>
      <c r="C205">
        <v>608</v>
      </c>
      <c r="D205">
        <v>0.34770190434457238</v>
      </c>
      <c r="E205">
        <v>9</v>
      </c>
      <c r="F205">
        <v>0</v>
      </c>
      <c r="G205">
        <v>0.10422102752153795</v>
      </c>
      <c r="H205">
        <v>5752.0536269999866</v>
      </c>
      <c r="I205">
        <v>80</v>
      </c>
      <c r="J205">
        <v>8020</v>
      </c>
      <c r="K205">
        <v>2</v>
      </c>
      <c r="L205">
        <v>3</v>
      </c>
      <c r="M205">
        <v>2</v>
      </c>
      <c r="N205">
        <v>2</v>
      </c>
    </row>
    <row r="206" spans="1:14">
      <c r="A206">
        <v>17</v>
      </c>
      <c r="B206">
        <v>1</v>
      </c>
      <c r="C206">
        <v>412</v>
      </c>
      <c r="D206">
        <v>0.42963970532677065</v>
      </c>
      <c r="E206">
        <v>16</v>
      </c>
      <c r="F206">
        <v>0</v>
      </c>
      <c r="G206">
        <v>0.17325252188190987</v>
      </c>
      <c r="H206">
        <v>4655.0632429999969</v>
      </c>
      <c r="I206">
        <v>77</v>
      </c>
      <c r="J206">
        <v>8020</v>
      </c>
      <c r="K206">
        <v>4</v>
      </c>
      <c r="L206">
        <v>4</v>
      </c>
      <c r="M206">
        <v>4</v>
      </c>
      <c r="N206">
        <v>4</v>
      </c>
    </row>
    <row r="207" spans="1:14">
      <c r="A207">
        <v>17</v>
      </c>
      <c r="B207">
        <v>2</v>
      </c>
      <c r="C207">
        <v>514</v>
      </c>
      <c r="D207">
        <v>0.33975999384613115</v>
      </c>
      <c r="E207">
        <v>8</v>
      </c>
      <c r="F207">
        <v>0</v>
      </c>
      <c r="G207">
        <v>9.4330980991583699E-2</v>
      </c>
      <c r="H207">
        <v>5886.5082299999985</v>
      </c>
      <c r="I207">
        <v>69</v>
      </c>
      <c r="J207">
        <v>8020</v>
      </c>
      <c r="K207">
        <v>2</v>
      </c>
      <c r="L207">
        <v>2</v>
      </c>
      <c r="M207">
        <v>2</v>
      </c>
      <c r="N207">
        <v>2</v>
      </c>
    </row>
    <row r="208" spans="1:14">
      <c r="A208">
        <v>18</v>
      </c>
      <c r="B208">
        <v>1</v>
      </c>
      <c r="C208">
        <v>403</v>
      </c>
      <c r="D208">
        <v>0.43766999203701956</v>
      </c>
      <c r="E208">
        <v>19</v>
      </c>
      <c r="F208">
        <v>0</v>
      </c>
      <c r="G208">
        <v>0.20317096946682853</v>
      </c>
      <c r="H208">
        <v>4569.6530179999945</v>
      </c>
      <c r="I208">
        <v>71</v>
      </c>
      <c r="J208">
        <v>8020</v>
      </c>
      <c r="K208">
        <v>5</v>
      </c>
      <c r="L208">
        <v>5</v>
      </c>
      <c r="M208">
        <v>5</v>
      </c>
      <c r="N208">
        <v>4</v>
      </c>
    </row>
    <row r="209" spans="1:14">
      <c r="A209">
        <v>18</v>
      </c>
      <c r="B209">
        <v>2</v>
      </c>
      <c r="C209">
        <v>390</v>
      </c>
      <c r="D209">
        <v>0.34887840074630927</v>
      </c>
      <c r="E209">
        <v>9</v>
      </c>
      <c r="F209">
        <v>0</v>
      </c>
      <c r="G209">
        <v>0.10420502401824512</v>
      </c>
      <c r="H209">
        <v>5732.6564089999993</v>
      </c>
      <c r="I209">
        <v>64</v>
      </c>
      <c r="J209">
        <v>8020</v>
      </c>
      <c r="K209">
        <v>2</v>
      </c>
      <c r="L209">
        <v>2</v>
      </c>
      <c r="M209">
        <v>3</v>
      </c>
      <c r="N209">
        <v>2</v>
      </c>
    </row>
    <row r="210" spans="1:14">
      <c r="A210">
        <v>19</v>
      </c>
      <c r="B210">
        <v>1</v>
      </c>
      <c r="C210">
        <v>725</v>
      </c>
      <c r="D210">
        <v>0.43618421317713918</v>
      </c>
      <c r="E210">
        <v>17</v>
      </c>
      <c r="F210">
        <v>0</v>
      </c>
      <c r="G210">
        <v>0.18318590732246304</v>
      </c>
      <c r="H210">
        <v>4585.218675000001</v>
      </c>
      <c r="I210">
        <v>65</v>
      </c>
      <c r="J210">
        <v>8020</v>
      </c>
      <c r="K210">
        <v>4</v>
      </c>
      <c r="L210">
        <v>4</v>
      </c>
      <c r="M210">
        <v>5</v>
      </c>
      <c r="N210">
        <v>4</v>
      </c>
    </row>
    <row r="211" spans="1:14">
      <c r="A211">
        <v>19</v>
      </c>
      <c r="B211">
        <v>2</v>
      </c>
      <c r="C211">
        <v>502</v>
      </c>
      <c r="D211">
        <v>0.35564741526805449</v>
      </c>
      <c r="E211">
        <v>9</v>
      </c>
      <c r="F211">
        <v>0</v>
      </c>
      <c r="G211">
        <v>0.10411432503365306</v>
      </c>
      <c r="H211">
        <v>5623.5471260000104</v>
      </c>
      <c r="I211">
        <v>63</v>
      </c>
      <c r="J211">
        <v>8020</v>
      </c>
      <c r="K211">
        <v>2</v>
      </c>
      <c r="L211">
        <v>2</v>
      </c>
      <c r="M211">
        <v>3</v>
      </c>
      <c r="N211">
        <v>2</v>
      </c>
    </row>
    <row r="212" spans="1:14">
      <c r="A212">
        <v>20</v>
      </c>
      <c r="B212">
        <v>1</v>
      </c>
      <c r="C212">
        <v>621</v>
      </c>
      <c r="D212">
        <v>0.43867010382327537</v>
      </c>
      <c r="E212">
        <v>18</v>
      </c>
      <c r="F212">
        <v>0</v>
      </c>
      <c r="G212">
        <v>0.19316095247465256</v>
      </c>
      <c r="H212">
        <v>4559.2347930000014</v>
      </c>
      <c r="I212">
        <v>72</v>
      </c>
      <c r="J212">
        <v>8020</v>
      </c>
      <c r="K212">
        <v>4</v>
      </c>
      <c r="L212">
        <v>4</v>
      </c>
      <c r="M212">
        <v>5</v>
      </c>
      <c r="N212">
        <v>5</v>
      </c>
    </row>
    <row r="213" spans="1:14">
      <c r="A213">
        <v>20</v>
      </c>
      <c r="B213">
        <v>2</v>
      </c>
      <c r="C213">
        <v>498</v>
      </c>
      <c r="D213">
        <v>0.35324743992307522</v>
      </c>
      <c r="E213">
        <v>9</v>
      </c>
      <c r="F213">
        <v>0</v>
      </c>
      <c r="G213">
        <v>0.10414621732098288</v>
      </c>
      <c r="H213">
        <v>5661.7537000000029</v>
      </c>
      <c r="I213">
        <v>77</v>
      </c>
      <c r="J213">
        <v>8020</v>
      </c>
      <c r="K213">
        <v>2</v>
      </c>
      <c r="L213">
        <v>3</v>
      </c>
      <c r="M213">
        <v>2</v>
      </c>
      <c r="N213">
        <v>2</v>
      </c>
    </row>
    <row r="214" spans="1:14">
      <c r="A214">
        <v>21</v>
      </c>
      <c r="B214">
        <v>1</v>
      </c>
      <c r="C214">
        <v>261</v>
      </c>
      <c r="D214">
        <v>0.23603483388766167</v>
      </c>
      <c r="E214">
        <v>15</v>
      </c>
      <c r="F214">
        <v>0</v>
      </c>
      <c r="G214">
        <v>0.16618109719070645</v>
      </c>
      <c r="H214">
        <v>8473.325597999994</v>
      </c>
      <c r="I214">
        <v>74</v>
      </c>
      <c r="J214">
        <v>8020</v>
      </c>
      <c r="K214">
        <v>6</v>
      </c>
      <c r="L214">
        <v>3</v>
      </c>
      <c r="M214">
        <v>4</v>
      </c>
      <c r="N214">
        <v>2</v>
      </c>
    </row>
    <row r="215" spans="1:14">
      <c r="A215">
        <v>21</v>
      </c>
      <c r="B215">
        <v>2</v>
      </c>
      <c r="C215">
        <v>281</v>
      </c>
      <c r="D215">
        <v>0.18230140606706396</v>
      </c>
      <c r="E215">
        <v>7</v>
      </c>
      <c r="F215">
        <v>0</v>
      </c>
      <c r="G215">
        <v>8.7636131452724697E-2</v>
      </c>
      <c r="H215">
        <v>10970.842426000005</v>
      </c>
      <c r="I215">
        <v>78</v>
      </c>
      <c r="J215">
        <v>8020</v>
      </c>
      <c r="K215">
        <v>2</v>
      </c>
      <c r="L215">
        <v>2</v>
      </c>
      <c r="M215">
        <v>2</v>
      </c>
      <c r="N215">
        <v>1</v>
      </c>
    </row>
    <row r="216" spans="1:14">
      <c r="A216">
        <v>22</v>
      </c>
      <c r="B216">
        <v>1</v>
      </c>
      <c r="C216">
        <v>407</v>
      </c>
      <c r="D216">
        <v>0.21049087776686207</v>
      </c>
      <c r="E216">
        <v>13</v>
      </c>
      <c r="F216">
        <v>0</v>
      </c>
      <c r="G216">
        <v>0.14681082034545942</v>
      </c>
      <c r="H216">
        <v>9501.5994100000062</v>
      </c>
      <c r="I216">
        <v>76</v>
      </c>
      <c r="J216">
        <v>8020</v>
      </c>
      <c r="K216">
        <v>5</v>
      </c>
      <c r="L216">
        <v>3</v>
      </c>
      <c r="M216">
        <v>3</v>
      </c>
      <c r="N216">
        <v>2</v>
      </c>
    </row>
    <row r="217" spans="1:14">
      <c r="A217">
        <v>22</v>
      </c>
      <c r="B217">
        <v>2</v>
      </c>
      <c r="C217">
        <v>226</v>
      </c>
      <c r="D217">
        <v>0.17071898768237401</v>
      </c>
      <c r="E217">
        <v>7</v>
      </c>
      <c r="F217">
        <v>0</v>
      </c>
      <c r="G217">
        <v>8.8026277721038187E-2</v>
      </c>
      <c r="H217">
        <v>11715.158502000017</v>
      </c>
      <c r="I217">
        <v>78</v>
      </c>
      <c r="J217">
        <v>8020</v>
      </c>
      <c r="K217">
        <v>2</v>
      </c>
      <c r="L217">
        <v>2</v>
      </c>
      <c r="M217">
        <v>2</v>
      </c>
      <c r="N217">
        <v>1</v>
      </c>
    </row>
    <row r="218" spans="1:14">
      <c r="A218">
        <v>23</v>
      </c>
      <c r="B218">
        <v>1</v>
      </c>
      <c r="C218">
        <v>546</v>
      </c>
      <c r="D218">
        <v>0.230605536573252</v>
      </c>
      <c r="E218">
        <v>15</v>
      </c>
      <c r="F218">
        <v>0</v>
      </c>
      <c r="G218">
        <v>0.16630710083494946</v>
      </c>
      <c r="H218">
        <v>8672.818657000018</v>
      </c>
      <c r="I218">
        <v>75</v>
      </c>
      <c r="J218">
        <v>8020</v>
      </c>
      <c r="K218">
        <v>6</v>
      </c>
      <c r="L218">
        <v>3</v>
      </c>
      <c r="M218">
        <v>3</v>
      </c>
      <c r="N218">
        <v>3</v>
      </c>
    </row>
    <row r="219" spans="1:14">
      <c r="A219">
        <v>23</v>
      </c>
      <c r="B219">
        <v>2</v>
      </c>
      <c r="C219">
        <v>254</v>
      </c>
      <c r="D219">
        <v>0.18240541492567111</v>
      </c>
      <c r="E219">
        <v>8</v>
      </c>
      <c r="F219">
        <v>0</v>
      </c>
      <c r="G219">
        <v>9.7632778733069706E-2</v>
      </c>
      <c r="H219">
        <v>10964.586774000023</v>
      </c>
      <c r="I219">
        <v>77</v>
      </c>
      <c r="J219">
        <v>8020</v>
      </c>
      <c r="K219">
        <v>3</v>
      </c>
      <c r="L219">
        <v>2</v>
      </c>
      <c r="M219">
        <v>1</v>
      </c>
      <c r="N219">
        <v>2</v>
      </c>
    </row>
    <row r="220" spans="1:14">
      <c r="A220">
        <v>24</v>
      </c>
      <c r="B220">
        <v>1</v>
      </c>
      <c r="C220">
        <v>401</v>
      </c>
      <c r="D220">
        <v>0.23095618009685998</v>
      </c>
      <c r="E220">
        <v>17</v>
      </c>
      <c r="F220">
        <v>0</v>
      </c>
      <c r="G220">
        <v>0.18629884403710953</v>
      </c>
      <c r="H220">
        <v>8659.6513639999866</v>
      </c>
      <c r="I220">
        <v>78</v>
      </c>
      <c r="J220">
        <v>8020</v>
      </c>
      <c r="K220">
        <v>7</v>
      </c>
      <c r="L220">
        <v>4</v>
      </c>
      <c r="M220">
        <v>3</v>
      </c>
      <c r="N220">
        <v>3</v>
      </c>
    </row>
    <row r="221" spans="1:14">
      <c r="A221">
        <v>24</v>
      </c>
      <c r="B221">
        <v>2</v>
      </c>
      <c r="C221">
        <v>203</v>
      </c>
      <c r="D221">
        <v>0.18093441313813799</v>
      </c>
      <c r="E221">
        <v>8</v>
      </c>
      <c r="F221">
        <v>0</v>
      </c>
      <c r="G221">
        <v>9.7680434810119593E-2</v>
      </c>
      <c r="H221">
        <v>11053.729168000009</v>
      </c>
      <c r="I221">
        <v>72</v>
      </c>
      <c r="J221">
        <v>8020</v>
      </c>
      <c r="K221">
        <v>3</v>
      </c>
      <c r="L221">
        <v>2</v>
      </c>
      <c r="M221">
        <v>2</v>
      </c>
      <c r="N221">
        <v>1</v>
      </c>
    </row>
    <row r="222" spans="1:14">
      <c r="A222">
        <v>25</v>
      </c>
      <c r="B222">
        <v>1</v>
      </c>
      <c r="C222">
        <v>353</v>
      </c>
      <c r="D222">
        <v>0.20114698421553065</v>
      </c>
      <c r="E222">
        <v>12</v>
      </c>
      <c r="F222">
        <v>0</v>
      </c>
      <c r="G222">
        <v>0.13706719529928338</v>
      </c>
      <c r="H222">
        <v>9942.9778069999975</v>
      </c>
      <c r="I222">
        <v>67</v>
      </c>
      <c r="J222">
        <v>8020</v>
      </c>
      <c r="K222">
        <v>5</v>
      </c>
      <c r="L222">
        <v>3</v>
      </c>
      <c r="M222">
        <v>2</v>
      </c>
      <c r="N222">
        <v>2</v>
      </c>
    </row>
    <row r="223" spans="1:14">
      <c r="A223">
        <v>25</v>
      </c>
      <c r="B223">
        <v>2</v>
      </c>
      <c r="C223">
        <v>360</v>
      </c>
      <c r="D223">
        <v>0.16589857441917483</v>
      </c>
      <c r="E223">
        <v>7</v>
      </c>
      <c r="F223">
        <v>0</v>
      </c>
      <c r="G223">
        <v>8.8199206324826779E-2</v>
      </c>
      <c r="H223">
        <v>12055.558687000006</v>
      </c>
      <c r="I223">
        <v>69</v>
      </c>
      <c r="J223">
        <v>8020</v>
      </c>
      <c r="K223">
        <v>2</v>
      </c>
      <c r="L223">
        <v>2</v>
      </c>
      <c r="M223">
        <v>2</v>
      </c>
      <c r="N223">
        <v>1</v>
      </c>
    </row>
    <row r="224" spans="1:14">
      <c r="A224">
        <v>26</v>
      </c>
      <c r="B224">
        <v>1</v>
      </c>
      <c r="C224">
        <v>454</v>
      </c>
      <c r="D224">
        <v>0.20083612606125573</v>
      </c>
      <c r="E224">
        <v>15</v>
      </c>
      <c r="F224">
        <v>0</v>
      </c>
      <c r="G224">
        <v>0.16707599640822265</v>
      </c>
      <c r="H224">
        <v>9958.3677460000054</v>
      </c>
      <c r="I224">
        <v>68</v>
      </c>
      <c r="J224">
        <v>8020</v>
      </c>
      <c r="K224">
        <v>5</v>
      </c>
      <c r="L224">
        <v>5</v>
      </c>
      <c r="M224">
        <v>1</v>
      </c>
      <c r="N224">
        <v>4</v>
      </c>
    </row>
    <row r="225" spans="1:14">
      <c r="A225">
        <v>26</v>
      </c>
      <c r="B225">
        <v>2</v>
      </c>
      <c r="C225">
        <v>290</v>
      </c>
      <c r="D225">
        <v>0.16123175838205098</v>
      </c>
      <c r="E225">
        <v>7</v>
      </c>
      <c r="F225">
        <v>0</v>
      </c>
      <c r="G225">
        <v>8.8373129518395113E-2</v>
      </c>
      <c r="H225">
        <v>12404.504050999973</v>
      </c>
      <c r="I225">
        <v>71</v>
      </c>
      <c r="J225">
        <v>8020</v>
      </c>
      <c r="K225">
        <v>3</v>
      </c>
      <c r="L225">
        <v>2</v>
      </c>
      <c r="M225">
        <v>1</v>
      </c>
      <c r="N225">
        <v>1</v>
      </c>
    </row>
    <row r="226" spans="1:14">
      <c r="A226">
        <v>27</v>
      </c>
      <c r="B226">
        <v>1</v>
      </c>
      <c r="C226">
        <v>386</v>
      </c>
      <c r="D226">
        <v>0.21857826914338788</v>
      </c>
      <c r="E226">
        <v>13</v>
      </c>
      <c r="F226">
        <v>0</v>
      </c>
      <c r="G226">
        <v>0.14660087600677821</v>
      </c>
      <c r="H226">
        <v>9150.0404310000049</v>
      </c>
      <c r="I226">
        <v>67</v>
      </c>
      <c r="J226">
        <v>8020</v>
      </c>
      <c r="K226">
        <v>5</v>
      </c>
      <c r="L226">
        <v>3</v>
      </c>
      <c r="M226">
        <v>3</v>
      </c>
      <c r="N226">
        <v>2</v>
      </c>
    </row>
    <row r="227" spans="1:14">
      <c r="A227">
        <v>27</v>
      </c>
      <c r="B227">
        <v>2</v>
      </c>
      <c r="C227">
        <v>283</v>
      </c>
      <c r="D227">
        <v>0.17277017661722488</v>
      </c>
      <c r="E227">
        <v>7</v>
      </c>
      <c r="F227">
        <v>0</v>
      </c>
      <c r="G227">
        <v>8.7954655401826135E-2</v>
      </c>
      <c r="H227">
        <v>11576.071977000014</v>
      </c>
      <c r="I227">
        <v>67</v>
      </c>
      <c r="J227">
        <v>8020</v>
      </c>
      <c r="K227">
        <v>2</v>
      </c>
      <c r="L227">
        <v>2</v>
      </c>
      <c r="M227">
        <v>2</v>
      </c>
      <c r="N227">
        <v>1</v>
      </c>
    </row>
    <row r="228" spans="1:14">
      <c r="A228">
        <v>28</v>
      </c>
      <c r="B228">
        <v>1</v>
      </c>
      <c r="C228">
        <v>611</v>
      </c>
      <c r="D228">
        <v>0.22260986455295678</v>
      </c>
      <c r="E228">
        <v>17</v>
      </c>
      <c r="F228">
        <v>0</v>
      </c>
      <c r="G228">
        <v>0.1865000476423479</v>
      </c>
      <c r="H228">
        <v>8984.3278239999963</v>
      </c>
      <c r="I228">
        <v>68</v>
      </c>
      <c r="J228">
        <v>8020</v>
      </c>
      <c r="K228">
        <v>7</v>
      </c>
      <c r="L228">
        <v>4</v>
      </c>
      <c r="M228">
        <v>3</v>
      </c>
      <c r="N228">
        <v>3</v>
      </c>
    </row>
    <row r="229" spans="1:14">
      <c r="A229">
        <v>28</v>
      </c>
      <c r="B229">
        <v>2</v>
      </c>
      <c r="C229">
        <v>122</v>
      </c>
      <c r="D229">
        <v>0.12747337937263933</v>
      </c>
      <c r="E229">
        <v>4</v>
      </c>
      <c r="F229">
        <v>0</v>
      </c>
      <c r="G229">
        <v>5.9869800206222609E-2</v>
      </c>
      <c r="H229">
        <v>15689.550318999989</v>
      </c>
      <c r="I229">
        <v>66</v>
      </c>
      <c r="J229">
        <v>8020</v>
      </c>
      <c r="K229">
        <v>1</v>
      </c>
      <c r="L229">
        <v>1</v>
      </c>
      <c r="M229">
        <v>1</v>
      </c>
      <c r="N229">
        <v>1</v>
      </c>
    </row>
    <row r="230" spans="1:14">
      <c r="A230">
        <v>29</v>
      </c>
      <c r="B230">
        <v>1</v>
      </c>
      <c r="C230">
        <v>500</v>
      </c>
      <c r="D230">
        <v>0.22101488081931875</v>
      </c>
      <c r="E230">
        <v>14</v>
      </c>
      <c r="F230">
        <v>0</v>
      </c>
      <c r="G230">
        <v>0.15653964415070465</v>
      </c>
      <c r="H230">
        <v>9049.1644389999892</v>
      </c>
      <c r="I230">
        <v>69</v>
      </c>
      <c r="J230">
        <v>8020</v>
      </c>
      <c r="K230">
        <v>5</v>
      </c>
      <c r="L230">
        <v>3</v>
      </c>
      <c r="M230">
        <v>4</v>
      </c>
      <c r="N230">
        <v>2</v>
      </c>
    </row>
    <row r="231" spans="1:14">
      <c r="A231">
        <v>29</v>
      </c>
      <c r="B231">
        <v>2</v>
      </c>
      <c r="C231">
        <v>276</v>
      </c>
      <c r="D231">
        <v>0.16984068574782912</v>
      </c>
      <c r="E231">
        <v>7</v>
      </c>
      <c r="F231">
        <v>0</v>
      </c>
      <c r="G231">
        <v>8.8057297577390017E-2</v>
      </c>
      <c r="H231">
        <v>11775.741431999981</v>
      </c>
      <c r="I231">
        <v>69</v>
      </c>
      <c r="J231">
        <v>8020</v>
      </c>
      <c r="K231">
        <v>3</v>
      </c>
      <c r="L231">
        <v>1</v>
      </c>
      <c r="M231">
        <v>2</v>
      </c>
      <c r="N231">
        <v>1</v>
      </c>
    </row>
    <row r="232" spans="1:14">
      <c r="A232">
        <v>30</v>
      </c>
      <c r="B232">
        <v>1</v>
      </c>
      <c r="C232">
        <v>236</v>
      </c>
      <c r="D232">
        <v>0.20196646470093585</v>
      </c>
      <c r="E232">
        <v>12</v>
      </c>
      <c r="F232">
        <v>0</v>
      </c>
      <c r="G232">
        <v>0.13704408058288345</v>
      </c>
      <c r="H232">
        <v>9902.6340979999968</v>
      </c>
      <c r="I232">
        <v>67</v>
      </c>
      <c r="J232">
        <v>8020</v>
      </c>
      <c r="K232">
        <v>4</v>
      </c>
      <c r="L232">
        <v>3</v>
      </c>
      <c r="M232">
        <v>3</v>
      </c>
      <c r="N232">
        <v>2</v>
      </c>
    </row>
    <row r="233" spans="1:14">
      <c r="A233">
        <v>30</v>
      </c>
      <c r="B233">
        <v>2</v>
      </c>
      <c r="C233">
        <v>175</v>
      </c>
      <c r="D233">
        <v>0.16352471446764788</v>
      </c>
      <c r="E233">
        <v>7</v>
      </c>
      <c r="F233">
        <v>0</v>
      </c>
      <c r="G233">
        <v>8.8286848496180875E-2</v>
      </c>
      <c r="H233">
        <v>12230.567144000026</v>
      </c>
      <c r="I233">
        <v>71</v>
      </c>
      <c r="J233">
        <v>8020</v>
      </c>
      <c r="K233">
        <v>2</v>
      </c>
      <c r="L233">
        <v>2</v>
      </c>
      <c r="M233">
        <v>2</v>
      </c>
      <c r="N233">
        <v>1</v>
      </c>
    </row>
    <row r="234" spans="1:14">
      <c r="A234">
        <v>31</v>
      </c>
      <c r="B234">
        <v>1</v>
      </c>
      <c r="C234">
        <v>43</v>
      </c>
      <c r="D234">
        <v>0.22789715213240713</v>
      </c>
      <c r="E234">
        <v>7</v>
      </c>
      <c r="F234">
        <v>0</v>
      </c>
      <c r="G234">
        <v>8.6371445773677044E-2</v>
      </c>
      <c r="H234">
        <v>8775.8885150000024</v>
      </c>
      <c r="I234">
        <v>67</v>
      </c>
      <c r="J234">
        <v>8020</v>
      </c>
      <c r="K234">
        <v>2</v>
      </c>
      <c r="L234">
        <v>2</v>
      </c>
      <c r="M234">
        <v>2</v>
      </c>
      <c r="N234">
        <v>1</v>
      </c>
    </row>
    <row r="235" spans="1:14">
      <c r="A235">
        <v>31</v>
      </c>
      <c r="B235">
        <v>2</v>
      </c>
      <c r="C235">
        <v>80</v>
      </c>
      <c r="D235">
        <v>0.19611461011514986</v>
      </c>
      <c r="E235">
        <v>5</v>
      </c>
      <c r="F235">
        <v>0</v>
      </c>
      <c r="G235">
        <v>6.7211947671102987E-2</v>
      </c>
      <c r="H235">
        <v>10198.118329000008</v>
      </c>
      <c r="I235">
        <v>68</v>
      </c>
      <c r="J235">
        <v>8020</v>
      </c>
      <c r="K235">
        <v>2</v>
      </c>
      <c r="L235">
        <v>1</v>
      </c>
      <c r="M235">
        <v>1</v>
      </c>
      <c r="N235">
        <v>1</v>
      </c>
    </row>
    <row r="236" spans="1:14">
      <c r="A236">
        <v>32</v>
      </c>
      <c r="B236">
        <v>1</v>
      </c>
      <c r="C236">
        <v>43</v>
      </c>
      <c r="D236">
        <v>0.22974135789607322</v>
      </c>
      <c r="E236">
        <v>7</v>
      </c>
      <c r="F236">
        <v>0</v>
      </c>
      <c r="G236">
        <v>8.6327521793433434E-2</v>
      </c>
      <c r="H236">
        <v>8705.4417120000162</v>
      </c>
      <c r="I236">
        <v>75</v>
      </c>
      <c r="J236">
        <v>8020</v>
      </c>
      <c r="K236">
        <v>2</v>
      </c>
      <c r="L236">
        <v>2</v>
      </c>
      <c r="M236">
        <v>2</v>
      </c>
      <c r="N236">
        <v>1</v>
      </c>
    </row>
    <row r="237" spans="1:14">
      <c r="A237">
        <v>32</v>
      </c>
      <c r="B237">
        <v>2</v>
      </c>
      <c r="C237">
        <v>80</v>
      </c>
      <c r="D237">
        <v>0.19676080670443652</v>
      </c>
      <c r="E237">
        <v>5</v>
      </c>
      <c r="F237">
        <v>0</v>
      </c>
      <c r="G237">
        <v>6.7193084666513317E-2</v>
      </c>
      <c r="H237">
        <v>10164.625940999989</v>
      </c>
      <c r="I237">
        <v>73</v>
      </c>
      <c r="J237">
        <v>8020</v>
      </c>
      <c r="K237">
        <v>2</v>
      </c>
      <c r="L237">
        <v>1</v>
      </c>
      <c r="M237">
        <v>1</v>
      </c>
      <c r="N237">
        <v>1</v>
      </c>
    </row>
    <row r="238" spans="1:14">
      <c r="A238">
        <v>33</v>
      </c>
      <c r="B238">
        <v>1</v>
      </c>
      <c r="C238">
        <v>11</v>
      </c>
      <c r="D238">
        <v>0.23247996574050636</v>
      </c>
      <c r="E238">
        <v>7</v>
      </c>
      <c r="F238">
        <v>0</v>
      </c>
      <c r="G238">
        <v>8.6263155793069327E-2</v>
      </c>
      <c r="H238">
        <v>8602.8918389999926</v>
      </c>
      <c r="I238">
        <v>73</v>
      </c>
      <c r="J238">
        <v>8020</v>
      </c>
      <c r="K238">
        <v>2</v>
      </c>
      <c r="L238">
        <v>2</v>
      </c>
      <c r="M238">
        <v>2</v>
      </c>
      <c r="N238">
        <v>1</v>
      </c>
    </row>
    <row r="239" spans="1:14">
      <c r="A239">
        <v>33</v>
      </c>
      <c r="B239">
        <v>2</v>
      </c>
      <c r="C239">
        <v>26</v>
      </c>
      <c r="D239">
        <v>0.19944760468852724</v>
      </c>
      <c r="E239">
        <v>5</v>
      </c>
      <c r="F239">
        <v>0</v>
      </c>
      <c r="G239">
        <v>6.7115531562057948E-2</v>
      </c>
      <c r="H239">
        <v>10027.696262000009</v>
      </c>
      <c r="I239">
        <v>75</v>
      </c>
      <c r="J239">
        <v>8020</v>
      </c>
      <c r="K239">
        <v>2</v>
      </c>
      <c r="L239">
        <v>1</v>
      </c>
      <c r="M239">
        <v>1</v>
      </c>
      <c r="N239">
        <v>1</v>
      </c>
    </row>
    <row r="240" spans="1:14">
      <c r="A240">
        <v>34</v>
      </c>
      <c r="B240">
        <v>1</v>
      </c>
      <c r="C240">
        <v>63</v>
      </c>
      <c r="D240">
        <v>0.22679830897212255</v>
      </c>
      <c r="E240">
        <v>7</v>
      </c>
      <c r="F240">
        <v>0</v>
      </c>
      <c r="G240">
        <v>8.6397843201148114E-2</v>
      </c>
      <c r="H240">
        <v>8818.4079019999863</v>
      </c>
      <c r="I240">
        <v>75</v>
      </c>
      <c r="J240">
        <v>8020</v>
      </c>
      <c r="K240">
        <v>2</v>
      </c>
      <c r="L240">
        <v>2</v>
      </c>
      <c r="M240">
        <v>2</v>
      </c>
      <c r="N240">
        <v>1</v>
      </c>
    </row>
    <row r="241" spans="1:14">
      <c r="A241">
        <v>34</v>
      </c>
      <c r="B241">
        <v>2</v>
      </c>
      <c r="C241">
        <v>84</v>
      </c>
      <c r="D241">
        <v>0.1967365447989749</v>
      </c>
      <c r="E241">
        <v>5</v>
      </c>
      <c r="F241">
        <v>0</v>
      </c>
      <c r="G241">
        <v>6.7193791398196895E-2</v>
      </c>
      <c r="H241">
        <v>10165.879460999973</v>
      </c>
      <c r="I241">
        <v>75</v>
      </c>
      <c r="J241">
        <v>8020</v>
      </c>
      <c r="K241">
        <v>2</v>
      </c>
      <c r="L241">
        <v>1</v>
      </c>
      <c r="M241">
        <v>1</v>
      </c>
      <c r="N241">
        <v>1</v>
      </c>
    </row>
    <row r="242" spans="1:14">
      <c r="A242">
        <v>35</v>
      </c>
      <c r="B242">
        <v>1</v>
      </c>
      <c r="C242">
        <v>154</v>
      </c>
      <c r="D242">
        <v>0.23152862853506134</v>
      </c>
      <c r="E242">
        <v>7</v>
      </c>
      <c r="F242">
        <v>0</v>
      </c>
      <c r="G242">
        <v>8.6285400130194284E-2</v>
      </c>
      <c r="H242">
        <v>8638.2406040000005</v>
      </c>
      <c r="I242">
        <v>77</v>
      </c>
      <c r="J242">
        <v>8020</v>
      </c>
      <c r="K242">
        <v>2</v>
      </c>
      <c r="L242">
        <v>2</v>
      </c>
      <c r="M242">
        <v>2</v>
      </c>
      <c r="N242">
        <v>1</v>
      </c>
    </row>
    <row r="243" spans="1:14">
      <c r="A243">
        <v>35</v>
      </c>
      <c r="B243">
        <v>2</v>
      </c>
      <c r="C243">
        <v>77</v>
      </c>
      <c r="D243">
        <v>0.19876609609187842</v>
      </c>
      <c r="E243">
        <v>5</v>
      </c>
      <c r="F243">
        <v>0</v>
      </c>
      <c r="G243">
        <v>6.7135070568378433E-2</v>
      </c>
      <c r="H243">
        <v>10062.07818799999</v>
      </c>
      <c r="I243">
        <v>74</v>
      </c>
      <c r="J243">
        <v>8020</v>
      </c>
      <c r="K243">
        <v>2</v>
      </c>
      <c r="L243">
        <v>1</v>
      </c>
      <c r="M243">
        <v>1</v>
      </c>
      <c r="N243">
        <v>1</v>
      </c>
    </row>
    <row r="244" spans="1:14">
      <c r="A244">
        <v>36</v>
      </c>
      <c r="B244">
        <v>1</v>
      </c>
      <c r="C244">
        <v>65</v>
      </c>
      <c r="D244">
        <v>0.23147507230108855</v>
      </c>
      <c r="E244">
        <v>7</v>
      </c>
      <c r="F244">
        <v>0</v>
      </c>
      <c r="G244">
        <v>8.6286656014084334E-2</v>
      </c>
      <c r="H244">
        <v>8640.2392279999931</v>
      </c>
      <c r="I244">
        <v>74</v>
      </c>
      <c r="J244">
        <v>8020</v>
      </c>
      <c r="K244">
        <v>2</v>
      </c>
      <c r="L244">
        <v>2</v>
      </c>
      <c r="M244">
        <v>2</v>
      </c>
      <c r="N244">
        <v>1</v>
      </c>
    </row>
    <row r="245" spans="1:14">
      <c r="A245">
        <v>36</v>
      </c>
      <c r="B245">
        <v>2</v>
      </c>
      <c r="C245">
        <v>70</v>
      </c>
      <c r="D245">
        <v>0.19754102268365309</v>
      </c>
      <c r="E245">
        <v>5</v>
      </c>
      <c r="F245">
        <v>0</v>
      </c>
      <c r="G245">
        <v>6.7170419300371431E-2</v>
      </c>
      <c r="H245">
        <v>10124.479324999991</v>
      </c>
      <c r="I245">
        <v>75</v>
      </c>
      <c r="J245">
        <v>8020</v>
      </c>
      <c r="K245">
        <v>2</v>
      </c>
      <c r="L245">
        <v>1</v>
      </c>
      <c r="M245">
        <v>1</v>
      </c>
      <c r="N245">
        <v>1</v>
      </c>
    </row>
    <row r="246" spans="1:14">
      <c r="A246">
        <v>37</v>
      </c>
      <c r="B246">
        <v>1</v>
      </c>
      <c r="C246">
        <v>43</v>
      </c>
      <c r="D246">
        <v>0.23274032674119607</v>
      </c>
      <c r="E246">
        <v>7</v>
      </c>
      <c r="F246">
        <v>0</v>
      </c>
      <c r="G246">
        <v>8.6257089130004239E-2</v>
      </c>
      <c r="H246">
        <v>8593.2679909999933</v>
      </c>
      <c r="I246">
        <v>76</v>
      </c>
      <c r="J246">
        <v>8020</v>
      </c>
      <c r="K246">
        <v>2</v>
      </c>
      <c r="L246">
        <v>2</v>
      </c>
      <c r="M246">
        <v>2</v>
      </c>
      <c r="N246">
        <v>1</v>
      </c>
    </row>
    <row r="247" spans="1:14">
      <c r="A247">
        <v>37</v>
      </c>
      <c r="B247">
        <v>2</v>
      </c>
      <c r="C247">
        <v>80</v>
      </c>
      <c r="D247">
        <v>0.20126735227949458</v>
      </c>
      <c r="E247">
        <v>5</v>
      </c>
      <c r="F247">
        <v>0</v>
      </c>
      <c r="G247">
        <v>6.7063792271912961E-2</v>
      </c>
      <c r="H247">
        <v>9937.0314029999936</v>
      </c>
      <c r="I247">
        <v>73</v>
      </c>
      <c r="J247">
        <v>8020</v>
      </c>
      <c r="K247">
        <v>2</v>
      </c>
      <c r="L247">
        <v>1</v>
      </c>
      <c r="M247">
        <v>1</v>
      </c>
      <c r="N247">
        <v>1</v>
      </c>
    </row>
    <row r="248" spans="1:14">
      <c r="A248">
        <v>38</v>
      </c>
      <c r="B248">
        <v>1</v>
      </c>
      <c r="C248">
        <v>11</v>
      </c>
      <c r="D248">
        <v>0.23239101472597712</v>
      </c>
      <c r="E248">
        <v>7</v>
      </c>
      <c r="F248">
        <v>0</v>
      </c>
      <c r="G248">
        <v>8.6265230514239996E-2</v>
      </c>
      <c r="H248">
        <v>8606.1847200000029</v>
      </c>
      <c r="I248">
        <v>73</v>
      </c>
      <c r="J248">
        <v>8020</v>
      </c>
      <c r="K248">
        <v>2</v>
      </c>
      <c r="L248">
        <v>2</v>
      </c>
      <c r="M248">
        <v>2</v>
      </c>
      <c r="N248">
        <v>1</v>
      </c>
    </row>
    <row r="249" spans="1:14">
      <c r="A249">
        <v>38</v>
      </c>
      <c r="B249">
        <v>2</v>
      </c>
      <c r="C249">
        <v>26</v>
      </c>
      <c r="D249">
        <v>0.20021384101569864</v>
      </c>
      <c r="E249">
        <v>5</v>
      </c>
      <c r="F249">
        <v>0</v>
      </c>
      <c r="G249">
        <v>6.709366942403365E-2</v>
      </c>
      <c r="H249">
        <v>9989.3193689999753</v>
      </c>
      <c r="I249">
        <v>72</v>
      </c>
      <c r="J249">
        <v>8020</v>
      </c>
      <c r="K249">
        <v>2</v>
      </c>
      <c r="L249">
        <v>1</v>
      </c>
      <c r="M249">
        <v>1</v>
      </c>
      <c r="N249">
        <v>1</v>
      </c>
    </row>
    <row r="250" spans="1:14">
      <c r="A250">
        <v>39</v>
      </c>
      <c r="B250">
        <v>1</v>
      </c>
      <c r="C250">
        <v>154</v>
      </c>
      <c r="D250">
        <v>0.22994178482319289</v>
      </c>
      <c r="E250">
        <v>7</v>
      </c>
      <c r="F250">
        <v>0</v>
      </c>
      <c r="G250">
        <v>8.6322776496281103E-2</v>
      </c>
      <c r="H250">
        <v>8697.8536829999921</v>
      </c>
      <c r="I250">
        <v>74</v>
      </c>
      <c r="J250">
        <v>8020</v>
      </c>
      <c r="K250">
        <v>2</v>
      </c>
      <c r="L250">
        <v>2</v>
      </c>
      <c r="M250">
        <v>2</v>
      </c>
      <c r="N250">
        <v>1</v>
      </c>
    </row>
    <row r="251" spans="1:14">
      <c r="A251">
        <v>39</v>
      </c>
      <c r="B251">
        <v>2</v>
      </c>
      <c r="C251">
        <v>77</v>
      </c>
      <c r="D251">
        <v>0.19840560781355676</v>
      </c>
      <c r="E251">
        <v>5</v>
      </c>
      <c r="F251">
        <v>0</v>
      </c>
      <c r="G251">
        <v>6.7145442007106509E-2</v>
      </c>
      <c r="H251">
        <v>10080.360238000001</v>
      </c>
      <c r="I251">
        <v>75</v>
      </c>
      <c r="J251">
        <v>8020</v>
      </c>
      <c r="K251">
        <v>2</v>
      </c>
      <c r="L251">
        <v>1</v>
      </c>
      <c r="M251">
        <v>1</v>
      </c>
      <c r="N251">
        <v>1</v>
      </c>
    </row>
    <row r="252" spans="1:14">
      <c r="A252">
        <v>40</v>
      </c>
      <c r="B252">
        <v>1</v>
      </c>
      <c r="C252">
        <v>68</v>
      </c>
      <c r="D252">
        <v>0.23187691489847448</v>
      </c>
      <c r="E252">
        <v>7</v>
      </c>
      <c r="F252">
        <v>0</v>
      </c>
      <c r="G252">
        <v>8.6277242317971084E-2</v>
      </c>
      <c r="H252">
        <v>8625.2656969999989</v>
      </c>
      <c r="I252">
        <v>75</v>
      </c>
      <c r="J252">
        <v>8020</v>
      </c>
      <c r="K252">
        <v>2</v>
      </c>
      <c r="L252">
        <v>2</v>
      </c>
      <c r="M252">
        <v>2</v>
      </c>
      <c r="N252">
        <v>1</v>
      </c>
    </row>
    <row r="253" spans="1:14">
      <c r="A253">
        <v>40</v>
      </c>
      <c r="B253">
        <v>2</v>
      </c>
      <c r="C253">
        <v>101</v>
      </c>
      <c r="D253">
        <v>0.19907952751533251</v>
      </c>
      <c r="E253">
        <v>5</v>
      </c>
      <c r="F253">
        <v>0</v>
      </c>
      <c r="G253">
        <v>6.7126073342283099E-2</v>
      </c>
      <c r="H253">
        <v>10046.236420999974</v>
      </c>
      <c r="I253">
        <v>75</v>
      </c>
      <c r="J253">
        <v>8020</v>
      </c>
      <c r="K253">
        <v>2</v>
      </c>
      <c r="L253">
        <v>1</v>
      </c>
      <c r="M253">
        <v>1</v>
      </c>
      <c r="N253">
        <v>1</v>
      </c>
    </row>
    <row r="254" spans="1:14">
      <c r="A254">
        <v>41</v>
      </c>
      <c r="B254">
        <v>1</v>
      </c>
      <c r="C254">
        <v>951</v>
      </c>
      <c r="D254">
        <v>0.22470285056294773</v>
      </c>
      <c r="E254">
        <v>17</v>
      </c>
      <c r="F254">
        <v>0</v>
      </c>
      <c r="G254">
        <v>0.18644865806996624</v>
      </c>
      <c r="H254">
        <v>8900.6436500000018</v>
      </c>
      <c r="I254">
        <v>79</v>
      </c>
      <c r="J254">
        <v>8020</v>
      </c>
      <c r="K254">
        <v>3</v>
      </c>
      <c r="L254">
        <v>5</v>
      </c>
      <c r="M254">
        <v>6</v>
      </c>
      <c r="N254">
        <v>3</v>
      </c>
    </row>
    <row r="255" spans="1:14">
      <c r="A255">
        <v>41</v>
      </c>
      <c r="B255">
        <v>2</v>
      </c>
      <c r="C255">
        <v>492</v>
      </c>
      <c r="D255">
        <v>0.17670574736035205</v>
      </c>
      <c r="E255">
        <v>9</v>
      </c>
      <c r="F255">
        <v>0</v>
      </c>
      <c r="G255">
        <v>0.10782035870208237</v>
      </c>
      <c r="H255">
        <v>11318.250990000031</v>
      </c>
      <c r="I255">
        <v>70</v>
      </c>
      <c r="J255">
        <v>8020</v>
      </c>
      <c r="K255">
        <v>1</v>
      </c>
      <c r="L255">
        <v>3</v>
      </c>
      <c r="M255">
        <v>4</v>
      </c>
      <c r="N255">
        <v>1</v>
      </c>
    </row>
    <row r="256" spans="1:14">
      <c r="A256">
        <v>42</v>
      </c>
      <c r="B256">
        <v>1</v>
      </c>
      <c r="C256">
        <v>1078</v>
      </c>
      <c r="D256">
        <v>0.21110634320046298</v>
      </c>
      <c r="E256">
        <v>17</v>
      </c>
      <c r="F256">
        <v>0</v>
      </c>
      <c r="G256">
        <v>0.18679446752883383</v>
      </c>
      <c r="H256">
        <v>9473.8981769999882</v>
      </c>
      <c r="I256">
        <v>69</v>
      </c>
      <c r="J256">
        <v>8020</v>
      </c>
      <c r="K256">
        <v>3</v>
      </c>
      <c r="L256">
        <v>5</v>
      </c>
      <c r="M256">
        <v>6</v>
      </c>
      <c r="N256">
        <v>3</v>
      </c>
    </row>
    <row r="257" spans="1:14">
      <c r="A257">
        <v>42</v>
      </c>
      <c r="B257">
        <v>2</v>
      </c>
      <c r="C257">
        <v>571</v>
      </c>
      <c r="D257">
        <v>0.1723301799708753</v>
      </c>
      <c r="E257">
        <v>9</v>
      </c>
      <c r="F257">
        <v>0</v>
      </c>
      <c r="G257">
        <v>0.10796992313616276</v>
      </c>
      <c r="H257">
        <v>11605.628221000004</v>
      </c>
      <c r="I257">
        <v>63</v>
      </c>
      <c r="J257">
        <v>8020</v>
      </c>
      <c r="K257">
        <v>1</v>
      </c>
      <c r="L257">
        <v>3</v>
      </c>
      <c r="M257">
        <v>3</v>
      </c>
      <c r="N257">
        <v>2</v>
      </c>
    </row>
    <row r="258" spans="1:14">
      <c r="A258">
        <v>43</v>
      </c>
      <c r="B258">
        <v>1</v>
      </c>
      <c r="C258">
        <v>906</v>
      </c>
      <c r="D258">
        <v>0.23845502866585308</v>
      </c>
      <c r="E258">
        <v>20</v>
      </c>
      <c r="F258">
        <v>0</v>
      </c>
      <c r="G258">
        <v>0.2161261676880499</v>
      </c>
      <c r="H258">
        <v>8387.3257409999896</v>
      </c>
      <c r="I258">
        <v>67</v>
      </c>
      <c r="J258">
        <v>8020</v>
      </c>
      <c r="K258">
        <v>4</v>
      </c>
      <c r="L258">
        <v>6</v>
      </c>
      <c r="M258">
        <v>7</v>
      </c>
      <c r="N258">
        <v>3</v>
      </c>
    </row>
    <row r="259" spans="1:14">
      <c r="A259">
        <v>43</v>
      </c>
      <c r="B259">
        <v>2</v>
      </c>
      <c r="C259">
        <v>690</v>
      </c>
      <c r="D259">
        <v>0.19225257680288543</v>
      </c>
      <c r="E259">
        <v>10</v>
      </c>
      <c r="F259">
        <v>0</v>
      </c>
      <c r="G259">
        <v>0.11732643752091651</v>
      </c>
      <c r="H259">
        <v>10402.981501000006</v>
      </c>
      <c r="I259">
        <v>62</v>
      </c>
      <c r="J259">
        <v>8020</v>
      </c>
      <c r="K259">
        <v>1</v>
      </c>
      <c r="L259">
        <v>4</v>
      </c>
      <c r="M259">
        <v>3</v>
      </c>
      <c r="N259">
        <v>2</v>
      </c>
    </row>
    <row r="260" spans="1:14">
      <c r="A260">
        <v>44</v>
      </c>
      <c r="B260">
        <v>1</v>
      </c>
      <c r="C260">
        <v>453</v>
      </c>
      <c r="D260">
        <v>0.21795178256593892</v>
      </c>
      <c r="E260">
        <v>22</v>
      </c>
      <c r="F260">
        <v>0</v>
      </c>
      <c r="G260">
        <v>0.23661676679518132</v>
      </c>
      <c r="H260">
        <v>9176.3415579999764</v>
      </c>
      <c r="I260">
        <v>60</v>
      </c>
      <c r="J260">
        <v>8020</v>
      </c>
      <c r="K260">
        <v>1</v>
      </c>
      <c r="L260">
        <v>12</v>
      </c>
      <c r="M260">
        <v>6</v>
      </c>
      <c r="N260">
        <v>3</v>
      </c>
    </row>
    <row r="261" spans="1:14">
      <c r="A261">
        <v>44</v>
      </c>
      <c r="B261">
        <v>2</v>
      </c>
      <c r="C261">
        <v>498</v>
      </c>
      <c r="D261">
        <v>0.17157427595579447</v>
      </c>
      <c r="E261">
        <v>8</v>
      </c>
      <c r="F261">
        <v>0</v>
      </c>
      <c r="G261">
        <v>9.799627447845484E-2</v>
      </c>
      <c r="H261">
        <v>11656.759084999976</v>
      </c>
      <c r="I261">
        <v>65</v>
      </c>
      <c r="J261">
        <v>8020</v>
      </c>
      <c r="K261">
        <v>1</v>
      </c>
      <c r="L261">
        <v>3</v>
      </c>
      <c r="M261">
        <v>3</v>
      </c>
      <c r="N261">
        <v>1</v>
      </c>
    </row>
    <row r="262" spans="1:14">
      <c r="A262">
        <v>45</v>
      </c>
      <c r="B262">
        <v>1</v>
      </c>
      <c r="C262">
        <v>655</v>
      </c>
      <c r="D262">
        <v>0.23267760192442927</v>
      </c>
      <c r="E262">
        <v>45</v>
      </c>
      <c r="F262">
        <v>0</v>
      </c>
      <c r="G262">
        <v>0.46625854985120591</v>
      </c>
      <c r="H262">
        <v>8595.5845490000138</v>
      </c>
      <c r="I262">
        <v>59</v>
      </c>
      <c r="J262">
        <v>8020</v>
      </c>
      <c r="K262">
        <v>1</v>
      </c>
      <c r="L262">
        <v>27</v>
      </c>
      <c r="M262">
        <v>14</v>
      </c>
      <c r="N262">
        <v>3</v>
      </c>
    </row>
    <row r="263" spans="1:14">
      <c r="A263">
        <v>45</v>
      </c>
      <c r="B263">
        <v>2</v>
      </c>
      <c r="C263">
        <v>505</v>
      </c>
      <c r="D263">
        <v>0.18020943934192388</v>
      </c>
      <c r="E263">
        <v>9</v>
      </c>
      <c r="F263">
        <v>0</v>
      </c>
      <c r="G263">
        <v>0.10770411226336807</v>
      </c>
      <c r="H263">
        <v>11098.197781999983</v>
      </c>
      <c r="I263">
        <v>66</v>
      </c>
      <c r="J263">
        <v>8020</v>
      </c>
      <c r="K263">
        <v>1</v>
      </c>
      <c r="L263">
        <v>3</v>
      </c>
      <c r="M263">
        <v>3</v>
      </c>
      <c r="N263">
        <v>2</v>
      </c>
    </row>
    <row r="264" spans="1:14">
      <c r="A264">
        <v>46</v>
      </c>
      <c r="B264">
        <v>1</v>
      </c>
      <c r="C264">
        <v>622</v>
      </c>
      <c r="D264">
        <v>0.22240306220477893</v>
      </c>
      <c r="E264">
        <v>48</v>
      </c>
      <c r="F264">
        <v>0</v>
      </c>
      <c r="G264">
        <v>0.49650516026906388</v>
      </c>
      <c r="H264">
        <v>8992.6819360000009</v>
      </c>
      <c r="I264">
        <v>72</v>
      </c>
      <c r="J264">
        <v>8020</v>
      </c>
      <c r="K264">
        <v>1</v>
      </c>
      <c r="L264">
        <v>19</v>
      </c>
      <c r="M264">
        <v>27</v>
      </c>
      <c r="N264">
        <v>1</v>
      </c>
    </row>
    <row r="265" spans="1:14">
      <c r="A265">
        <v>46</v>
      </c>
      <c r="B265">
        <v>2</v>
      </c>
      <c r="C265">
        <v>292</v>
      </c>
      <c r="D265">
        <v>0.1697958680412377</v>
      </c>
      <c r="E265">
        <v>9</v>
      </c>
      <c r="F265">
        <v>0</v>
      </c>
      <c r="G265">
        <v>0.108058886181951</v>
      </c>
      <c r="H265">
        <v>11778.849645000004</v>
      </c>
      <c r="I265">
        <v>71</v>
      </c>
      <c r="J265">
        <v>8020</v>
      </c>
      <c r="K265">
        <v>1</v>
      </c>
      <c r="L265">
        <v>3</v>
      </c>
      <c r="M265">
        <v>4</v>
      </c>
      <c r="N265">
        <v>1</v>
      </c>
    </row>
    <row r="266" spans="1:14">
      <c r="A266">
        <v>47</v>
      </c>
      <c r="B266">
        <v>1</v>
      </c>
      <c r="C266">
        <v>343</v>
      </c>
      <c r="D266">
        <v>0.22339500476846719</v>
      </c>
      <c r="E266">
        <v>22</v>
      </c>
      <c r="F266">
        <v>0</v>
      </c>
      <c r="G266">
        <v>0.23648069469151597</v>
      </c>
      <c r="H266">
        <v>8952.7516610000112</v>
      </c>
      <c r="I266">
        <v>72</v>
      </c>
      <c r="J266">
        <v>8020</v>
      </c>
      <c r="K266">
        <v>1</v>
      </c>
      <c r="L266">
        <v>11</v>
      </c>
      <c r="M266">
        <v>9</v>
      </c>
      <c r="N266">
        <v>1</v>
      </c>
    </row>
    <row r="267" spans="1:14">
      <c r="A267">
        <v>47</v>
      </c>
      <c r="B267">
        <v>2</v>
      </c>
      <c r="C267">
        <v>384</v>
      </c>
      <c r="D267">
        <v>0.17884914456498824</v>
      </c>
      <c r="E267">
        <v>8</v>
      </c>
      <c r="F267">
        <v>0</v>
      </c>
      <c r="G267">
        <v>9.7748883722698313E-2</v>
      </c>
      <c r="H267">
        <v>11182.608700000026</v>
      </c>
      <c r="I267">
        <v>72</v>
      </c>
      <c r="J267">
        <v>8020</v>
      </c>
      <c r="K267">
        <v>1</v>
      </c>
      <c r="L267">
        <v>3</v>
      </c>
      <c r="M267">
        <v>3</v>
      </c>
      <c r="N267">
        <v>1</v>
      </c>
    </row>
    <row r="268" spans="1:14">
      <c r="A268">
        <v>48</v>
      </c>
      <c r="B268">
        <v>1</v>
      </c>
      <c r="C268">
        <v>791</v>
      </c>
      <c r="D268">
        <v>0.21864973118264033</v>
      </c>
      <c r="E268">
        <v>19</v>
      </c>
      <c r="F268">
        <v>0</v>
      </c>
      <c r="G268">
        <v>0.20659906723601926</v>
      </c>
      <c r="H268">
        <v>9147.0498920000027</v>
      </c>
      <c r="I268">
        <v>75</v>
      </c>
      <c r="J268">
        <v>8020</v>
      </c>
      <c r="K268">
        <v>2</v>
      </c>
      <c r="L268">
        <v>6</v>
      </c>
      <c r="M268">
        <v>10</v>
      </c>
      <c r="N268">
        <v>1</v>
      </c>
    </row>
    <row r="269" spans="1:14">
      <c r="A269">
        <v>48</v>
      </c>
      <c r="B269">
        <v>2</v>
      </c>
      <c r="C269">
        <v>368</v>
      </c>
      <c r="D269">
        <v>0.1781603268781278</v>
      </c>
      <c r="E269">
        <v>8</v>
      </c>
      <c r="F269">
        <v>0</v>
      </c>
      <c r="G269">
        <v>9.77717283573587E-2</v>
      </c>
      <c r="H269">
        <v>11225.843794999984</v>
      </c>
      <c r="I269">
        <v>70</v>
      </c>
      <c r="J269">
        <v>8020</v>
      </c>
      <c r="K269">
        <v>1</v>
      </c>
      <c r="L269">
        <v>3</v>
      </c>
      <c r="M269">
        <v>3</v>
      </c>
      <c r="N269">
        <v>1</v>
      </c>
    </row>
    <row r="270" spans="1:14">
      <c r="A270">
        <v>49</v>
      </c>
      <c r="B270">
        <v>1</v>
      </c>
      <c r="C270">
        <v>652</v>
      </c>
      <c r="D270">
        <v>0.22792388519598034</v>
      </c>
      <c r="E270">
        <v>15</v>
      </c>
      <c r="F270">
        <v>0</v>
      </c>
      <c r="G270">
        <v>0.16637080568277959</v>
      </c>
      <c r="H270">
        <v>8774.8591960000158</v>
      </c>
      <c r="I270">
        <v>74</v>
      </c>
      <c r="J270">
        <v>8020</v>
      </c>
      <c r="K270">
        <v>3</v>
      </c>
      <c r="L270">
        <v>5</v>
      </c>
      <c r="M270">
        <v>5</v>
      </c>
      <c r="N270">
        <v>2</v>
      </c>
    </row>
    <row r="271" spans="1:14">
      <c r="A271">
        <v>49</v>
      </c>
      <c r="B271">
        <v>2</v>
      </c>
      <c r="C271">
        <v>475</v>
      </c>
      <c r="D271">
        <v>0.18629726044454428</v>
      </c>
      <c r="E271">
        <v>9</v>
      </c>
      <c r="F271">
        <v>0</v>
      </c>
      <c r="G271">
        <v>0.1075091277123212</v>
      </c>
      <c r="H271">
        <v>10735.530921000025</v>
      </c>
      <c r="I271">
        <v>75</v>
      </c>
      <c r="J271">
        <v>8020</v>
      </c>
      <c r="K271">
        <v>2</v>
      </c>
      <c r="L271">
        <v>3</v>
      </c>
      <c r="M271">
        <v>3</v>
      </c>
      <c r="N271">
        <v>1</v>
      </c>
    </row>
    <row r="272" spans="1:14">
      <c r="A272">
        <v>50</v>
      </c>
      <c r="B272">
        <v>1</v>
      </c>
      <c r="C272">
        <v>1035</v>
      </c>
      <c r="D272">
        <v>0.23912773549053548</v>
      </c>
      <c r="E272">
        <v>25</v>
      </c>
      <c r="F272">
        <v>0</v>
      </c>
      <c r="G272">
        <v>0.26611103160529487</v>
      </c>
      <c r="H272">
        <v>8363.7307730000175</v>
      </c>
      <c r="I272">
        <v>72</v>
      </c>
      <c r="J272">
        <v>8020</v>
      </c>
      <c r="K272">
        <v>5</v>
      </c>
      <c r="L272">
        <v>8</v>
      </c>
      <c r="M272">
        <v>9</v>
      </c>
      <c r="N272">
        <v>3</v>
      </c>
    </row>
    <row r="273" spans="1:14">
      <c r="A273">
        <v>50</v>
      </c>
      <c r="B273">
        <v>2</v>
      </c>
      <c r="C273">
        <v>687</v>
      </c>
      <c r="D273">
        <v>0.18270955075858719</v>
      </c>
      <c r="E273">
        <v>9</v>
      </c>
      <c r="F273">
        <v>0</v>
      </c>
      <c r="G273">
        <v>0.10762298953819456</v>
      </c>
      <c r="H273">
        <v>10946.335272000015</v>
      </c>
      <c r="I273">
        <v>66</v>
      </c>
      <c r="J273">
        <v>8020</v>
      </c>
      <c r="K273">
        <v>1</v>
      </c>
      <c r="L273">
        <v>3</v>
      </c>
      <c r="M273">
        <v>3</v>
      </c>
      <c r="N273">
        <v>2</v>
      </c>
    </row>
    <row r="274" spans="1:14">
      <c r="A274">
        <v>51</v>
      </c>
      <c r="B274">
        <v>1</v>
      </c>
      <c r="C274">
        <v>384</v>
      </c>
      <c r="D274">
        <v>0.22932260905785165</v>
      </c>
      <c r="E274">
        <v>9</v>
      </c>
      <c r="F274">
        <v>0</v>
      </c>
      <c r="G274">
        <v>0.10633745390528226</v>
      </c>
      <c r="H274">
        <v>8721.338066999997</v>
      </c>
      <c r="I274">
        <v>69</v>
      </c>
      <c r="J274">
        <v>8020</v>
      </c>
      <c r="K274">
        <v>1</v>
      </c>
      <c r="L274">
        <v>3</v>
      </c>
      <c r="M274">
        <v>4</v>
      </c>
      <c r="N274">
        <v>1</v>
      </c>
    </row>
    <row r="275" spans="1:14">
      <c r="A275">
        <v>51</v>
      </c>
      <c r="B275">
        <v>2</v>
      </c>
      <c r="C275">
        <v>368</v>
      </c>
      <c r="D275">
        <v>0.20955195349072714</v>
      </c>
      <c r="E275">
        <v>6</v>
      </c>
      <c r="F275">
        <v>0</v>
      </c>
      <c r="G275">
        <v>7.6835890614610089E-2</v>
      </c>
      <c r="H275">
        <v>9544.1725389999847</v>
      </c>
      <c r="I275">
        <v>70</v>
      </c>
      <c r="J275">
        <v>8020</v>
      </c>
      <c r="K275">
        <v>1</v>
      </c>
      <c r="L275">
        <v>2</v>
      </c>
      <c r="M275">
        <v>2</v>
      </c>
      <c r="N275">
        <v>1</v>
      </c>
    </row>
    <row r="276" spans="1:14">
      <c r="A276">
        <v>52</v>
      </c>
      <c r="B276">
        <v>1</v>
      </c>
      <c r="C276">
        <v>394</v>
      </c>
      <c r="D276">
        <v>0.22755757564867984</v>
      </c>
      <c r="E276">
        <v>8</v>
      </c>
      <c r="F276">
        <v>0</v>
      </c>
      <c r="G276">
        <v>9.6379585244777827E-2</v>
      </c>
      <c r="H276">
        <v>8788.9844769999982</v>
      </c>
      <c r="I276">
        <v>70</v>
      </c>
      <c r="J276">
        <v>8020</v>
      </c>
      <c r="K276">
        <v>1</v>
      </c>
      <c r="L276">
        <v>3</v>
      </c>
      <c r="M276">
        <v>3</v>
      </c>
      <c r="N276">
        <v>1</v>
      </c>
    </row>
    <row r="277" spans="1:14">
      <c r="A277">
        <v>52</v>
      </c>
      <c r="B277">
        <v>2</v>
      </c>
      <c r="C277">
        <v>404</v>
      </c>
      <c r="D277">
        <v>0.21021181598860336</v>
      </c>
      <c r="E277">
        <v>6</v>
      </c>
      <c r="F277">
        <v>0</v>
      </c>
      <c r="G277">
        <v>7.6818255993172199E-2</v>
      </c>
      <c r="H277">
        <v>9514.2130359999846</v>
      </c>
      <c r="I277">
        <v>69</v>
      </c>
      <c r="J277">
        <v>8020</v>
      </c>
      <c r="K277">
        <v>1</v>
      </c>
      <c r="L277">
        <v>2</v>
      </c>
      <c r="M277">
        <v>2</v>
      </c>
      <c r="N277">
        <v>1</v>
      </c>
    </row>
    <row r="278" spans="1:14">
      <c r="A278">
        <v>53</v>
      </c>
      <c r="B278">
        <v>1</v>
      </c>
      <c r="C278">
        <v>442</v>
      </c>
      <c r="D278">
        <v>0.22756676297710812</v>
      </c>
      <c r="E278">
        <v>8</v>
      </c>
      <c r="F278">
        <v>0</v>
      </c>
      <c r="G278">
        <v>9.6379364816199187E-2</v>
      </c>
      <c r="H278">
        <v>8788.6296479999946</v>
      </c>
      <c r="I278">
        <v>72</v>
      </c>
      <c r="J278">
        <v>8020</v>
      </c>
      <c r="K278">
        <v>1</v>
      </c>
      <c r="L278">
        <v>3</v>
      </c>
      <c r="M278">
        <v>3</v>
      </c>
      <c r="N278">
        <v>1</v>
      </c>
    </row>
    <row r="279" spans="1:14">
      <c r="A279">
        <v>53</v>
      </c>
      <c r="B279">
        <v>2</v>
      </c>
      <c r="C279">
        <v>454</v>
      </c>
      <c r="D279">
        <v>0.21034698988798295</v>
      </c>
      <c r="E279">
        <v>6</v>
      </c>
      <c r="F279">
        <v>0</v>
      </c>
      <c r="G279">
        <v>7.6814652619533519E-2</v>
      </c>
      <c r="H279">
        <v>9508.0989799999952</v>
      </c>
      <c r="I279">
        <v>70</v>
      </c>
      <c r="J279">
        <v>8020</v>
      </c>
      <c r="K279">
        <v>1</v>
      </c>
      <c r="L279">
        <v>2</v>
      </c>
      <c r="M279">
        <v>2</v>
      </c>
      <c r="N279">
        <v>1</v>
      </c>
    </row>
    <row r="280" spans="1:14">
      <c r="A280">
        <v>54</v>
      </c>
      <c r="B280">
        <v>1</v>
      </c>
      <c r="C280">
        <v>558</v>
      </c>
      <c r="D280">
        <v>0.22657012191891099</v>
      </c>
      <c r="E280">
        <v>8</v>
      </c>
      <c r="F280">
        <v>0</v>
      </c>
      <c r="G280">
        <v>9.6403346309898941E-2</v>
      </c>
      <c r="H280">
        <v>8827.2892429999938</v>
      </c>
      <c r="I280">
        <v>75</v>
      </c>
      <c r="J280">
        <v>8020</v>
      </c>
      <c r="K280">
        <v>2</v>
      </c>
      <c r="L280">
        <v>2</v>
      </c>
      <c r="M280">
        <v>3</v>
      </c>
      <c r="N280">
        <v>1</v>
      </c>
    </row>
    <row r="281" spans="1:14">
      <c r="A281">
        <v>54</v>
      </c>
      <c r="B281">
        <v>2</v>
      </c>
      <c r="C281">
        <v>558</v>
      </c>
      <c r="D281">
        <v>0.20729752852015443</v>
      </c>
      <c r="E281">
        <v>6</v>
      </c>
      <c r="F281">
        <v>0</v>
      </c>
      <c r="G281">
        <v>7.6896702540483655E-2</v>
      </c>
      <c r="H281">
        <v>9647.968377999985</v>
      </c>
      <c r="I281">
        <v>68</v>
      </c>
      <c r="J281">
        <v>8020</v>
      </c>
      <c r="K281">
        <v>1</v>
      </c>
      <c r="L281">
        <v>2</v>
      </c>
      <c r="M281">
        <v>2</v>
      </c>
      <c r="N281">
        <v>1</v>
      </c>
    </row>
    <row r="282" spans="1:14">
      <c r="A282">
        <v>55</v>
      </c>
      <c r="B282">
        <v>1</v>
      </c>
      <c r="C282">
        <v>890</v>
      </c>
      <c r="D282">
        <v>0.23646406617800669</v>
      </c>
      <c r="E282">
        <v>9</v>
      </c>
      <c r="F282">
        <v>0</v>
      </c>
      <c r="G282">
        <v>0.10617130055613463</v>
      </c>
      <c r="H282">
        <v>8457.9447199999904</v>
      </c>
      <c r="I282">
        <v>74</v>
      </c>
      <c r="J282">
        <v>8020</v>
      </c>
      <c r="K282">
        <v>2</v>
      </c>
      <c r="L282">
        <v>2</v>
      </c>
      <c r="M282">
        <v>4</v>
      </c>
      <c r="N282">
        <v>1</v>
      </c>
    </row>
    <row r="283" spans="1:14">
      <c r="A283">
        <v>55</v>
      </c>
      <c r="B283">
        <v>2</v>
      </c>
      <c r="C283">
        <v>550</v>
      </c>
      <c r="D283">
        <v>0.21236227066419056</v>
      </c>
      <c r="E283">
        <v>6</v>
      </c>
      <c r="F283">
        <v>0</v>
      </c>
      <c r="G283">
        <v>7.6761294104202182E-2</v>
      </c>
      <c r="H283">
        <v>9417.8687849999933</v>
      </c>
      <c r="I283">
        <v>67</v>
      </c>
      <c r="J283">
        <v>8020</v>
      </c>
      <c r="K283">
        <v>1</v>
      </c>
      <c r="L283">
        <v>2</v>
      </c>
      <c r="M283">
        <v>2</v>
      </c>
      <c r="N283">
        <v>1</v>
      </c>
    </row>
    <row r="284" spans="1:14">
      <c r="A284">
        <v>56</v>
      </c>
      <c r="B284">
        <v>1</v>
      </c>
      <c r="C284">
        <v>438</v>
      </c>
      <c r="D284">
        <v>0.2303752348288631</v>
      </c>
      <c r="E284">
        <v>9</v>
      </c>
      <c r="F284">
        <v>0</v>
      </c>
      <c r="G284">
        <v>0.10631253299148263</v>
      </c>
      <c r="H284">
        <v>8681.4887090000066</v>
      </c>
      <c r="I284">
        <v>67</v>
      </c>
      <c r="J284">
        <v>8020</v>
      </c>
      <c r="K284">
        <v>1</v>
      </c>
      <c r="L284">
        <v>3</v>
      </c>
      <c r="M284">
        <v>4</v>
      </c>
      <c r="N284">
        <v>1</v>
      </c>
    </row>
    <row r="285" spans="1:14">
      <c r="A285">
        <v>56</v>
      </c>
      <c r="B285">
        <v>2</v>
      </c>
      <c r="C285">
        <v>378</v>
      </c>
      <c r="D285">
        <v>0.20939637341567077</v>
      </c>
      <c r="E285">
        <v>6</v>
      </c>
      <c r="F285">
        <v>0</v>
      </c>
      <c r="G285">
        <v>7.6840059232935604E-2</v>
      </c>
      <c r="H285">
        <v>9551.2637939999986</v>
      </c>
      <c r="I285">
        <v>68</v>
      </c>
      <c r="J285">
        <v>8020</v>
      </c>
      <c r="K285">
        <v>1</v>
      </c>
      <c r="L285">
        <v>2</v>
      </c>
      <c r="M285">
        <v>2</v>
      </c>
      <c r="N285">
        <v>1</v>
      </c>
    </row>
    <row r="286" spans="1:14">
      <c r="A286">
        <v>57</v>
      </c>
      <c r="B286">
        <v>1</v>
      </c>
      <c r="C286">
        <v>409</v>
      </c>
      <c r="D286">
        <v>0.22847535857375692</v>
      </c>
      <c r="E286">
        <v>9</v>
      </c>
      <c r="F286">
        <v>0</v>
      </c>
      <c r="G286">
        <v>0.10635762360918555</v>
      </c>
      <c r="H286">
        <v>8753.6792260000129</v>
      </c>
      <c r="I286">
        <v>67</v>
      </c>
      <c r="J286">
        <v>8020</v>
      </c>
      <c r="K286">
        <v>1</v>
      </c>
      <c r="L286">
        <v>3</v>
      </c>
      <c r="M286">
        <v>4</v>
      </c>
      <c r="N286">
        <v>1</v>
      </c>
    </row>
    <row r="287" spans="1:14">
      <c r="A287" s="84">
        <v>57</v>
      </c>
      <c r="B287" s="84">
        <v>2</v>
      </c>
      <c r="C287" s="84">
        <v>392</v>
      </c>
      <c r="D287" s="84">
        <v>0.20974601169993243</v>
      </c>
      <c r="E287" s="84">
        <v>6</v>
      </c>
      <c r="F287" s="84">
        <v>0</v>
      </c>
      <c r="G287" s="84">
        <v>7.683069679174491E-2</v>
      </c>
      <c r="H287" s="84">
        <v>9535.3422160000209</v>
      </c>
      <c r="I287" s="84">
        <v>67</v>
      </c>
      <c r="J287" s="84">
        <v>8020</v>
      </c>
      <c r="K287" s="84">
        <v>1</v>
      </c>
      <c r="L287" s="84">
        <v>2</v>
      </c>
      <c r="M287" s="84">
        <v>2</v>
      </c>
      <c r="N287" s="84">
        <v>1</v>
      </c>
    </row>
    <row r="288" spans="1:14">
      <c r="A288">
        <v>58</v>
      </c>
      <c r="B288">
        <v>1</v>
      </c>
      <c r="C288">
        <v>587</v>
      </c>
      <c r="D288">
        <v>0.22809885576036068</v>
      </c>
      <c r="E288">
        <v>8</v>
      </c>
      <c r="F288">
        <v>0</v>
      </c>
      <c r="G288">
        <v>9.6366618694313858E-2</v>
      </c>
      <c r="H288">
        <v>8768.128158000005</v>
      </c>
      <c r="I288">
        <v>62</v>
      </c>
      <c r="J288">
        <v>8020</v>
      </c>
      <c r="K288">
        <v>1</v>
      </c>
      <c r="L288">
        <v>3</v>
      </c>
      <c r="M288">
        <v>2</v>
      </c>
      <c r="N288">
        <v>2</v>
      </c>
    </row>
    <row r="289" spans="1:14">
      <c r="A289">
        <v>58</v>
      </c>
      <c r="B289">
        <v>2</v>
      </c>
      <c r="C289">
        <v>472</v>
      </c>
      <c r="D289">
        <v>0.20973055507977548</v>
      </c>
      <c r="E289">
        <v>6</v>
      </c>
      <c r="F289">
        <v>0</v>
      </c>
      <c r="G289">
        <v>7.6831110241749462E-2</v>
      </c>
      <c r="H289">
        <v>9536.0449470000094</v>
      </c>
      <c r="I289">
        <v>67</v>
      </c>
      <c r="J289">
        <v>8020</v>
      </c>
      <c r="K289">
        <v>1</v>
      </c>
      <c r="L289">
        <v>2</v>
      </c>
      <c r="M289">
        <v>2</v>
      </c>
      <c r="N289">
        <v>1</v>
      </c>
    </row>
    <row r="290" spans="1:14">
      <c r="A290">
        <v>59</v>
      </c>
      <c r="B290">
        <v>1</v>
      </c>
      <c r="C290">
        <v>397</v>
      </c>
      <c r="D290">
        <v>0.23096640031812321</v>
      </c>
      <c r="E290">
        <v>8</v>
      </c>
      <c r="F290">
        <v>0</v>
      </c>
      <c r="G290">
        <v>9.6298603626600712E-2</v>
      </c>
      <c r="H290">
        <v>8659.2681759999978</v>
      </c>
      <c r="I290">
        <v>74</v>
      </c>
      <c r="J290">
        <v>8020</v>
      </c>
      <c r="K290">
        <v>2</v>
      </c>
      <c r="L290">
        <v>2</v>
      </c>
      <c r="M290">
        <v>3</v>
      </c>
      <c r="N290">
        <v>1</v>
      </c>
    </row>
    <row r="291" spans="1:14">
      <c r="A291">
        <v>59</v>
      </c>
      <c r="B291">
        <v>2</v>
      </c>
      <c r="C291">
        <v>679</v>
      </c>
      <c r="D291">
        <v>0.21122829244133617</v>
      </c>
      <c r="E291">
        <v>6</v>
      </c>
      <c r="F291">
        <v>0</v>
      </c>
      <c r="G291">
        <v>7.6791234901851052E-2</v>
      </c>
      <c r="H291">
        <v>9468.4285749999817</v>
      </c>
      <c r="I291">
        <v>69</v>
      </c>
      <c r="J291">
        <v>8020</v>
      </c>
      <c r="K291">
        <v>1</v>
      </c>
      <c r="L291">
        <v>2</v>
      </c>
      <c r="M291">
        <v>2</v>
      </c>
      <c r="N291">
        <v>1</v>
      </c>
    </row>
    <row r="292" spans="1:14">
      <c r="A292">
        <v>60</v>
      </c>
      <c r="B292">
        <v>1</v>
      </c>
      <c r="C292">
        <v>576</v>
      </c>
      <c r="D292">
        <v>0.23145839629252424</v>
      </c>
      <c r="E292">
        <v>9</v>
      </c>
      <c r="F292">
        <v>0</v>
      </c>
      <c r="G292">
        <v>0.10628704714253645</v>
      </c>
      <c r="H292">
        <v>8640.8617360000135</v>
      </c>
      <c r="I292">
        <v>62</v>
      </c>
      <c r="J292">
        <v>8020</v>
      </c>
      <c r="K292">
        <v>1</v>
      </c>
      <c r="L292">
        <v>4</v>
      </c>
      <c r="M292">
        <v>2</v>
      </c>
      <c r="N292">
        <v>2</v>
      </c>
    </row>
    <row r="293" spans="1:14">
      <c r="A293">
        <v>60</v>
      </c>
      <c r="B293">
        <v>2</v>
      </c>
      <c r="C293">
        <v>385</v>
      </c>
      <c r="D293">
        <v>0.20748587250272651</v>
      </c>
      <c r="E293">
        <v>6</v>
      </c>
      <c r="F293">
        <v>0</v>
      </c>
      <c r="G293">
        <v>7.6891588367924299E-2</v>
      </c>
      <c r="H293">
        <v>9639.2104960000033</v>
      </c>
      <c r="I293">
        <v>67</v>
      </c>
      <c r="J293">
        <v>8020</v>
      </c>
      <c r="K293">
        <v>1</v>
      </c>
      <c r="L293">
        <v>2</v>
      </c>
      <c r="M293">
        <v>2</v>
      </c>
      <c r="N293">
        <v>1</v>
      </c>
    </row>
    <row r="294" spans="1:14">
      <c r="A294">
        <v>61</v>
      </c>
      <c r="B294">
        <v>1</v>
      </c>
      <c r="C294">
        <v>892</v>
      </c>
      <c r="D294">
        <v>0.22756538812802585</v>
      </c>
      <c r="E294">
        <v>19</v>
      </c>
      <c r="F294">
        <v>0</v>
      </c>
      <c r="G294">
        <v>0.20637939780175046</v>
      </c>
      <c r="H294">
        <v>8788.6827449999619</v>
      </c>
      <c r="I294">
        <v>69</v>
      </c>
      <c r="J294">
        <v>8020</v>
      </c>
      <c r="K294">
        <v>5</v>
      </c>
      <c r="L294">
        <v>1</v>
      </c>
      <c r="M294">
        <v>6</v>
      </c>
      <c r="N294">
        <v>7</v>
      </c>
    </row>
    <row r="295" spans="1:14">
      <c r="A295">
        <v>61</v>
      </c>
      <c r="B295">
        <v>2</v>
      </c>
      <c r="C295">
        <v>316</v>
      </c>
      <c r="D295">
        <v>0.17546531163902621</v>
      </c>
      <c r="E295">
        <v>21</v>
      </c>
      <c r="F295">
        <v>0</v>
      </c>
      <c r="G295">
        <v>0.22786225325689999</v>
      </c>
      <c r="H295">
        <v>11398.264313999993</v>
      </c>
      <c r="I295">
        <v>63</v>
      </c>
      <c r="J295">
        <v>8020</v>
      </c>
      <c r="K295">
        <v>1</v>
      </c>
      <c r="L295">
        <v>1</v>
      </c>
      <c r="M295">
        <v>1</v>
      </c>
      <c r="N295">
        <v>18</v>
      </c>
    </row>
    <row r="296" spans="1:14">
      <c r="A296">
        <v>62</v>
      </c>
      <c r="B296">
        <v>1</v>
      </c>
      <c r="C296">
        <v>734</v>
      </c>
      <c r="D296">
        <v>0.20976764900084777</v>
      </c>
      <c r="E296">
        <v>16</v>
      </c>
      <c r="F296">
        <v>0</v>
      </c>
      <c r="G296">
        <v>0.17683011808259563</v>
      </c>
      <c r="H296">
        <v>9534.3586559999876</v>
      </c>
      <c r="I296">
        <v>72</v>
      </c>
      <c r="J296">
        <v>8020</v>
      </c>
      <c r="K296">
        <v>3</v>
      </c>
      <c r="L296">
        <v>1</v>
      </c>
      <c r="M296">
        <v>5</v>
      </c>
      <c r="N296">
        <v>7</v>
      </c>
    </row>
    <row r="297" spans="1:14">
      <c r="A297">
        <v>62</v>
      </c>
      <c r="B297">
        <v>2</v>
      </c>
      <c r="C297">
        <v>429</v>
      </c>
      <c r="D297">
        <v>0.16677959584117882</v>
      </c>
      <c r="E297">
        <v>8</v>
      </c>
      <c r="F297">
        <v>0</v>
      </c>
      <c r="G297">
        <v>9.8167103662673061E-2</v>
      </c>
      <c r="H297">
        <v>11991.874605000025</v>
      </c>
      <c r="I297">
        <v>67</v>
      </c>
      <c r="J297">
        <v>8020</v>
      </c>
      <c r="K297">
        <v>2</v>
      </c>
      <c r="L297">
        <v>1</v>
      </c>
      <c r="M297">
        <v>1</v>
      </c>
      <c r="N297">
        <v>4</v>
      </c>
    </row>
    <row r="298" spans="1:14">
      <c r="A298" s="84">
        <v>63</v>
      </c>
      <c r="B298" s="84">
        <v>1</v>
      </c>
      <c r="C298" s="84">
        <v>548</v>
      </c>
      <c r="D298" s="84">
        <v>0.21147528839586135</v>
      </c>
      <c r="E298" s="84">
        <v>12</v>
      </c>
      <c r="F298" s="84">
        <v>0</v>
      </c>
      <c r="G298" s="84">
        <v>0.13678469515776159</v>
      </c>
      <c r="H298" s="84">
        <v>9457.3697719999927</v>
      </c>
      <c r="I298" s="84">
        <v>71</v>
      </c>
      <c r="J298" s="84">
        <v>8020</v>
      </c>
      <c r="K298" s="84">
        <v>2</v>
      </c>
      <c r="L298" s="84">
        <v>3</v>
      </c>
      <c r="M298" s="84">
        <v>2</v>
      </c>
      <c r="N298" s="84">
        <v>5</v>
      </c>
    </row>
    <row r="299" spans="1:14">
      <c r="A299">
        <v>63</v>
      </c>
      <c r="B299">
        <v>2</v>
      </c>
      <c r="C299">
        <v>313</v>
      </c>
      <c r="D299">
        <v>0.17211989908797576</v>
      </c>
      <c r="E299">
        <v>7</v>
      </c>
      <c r="F299">
        <v>0</v>
      </c>
      <c r="G299">
        <v>8.7977238179390044E-2</v>
      </c>
      <c r="H299">
        <v>11619.806952000004</v>
      </c>
      <c r="I299">
        <v>68</v>
      </c>
      <c r="J299">
        <v>8020</v>
      </c>
      <c r="K299">
        <v>1</v>
      </c>
      <c r="L299">
        <v>2</v>
      </c>
      <c r="M299">
        <v>2</v>
      </c>
      <c r="N299">
        <v>2</v>
      </c>
    </row>
    <row r="300" spans="1:14">
      <c r="A300">
        <v>64</v>
      </c>
      <c r="B300">
        <v>1</v>
      </c>
      <c r="C300">
        <v>649</v>
      </c>
      <c r="D300">
        <v>0.22932439012486755</v>
      </c>
      <c r="E300">
        <v>20</v>
      </c>
      <c r="F300">
        <v>0</v>
      </c>
      <c r="G300">
        <v>0.21633741160977299</v>
      </c>
      <c r="H300">
        <v>8721.2703319999946</v>
      </c>
      <c r="I300">
        <v>62</v>
      </c>
      <c r="J300">
        <v>8020</v>
      </c>
      <c r="K300">
        <v>1</v>
      </c>
      <c r="L300">
        <v>7</v>
      </c>
      <c r="M300">
        <v>4</v>
      </c>
      <c r="N300">
        <v>8</v>
      </c>
    </row>
    <row r="301" spans="1:14">
      <c r="A301">
        <v>64</v>
      </c>
      <c r="B301">
        <v>2</v>
      </c>
      <c r="C301">
        <v>377</v>
      </c>
      <c r="D301">
        <v>0.18373662978792699</v>
      </c>
      <c r="E301">
        <v>8</v>
      </c>
      <c r="F301">
        <v>0</v>
      </c>
      <c r="G301">
        <v>9.7590090936601856E-2</v>
      </c>
      <c r="H301">
        <v>10885.145777999987</v>
      </c>
      <c r="I301">
        <v>65</v>
      </c>
      <c r="J301">
        <v>8020</v>
      </c>
      <c r="K301">
        <v>1</v>
      </c>
      <c r="L301">
        <v>2</v>
      </c>
      <c r="M301">
        <v>2</v>
      </c>
      <c r="N301">
        <v>3</v>
      </c>
    </row>
    <row r="302" spans="1:14">
      <c r="A302">
        <v>65</v>
      </c>
      <c r="B302">
        <v>1</v>
      </c>
      <c r="C302">
        <v>561</v>
      </c>
      <c r="D302">
        <v>0.21607257597969973</v>
      </c>
      <c r="E302">
        <v>14</v>
      </c>
      <c r="F302">
        <v>0</v>
      </c>
      <c r="G302">
        <v>0.15666480041854597</v>
      </c>
      <c r="H302">
        <v>9256.1491939999942</v>
      </c>
      <c r="I302">
        <v>69</v>
      </c>
      <c r="J302">
        <v>8020</v>
      </c>
      <c r="K302">
        <v>2</v>
      </c>
      <c r="L302">
        <v>3</v>
      </c>
      <c r="M302">
        <v>3</v>
      </c>
      <c r="N302">
        <v>6</v>
      </c>
    </row>
    <row r="303" spans="1:14">
      <c r="A303">
        <v>65</v>
      </c>
      <c r="B303">
        <v>2</v>
      </c>
      <c r="C303">
        <v>339</v>
      </c>
      <c r="D303">
        <v>0.17022945871611933</v>
      </c>
      <c r="E303">
        <v>8</v>
      </c>
      <c r="F303">
        <v>0</v>
      </c>
      <c r="G303">
        <v>9.804354057689034E-2</v>
      </c>
      <c r="H303">
        <v>11748.847790999975</v>
      </c>
      <c r="I303">
        <v>68</v>
      </c>
      <c r="J303">
        <v>8020</v>
      </c>
      <c r="K303">
        <v>1</v>
      </c>
      <c r="L303">
        <v>3</v>
      </c>
      <c r="M303">
        <v>1</v>
      </c>
      <c r="N303">
        <v>3</v>
      </c>
    </row>
    <row r="304" spans="1:14">
      <c r="A304">
        <v>66</v>
      </c>
      <c r="B304">
        <v>1</v>
      </c>
      <c r="C304">
        <v>599</v>
      </c>
      <c r="D304">
        <v>0.22780320088582953</v>
      </c>
      <c r="E304">
        <v>25</v>
      </c>
      <c r="F304">
        <v>0</v>
      </c>
      <c r="G304">
        <v>0.26637369611714534</v>
      </c>
      <c r="H304">
        <v>8779.5078919999924</v>
      </c>
      <c r="I304">
        <v>68</v>
      </c>
      <c r="J304">
        <v>8020</v>
      </c>
      <c r="K304">
        <v>5</v>
      </c>
      <c r="L304">
        <v>1</v>
      </c>
      <c r="M304">
        <v>9</v>
      </c>
      <c r="N304">
        <v>10</v>
      </c>
    </row>
    <row r="305" spans="1:14">
      <c r="A305">
        <v>66</v>
      </c>
      <c r="B305">
        <v>2</v>
      </c>
      <c r="C305">
        <v>500</v>
      </c>
      <c r="D305">
        <v>0.17717868895753286</v>
      </c>
      <c r="E305">
        <v>10</v>
      </c>
      <c r="F305">
        <v>0</v>
      </c>
      <c r="G305">
        <v>0.11780448866147161</v>
      </c>
      <c r="H305">
        <v>11288.039277000016</v>
      </c>
      <c r="I305">
        <v>69</v>
      </c>
      <c r="J305">
        <v>8020</v>
      </c>
      <c r="K305">
        <v>3</v>
      </c>
      <c r="L305">
        <v>1</v>
      </c>
      <c r="M305">
        <v>1</v>
      </c>
      <c r="N305">
        <v>5</v>
      </c>
    </row>
    <row r="306" spans="1:14">
      <c r="A306">
        <v>67</v>
      </c>
      <c r="B306">
        <v>1</v>
      </c>
      <c r="C306">
        <v>679</v>
      </c>
      <c r="D306">
        <v>0.20967239872557858</v>
      </c>
      <c r="E306">
        <v>16</v>
      </c>
      <c r="F306">
        <v>0</v>
      </c>
      <c r="G306">
        <v>0.17683266623342894</v>
      </c>
      <c r="H306">
        <v>9538.6899379999977</v>
      </c>
      <c r="I306">
        <v>68</v>
      </c>
      <c r="J306">
        <v>8020</v>
      </c>
      <c r="K306">
        <v>3</v>
      </c>
      <c r="L306">
        <v>1</v>
      </c>
      <c r="M306">
        <v>6</v>
      </c>
      <c r="N306">
        <v>6</v>
      </c>
    </row>
    <row r="307" spans="1:14">
      <c r="A307">
        <v>67</v>
      </c>
      <c r="B307">
        <v>2</v>
      </c>
      <c r="C307">
        <v>365</v>
      </c>
      <c r="D307">
        <v>0.16516727261896433</v>
      </c>
      <c r="E307">
        <v>7</v>
      </c>
      <c r="F307">
        <v>0</v>
      </c>
      <c r="G307">
        <v>8.822602664591439E-2</v>
      </c>
      <c r="H307">
        <v>12108.936402999985</v>
      </c>
      <c r="I307">
        <v>65</v>
      </c>
      <c r="J307">
        <v>8020</v>
      </c>
      <c r="K307">
        <v>1</v>
      </c>
      <c r="L307">
        <v>1</v>
      </c>
      <c r="M307">
        <v>2</v>
      </c>
      <c r="N307">
        <v>3</v>
      </c>
    </row>
    <row r="308" spans="1:14">
      <c r="A308">
        <v>68</v>
      </c>
      <c r="B308">
        <v>1</v>
      </c>
      <c r="C308">
        <v>481</v>
      </c>
      <c r="D308">
        <v>0.2226889059932351</v>
      </c>
      <c r="E308">
        <v>25</v>
      </c>
      <c r="F308">
        <v>0</v>
      </c>
      <c r="G308">
        <v>0.26649809522976858</v>
      </c>
      <c r="H308">
        <v>8981.1389170000075</v>
      </c>
      <c r="I308">
        <v>70</v>
      </c>
      <c r="J308">
        <v>8020</v>
      </c>
      <c r="K308">
        <v>3</v>
      </c>
      <c r="L308">
        <v>7</v>
      </c>
      <c r="M308">
        <v>1</v>
      </c>
      <c r="N308">
        <v>14</v>
      </c>
    </row>
    <row r="309" spans="1:14">
      <c r="A309">
        <v>68</v>
      </c>
      <c r="B309">
        <v>2</v>
      </c>
      <c r="C309">
        <v>345</v>
      </c>
      <c r="D309">
        <v>0.17645989150136068</v>
      </c>
      <c r="E309">
        <v>8</v>
      </c>
      <c r="F309">
        <v>0</v>
      </c>
      <c r="G309">
        <v>9.7828631037863628E-2</v>
      </c>
      <c r="H309">
        <v>11334.020343000029</v>
      </c>
      <c r="I309">
        <v>63</v>
      </c>
      <c r="J309">
        <v>8020</v>
      </c>
      <c r="K309">
        <v>1</v>
      </c>
      <c r="L309">
        <v>3</v>
      </c>
      <c r="M309">
        <v>1</v>
      </c>
      <c r="N309">
        <v>3</v>
      </c>
    </row>
    <row r="310" spans="1:14">
      <c r="A310">
        <v>69</v>
      </c>
      <c r="B310">
        <v>1</v>
      </c>
      <c r="C310">
        <v>524</v>
      </c>
      <c r="D310">
        <v>0.22229815270103959</v>
      </c>
      <c r="E310">
        <v>20</v>
      </c>
      <c r="F310">
        <v>0</v>
      </c>
      <c r="G310">
        <v>0.2165077562958154</v>
      </c>
      <c r="H310">
        <v>8996.9258659999959</v>
      </c>
      <c r="I310">
        <v>60</v>
      </c>
      <c r="J310">
        <v>8020</v>
      </c>
      <c r="K310">
        <v>1</v>
      </c>
      <c r="L310">
        <v>7</v>
      </c>
      <c r="M310">
        <v>5</v>
      </c>
      <c r="N310">
        <v>7</v>
      </c>
    </row>
    <row r="311" spans="1:14">
      <c r="A311">
        <v>69</v>
      </c>
      <c r="B311">
        <v>2</v>
      </c>
      <c r="C311">
        <v>342</v>
      </c>
      <c r="D311">
        <v>0.17461103831937771</v>
      </c>
      <c r="E311">
        <v>7</v>
      </c>
      <c r="F311">
        <v>0</v>
      </c>
      <c r="G311">
        <v>8.7891335856696243E-2</v>
      </c>
      <c r="H311">
        <v>11454.02959200001</v>
      </c>
      <c r="I311">
        <v>63</v>
      </c>
      <c r="J311">
        <v>8020</v>
      </c>
      <c r="K311">
        <v>1</v>
      </c>
      <c r="L311">
        <v>2</v>
      </c>
      <c r="M311">
        <v>2</v>
      </c>
      <c r="N311">
        <v>2</v>
      </c>
    </row>
    <row r="312" spans="1:14">
      <c r="A312">
        <v>70</v>
      </c>
      <c r="B312">
        <v>1</v>
      </c>
      <c r="C312">
        <v>616</v>
      </c>
      <c r="D312">
        <v>0.23315981051350756</v>
      </c>
      <c r="E312">
        <v>16</v>
      </c>
      <c r="F312">
        <v>0</v>
      </c>
      <c r="G312">
        <v>0.17624733376247903</v>
      </c>
      <c r="H312">
        <v>8577.807622999997</v>
      </c>
      <c r="I312">
        <v>67</v>
      </c>
      <c r="J312">
        <v>8020</v>
      </c>
      <c r="K312">
        <v>3</v>
      </c>
      <c r="L312">
        <v>3</v>
      </c>
      <c r="M312">
        <v>4</v>
      </c>
      <c r="N312">
        <v>6</v>
      </c>
    </row>
    <row r="313" spans="1:14">
      <c r="A313">
        <v>70</v>
      </c>
      <c r="B313">
        <v>2</v>
      </c>
      <c r="C313">
        <v>593</v>
      </c>
      <c r="D313">
        <v>0.18835291656971317</v>
      </c>
      <c r="E313">
        <v>9</v>
      </c>
      <c r="F313">
        <v>0</v>
      </c>
      <c r="G313">
        <v>0.10744519721794099</v>
      </c>
      <c r="H313">
        <v>10618.36491</v>
      </c>
      <c r="I313">
        <v>64</v>
      </c>
      <c r="J313">
        <v>8020</v>
      </c>
      <c r="K313">
        <v>2</v>
      </c>
      <c r="L313">
        <v>1</v>
      </c>
      <c r="M313">
        <v>3</v>
      </c>
      <c r="N313">
        <v>3</v>
      </c>
    </row>
    <row r="314" spans="1:14">
      <c r="A314">
        <v>71</v>
      </c>
      <c r="B314">
        <v>1</v>
      </c>
      <c r="C314">
        <v>502</v>
      </c>
      <c r="D314">
        <v>0.22606824294446803</v>
      </c>
      <c r="E314">
        <v>7</v>
      </c>
      <c r="F314">
        <v>0</v>
      </c>
      <c r="G314">
        <v>8.6415475995286831E-2</v>
      </c>
      <c r="H314">
        <v>8846.8861170000109</v>
      </c>
      <c r="I314">
        <v>66</v>
      </c>
      <c r="J314">
        <v>8020</v>
      </c>
      <c r="K314">
        <v>2</v>
      </c>
      <c r="L314">
        <v>1</v>
      </c>
      <c r="M314">
        <v>2</v>
      </c>
      <c r="N314">
        <v>2</v>
      </c>
    </row>
    <row r="315" spans="1:14">
      <c r="A315">
        <v>71</v>
      </c>
      <c r="B315">
        <v>2</v>
      </c>
      <c r="C315">
        <v>283</v>
      </c>
      <c r="D315">
        <v>0.19778012759600211</v>
      </c>
      <c r="E315">
        <v>5</v>
      </c>
      <c r="F315">
        <v>0</v>
      </c>
      <c r="G315">
        <v>6.7163497157054775E-2</v>
      </c>
      <c r="H315">
        <v>10112.239405999997</v>
      </c>
      <c r="I315">
        <v>70</v>
      </c>
      <c r="J315">
        <v>8020</v>
      </c>
      <c r="K315">
        <v>1</v>
      </c>
      <c r="L315">
        <v>1</v>
      </c>
      <c r="M315">
        <v>1</v>
      </c>
      <c r="N315">
        <v>2</v>
      </c>
    </row>
    <row r="316" spans="1:14">
      <c r="A316">
        <v>72</v>
      </c>
      <c r="B316">
        <v>1</v>
      </c>
      <c r="C316">
        <v>466</v>
      </c>
      <c r="D316">
        <v>0.23074080446058304</v>
      </c>
      <c r="E316">
        <v>8</v>
      </c>
      <c r="F316">
        <v>0</v>
      </c>
      <c r="G316">
        <v>9.6303913624857532E-2</v>
      </c>
      <c r="H316">
        <v>8667.7343639999999</v>
      </c>
      <c r="I316">
        <v>69</v>
      </c>
      <c r="J316">
        <v>8020</v>
      </c>
      <c r="K316">
        <v>1</v>
      </c>
      <c r="L316">
        <v>3</v>
      </c>
      <c r="M316">
        <v>1</v>
      </c>
      <c r="N316">
        <v>3</v>
      </c>
    </row>
    <row r="317" spans="1:14">
      <c r="A317">
        <v>72</v>
      </c>
      <c r="B317">
        <v>2</v>
      </c>
      <c r="C317">
        <v>326</v>
      </c>
      <c r="D317">
        <v>0.19986146979958963</v>
      </c>
      <c r="E317">
        <v>5</v>
      </c>
      <c r="F317">
        <v>0</v>
      </c>
      <c r="G317">
        <v>6.7103709346009094E-2</v>
      </c>
      <c r="H317">
        <v>10006.931311000028</v>
      </c>
      <c r="I317">
        <v>71</v>
      </c>
      <c r="J317">
        <v>8020</v>
      </c>
      <c r="K317">
        <v>1</v>
      </c>
      <c r="L317">
        <v>1</v>
      </c>
      <c r="M317">
        <v>1</v>
      </c>
      <c r="N317">
        <v>2</v>
      </c>
    </row>
    <row r="318" spans="1:14">
      <c r="A318">
        <v>73</v>
      </c>
      <c r="B318">
        <v>1</v>
      </c>
      <c r="C318">
        <v>552</v>
      </c>
      <c r="D318">
        <v>0.22488452302023826</v>
      </c>
      <c r="E318">
        <v>8</v>
      </c>
      <c r="F318">
        <v>0</v>
      </c>
      <c r="G318">
        <v>9.6444227539516703E-2</v>
      </c>
      <c r="H318">
        <v>8893.4532850000178</v>
      </c>
      <c r="I318">
        <v>68</v>
      </c>
      <c r="J318">
        <v>8020</v>
      </c>
      <c r="K318">
        <v>1</v>
      </c>
      <c r="L318">
        <v>2</v>
      </c>
      <c r="M318">
        <v>1</v>
      </c>
      <c r="N318">
        <v>4</v>
      </c>
    </row>
    <row r="319" spans="1:14">
      <c r="A319">
        <v>73</v>
      </c>
      <c r="B319">
        <v>2</v>
      </c>
      <c r="C319">
        <v>305</v>
      </c>
      <c r="D319">
        <v>0.19728840423107552</v>
      </c>
      <c r="E319">
        <v>5</v>
      </c>
      <c r="F319">
        <v>0</v>
      </c>
      <c r="G319">
        <v>6.7177744810686835E-2</v>
      </c>
      <c r="H319">
        <v>10137.443241000039</v>
      </c>
      <c r="I319">
        <v>70</v>
      </c>
      <c r="J319">
        <v>8020</v>
      </c>
      <c r="K319">
        <v>1</v>
      </c>
      <c r="L319">
        <v>1</v>
      </c>
      <c r="M319">
        <v>1</v>
      </c>
      <c r="N319">
        <v>2</v>
      </c>
    </row>
    <row r="320" spans="1:14">
      <c r="A320">
        <v>74</v>
      </c>
      <c r="B320">
        <v>1</v>
      </c>
      <c r="C320">
        <v>506</v>
      </c>
      <c r="D320">
        <v>0.21820871869080816</v>
      </c>
      <c r="E320">
        <v>9</v>
      </c>
      <c r="F320">
        <v>0</v>
      </c>
      <c r="G320">
        <v>0.1066102422705292</v>
      </c>
      <c r="H320">
        <v>9165.5366109999904</v>
      </c>
      <c r="I320">
        <v>72</v>
      </c>
      <c r="J320">
        <v>8020</v>
      </c>
      <c r="K320">
        <v>2</v>
      </c>
      <c r="L320">
        <v>1</v>
      </c>
      <c r="M320">
        <v>1</v>
      </c>
      <c r="N320">
        <v>5</v>
      </c>
    </row>
    <row r="321" spans="1:14">
      <c r="A321">
        <v>74</v>
      </c>
      <c r="B321">
        <v>2</v>
      </c>
      <c r="C321">
        <v>447</v>
      </c>
      <c r="D321">
        <v>0.19793621698454861</v>
      </c>
      <c r="E321">
        <v>5</v>
      </c>
      <c r="F321">
        <v>0</v>
      </c>
      <c r="G321">
        <v>6.7158984349272088E-2</v>
      </c>
      <c r="H321">
        <v>10104.265053000003</v>
      </c>
      <c r="I321">
        <v>74</v>
      </c>
      <c r="J321">
        <v>8020</v>
      </c>
      <c r="K321">
        <v>1</v>
      </c>
      <c r="L321">
        <v>1</v>
      </c>
      <c r="M321">
        <v>1</v>
      </c>
      <c r="N321">
        <v>2</v>
      </c>
    </row>
    <row r="322" spans="1:14">
      <c r="A322">
        <v>75</v>
      </c>
      <c r="B322">
        <v>1</v>
      </c>
      <c r="C322">
        <v>345</v>
      </c>
      <c r="D322">
        <v>0.2295468789039237</v>
      </c>
      <c r="E322">
        <v>8</v>
      </c>
      <c r="F322">
        <v>0</v>
      </c>
      <c r="G322">
        <v>9.6332131547029048E-2</v>
      </c>
      <c r="H322">
        <v>8712.8172229999927</v>
      </c>
      <c r="I322">
        <v>69</v>
      </c>
      <c r="J322">
        <v>8020</v>
      </c>
      <c r="K322">
        <v>1</v>
      </c>
      <c r="L322">
        <v>3</v>
      </c>
      <c r="M322">
        <v>1</v>
      </c>
      <c r="N322">
        <v>3</v>
      </c>
    </row>
    <row r="323" spans="1:14">
      <c r="A323">
        <v>75</v>
      </c>
      <c r="B323">
        <v>2</v>
      </c>
      <c r="C323">
        <v>250</v>
      </c>
      <c r="D323">
        <v>0.1999626168488064</v>
      </c>
      <c r="E323">
        <v>5</v>
      </c>
      <c r="F323">
        <v>0</v>
      </c>
      <c r="G323">
        <v>6.7100825004369438E-2</v>
      </c>
      <c r="H323">
        <v>10001.869506999994</v>
      </c>
      <c r="I323">
        <v>69</v>
      </c>
      <c r="J323">
        <v>8020</v>
      </c>
      <c r="K323">
        <v>1</v>
      </c>
      <c r="L323">
        <v>1</v>
      </c>
      <c r="M323">
        <v>1</v>
      </c>
      <c r="N323">
        <v>2</v>
      </c>
    </row>
    <row r="324" spans="1:14">
      <c r="A324">
        <v>76</v>
      </c>
      <c r="B324">
        <v>1</v>
      </c>
      <c r="C324">
        <v>489</v>
      </c>
      <c r="D324">
        <v>0.22992511790597706</v>
      </c>
      <c r="E324">
        <v>8</v>
      </c>
      <c r="F324">
        <v>0</v>
      </c>
      <c r="G324">
        <v>9.6323170891050192E-2</v>
      </c>
      <c r="H324">
        <v>8698.4841769999966</v>
      </c>
      <c r="I324">
        <v>76</v>
      </c>
      <c r="J324">
        <v>8020</v>
      </c>
      <c r="K324">
        <v>2</v>
      </c>
      <c r="L324">
        <v>2</v>
      </c>
      <c r="M324">
        <v>1</v>
      </c>
      <c r="N324">
        <v>3</v>
      </c>
    </row>
    <row r="325" spans="1:14">
      <c r="A325">
        <v>76</v>
      </c>
      <c r="B325">
        <v>2</v>
      </c>
      <c r="C325">
        <v>278</v>
      </c>
      <c r="D325">
        <v>0.19806233490572267</v>
      </c>
      <c r="E325">
        <v>5</v>
      </c>
      <c r="F325">
        <v>0</v>
      </c>
      <c r="G325">
        <v>6.7155341531593429E-2</v>
      </c>
      <c r="H325">
        <v>10097.831073999994</v>
      </c>
      <c r="I325">
        <v>71</v>
      </c>
      <c r="J325">
        <v>8020</v>
      </c>
      <c r="K325">
        <v>1</v>
      </c>
      <c r="L325">
        <v>1</v>
      </c>
      <c r="M325">
        <v>1</v>
      </c>
      <c r="N325">
        <v>2</v>
      </c>
    </row>
    <row r="326" spans="1:14">
      <c r="A326">
        <v>77</v>
      </c>
      <c r="B326">
        <v>1</v>
      </c>
      <c r="C326">
        <v>551</v>
      </c>
      <c r="D326">
        <v>0.2223114334785575</v>
      </c>
      <c r="E326">
        <v>15</v>
      </c>
      <c r="F326">
        <v>0</v>
      </c>
      <c r="G326">
        <v>0.16650742756747683</v>
      </c>
      <c r="H326">
        <v>8996.3883940000105</v>
      </c>
      <c r="I326">
        <v>74</v>
      </c>
      <c r="J326">
        <v>8020</v>
      </c>
      <c r="K326">
        <v>3</v>
      </c>
      <c r="L326">
        <v>1</v>
      </c>
      <c r="M326">
        <v>1</v>
      </c>
      <c r="N326">
        <v>10</v>
      </c>
    </row>
    <row r="327" spans="1:14">
      <c r="A327">
        <v>77</v>
      </c>
      <c r="B327">
        <v>2</v>
      </c>
      <c r="C327">
        <v>400</v>
      </c>
      <c r="D327">
        <v>0.19900480051499173</v>
      </c>
      <c r="E327">
        <v>5</v>
      </c>
      <c r="F327">
        <v>0</v>
      </c>
      <c r="G327">
        <v>6.7128216707554159E-2</v>
      </c>
      <c r="H327">
        <v>10050.008818000011</v>
      </c>
      <c r="I327">
        <v>70</v>
      </c>
      <c r="J327">
        <v>8020</v>
      </c>
      <c r="K327">
        <v>1</v>
      </c>
      <c r="L327">
        <v>1</v>
      </c>
      <c r="M327">
        <v>1</v>
      </c>
      <c r="N327">
        <v>2</v>
      </c>
    </row>
    <row r="328" spans="1:14">
      <c r="A328">
        <v>78</v>
      </c>
      <c r="B328">
        <v>1</v>
      </c>
      <c r="C328">
        <v>615</v>
      </c>
      <c r="D328">
        <v>0.22698487140407164</v>
      </c>
      <c r="E328">
        <v>7</v>
      </c>
      <c r="F328">
        <v>0</v>
      </c>
      <c r="G328">
        <v>8.6393349421436338E-2</v>
      </c>
      <c r="H328">
        <v>8811.1599139999962</v>
      </c>
      <c r="I328">
        <v>73</v>
      </c>
      <c r="J328">
        <v>8020</v>
      </c>
      <c r="K328">
        <v>2</v>
      </c>
      <c r="L328">
        <v>1</v>
      </c>
      <c r="M328">
        <v>2</v>
      </c>
      <c r="N328">
        <v>2</v>
      </c>
    </row>
    <row r="329" spans="1:14">
      <c r="A329">
        <v>78</v>
      </c>
      <c r="B329">
        <v>2</v>
      </c>
      <c r="C329">
        <v>190</v>
      </c>
      <c r="D329">
        <v>0.19913207996198365</v>
      </c>
      <c r="E329">
        <v>5</v>
      </c>
      <c r="F329">
        <v>0</v>
      </c>
      <c r="G329">
        <v>6.7124566643410682E-2</v>
      </c>
      <c r="H329">
        <v>10043.585144000004</v>
      </c>
      <c r="I329">
        <v>70</v>
      </c>
      <c r="J329">
        <v>8020</v>
      </c>
      <c r="K329">
        <v>1</v>
      </c>
      <c r="L329">
        <v>1</v>
      </c>
      <c r="M329">
        <v>1</v>
      </c>
      <c r="N329">
        <v>2</v>
      </c>
    </row>
    <row r="330" spans="1:14">
      <c r="A330">
        <v>79</v>
      </c>
      <c r="B330">
        <v>1</v>
      </c>
      <c r="C330">
        <v>268</v>
      </c>
      <c r="D330">
        <v>0.22227988614437977</v>
      </c>
      <c r="E330">
        <v>16</v>
      </c>
      <c r="F330">
        <v>0</v>
      </c>
      <c r="G330">
        <v>0.17650820847588936</v>
      </c>
      <c r="H330">
        <v>8997.6652169999725</v>
      </c>
      <c r="I330">
        <v>75</v>
      </c>
      <c r="J330">
        <v>8020</v>
      </c>
      <c r="K330">
        <v>3</v>
      </c>
      <c r="L330">
        <v>1</v>
      </c>
      <c r="M330">
        <v>1</v>
      </c>
      <c r="N330">
        <v>11</v>
      </c>
    </row>
    <row r="331" spans="1:14">
      <c r="A331">
        <v>79</v>
      </c>
      <c r="B331">
        <v>2</v>
      </c>
      <c r="C331">
        <v>263</v>
      </c>
      <c r="D331">
        <v>0.19911811395747844</v>
      </c>
      <c r="E331">
        <v>5</v>
      </c>
      <c r="F331">
        <v>0</v>
      </c>
      <c r="G331">
        <v>6.7124967002405014E-2</v>
      </c>
      <c r="H331">
        <v>10044.289593999965</v>
      </c>
      <c r="I331">
        <v>74</v>
      </c>
      <c r="J331">
        <v>8020</v>
      </c>
      <c r="K331">
        <v>1</v>
      </c>
      <c r="L331">
        <v>1</v>
      </c>
      <c r="M331">
        <v>1</v>
      </c>
      <c r="N331">
        <v>2</v>
      </c>
    </row>
    <row r="332" spans="1:14">
      <c r="A332">
        <v>80</v>
      </c>
      <c r="B332">
        <v>1</v>
      </c>
      <c r="C332">
        <v>482</v>
      </c>
      <c r="D332">
        <v>0.22430734358579618</v>
      </c>
      <c r="E332">
        <v>7</v>
      </c>
      <c r="F332">
        <v>0</v>
      </c>
      <c r="G332">
        <v>8.6458320020179724E-2</v>
      </c>
      <c r="H332">
        <v>8916.3375929999911</v>
      </c>
      <c r="I332">
        <v>76</v>
      </c>
      <c r="J332">
        <v>8020</v>
      </c>
      <c r="K332">
        <v>1</v>
      </c>
      <c r="L332">
        <v>2</v>
      </c>
      <c r="M332">
        <v>1</v>
      </c>
      <c r="N332">
        <v>3</v>
      </c>
    </row>
    <row r="333" spans="1:14">
      <c r="A333">
        <v>80</v>
      </c>
      <c r="B333">
        <v>2</v>
      </c>
      <c r="C333">
        <v>243</v>
      </c>
      <c r="D333">
        <v>0.19945357260451421</v>
      </c>
      <c r="E333">
        <v>5</v>
      </c>
      <c r="F333">
        <v>0</v>
      </c>
      <c r="G333">
        <v>6.7115360853871098E-2</v>
      </c>
      <c r="H333">
        <v>10027.396219999993</v>
      </c>
      <c r="I333">
        <v>76</v>
      </c>
      <c r="J333">
        <v>8020</v>
      </c>
      <c r="K333">
        <v>1</v>
      </c>
      <c r="L333">
        <v>1</v>
      </c>
      <c r="M333">
        <v>1</v>
      </c>
      <c r="N333">
        <v>2</v>
      </c>
    </row>
    <row r="344" spans="1:14">
      <c r="A344">
        <v>1</v>
      </c>
      <c r="B344">
        <v>1</v>
      </c>
      <c r="C344">
        <v>788</v>
      </c>
      <c r="D344">
        <v>0.38492230945105993</v>
      </c>
      <c r="E344">
        <v>61</v>
      </c>
      <c r="F344">
        <v>0</v>
      </c>
      <c r="G344">
        <v>0.62374703291129829</v>
      </c>
      <c r="H344">
        <v>5195.853685</v>
      </c>
      <c r="I344">
        <v>61</v>
      </c>
      <c r="J344">
        <v>8020</v>
      </c>
      <c r="K344">
        <v>14</v>
      </c>
      <c r="L344">
        <v>19</v>
      </c>
      <c r="M344">
        <v>13</v>
      </c>
      <c r="N344">
        <v>15</v>
      </c>
    </row>
    <row r="345" spans="1:14">
      <c r="A345">
        <v>1</v>
      </c>
      <c r="B345">
        <v>2</v>
      </c>
      <c r="C345">
        <v>537</v>
      </c>
      <c r="D345">
        <v>0.32438839382009033</v>
      </c>
      <c r="E345">
        <v>28</v>
      </c>
      <c r="F345">
        <v>0</v>
      </c>
      <c r="G345">
        <v>0.29455386127174732</v>
      </c>
      <c r="H345">
        <v>6165.4486970000034</v>
      </c>
      <c r="I345">
        <v>61</v>
      </c>
      <c r="J345">
        <v>8020</v>
      </c>
      <c r="K345">
        <v>7</v>
      </c>
      <c r="L345">
        <v>7</v>
      </c>
      <c r="M345">
        <v>8</v>
      </c>
      <c r="N345">
        <v>6</v>
      </c>
    </row>
    <row r="346" spans="1:14">
      <c r="A346">
        <v>2</v>
      </c>
      <c r="B346">
        <v>1</v>
      </c>
      <c r="C346">
        <v>681</v>
      </c>
      <c r="D346">
        <v>0.37062734305417494</v>
      </c>
      <c r="E346">
        <v>40</v>
      </c>
      <c r="F346">
        <v>0</v>
      </c>
      <c r="G346">
        <v>0.41392154753350247</v>
      </c>
      <c r="H346">
        <v>5396.2559360000005</v>
      </c>
      <c r="I346">
        <v>64</v>
      </c>
      <c r="J346">
        <v>8020</v>
      </c>
      <c r="K346">
        <v>11</v>
      </c>
      <c r="L346">
        <v>10</v>
      </c>
      <c r="M346">
        <v>11</v>
      </c>
      <c r="N346">
        <v>8</v>
      </c>
    </row>
    <row r="347" spans="1:14">
      <c r="A347">
        <v>2</v>
      </c>
      <c r="B347">
        <v>2</v>
      </c>
      <c r="C347">
        <v>705</v>
      </c>
      <c r="D347">
        <v>0.31583053998236077</v>
      </c>
      <c r="E347">
        <v>21</v>
      </c>
      <c r="F347">
        <v>0</v>
      </c>
      <c r="G347">
        <v>0.22468414369438286</v>
      </c>
      <c r="H347">
        <v>6332.5098330000028</v>
      </c>
      <c r="I347">
        <v>64</v>
      </c>
      <c r="J347">
        <v>8020</v>
      </c>
      <c r="K347">
        <v>5</v>
      </c>
      <c r="L347">
        <v>6</v>
      </c>
      <c r="M347">
        <v>5</v>
      </c>
      <c r="N347">
        <v>5</v>
      </c>
    </row>
    <row r="348" spans="1:14">
      <c r="A348">
        <v>3</v>
      </c>
      <c r="B348">
        <v>1</v>
      </c>
      <c r="C348">
        <v>1189</v>
      </c>
      <c r="D348">
        <v>0.40838763072007378</v>
      </c>
      <c r="E348">
        <v>66</v>
      </c>
      <c r="F348">
        <v>0</v>
      </c>
      <c r="G348">
        <v>0.67347852825688392</v>
      </c>
      <c r="H348">
        <v>4897.3079730000072</v>
      </c>
      <c r="I348">
        <v>66</v>
      </c>
      <c r="J348">
        <v>8020</v>
      </c>
      <c r="K348">
        <v>14</v>
      </c>
      <c r="L348">
        <v>17</v>
      </c>
      <c r="M348">
        <v>24</v>
      </c>
      <c r="N348">
        <v>11</v>
      </c>
    </row>
    <row r="349" spans="1:14">
      <c r="A349">
        <v>3</v>
      </c>
      <c r="B349">
        <v>2</v>
      </c>
      <c r="C349">
        <v>802</v>
      </c>
      <c r="D349">
        <v>0.3355229111148807</v>
      </c>
      <c r="E349">
        <v>23</v>
      </c>
      <c r="F349">
        <v>0</v>
      </c>
      <c r="G349">
        <v>0.24439105411437237</v>
      </c>
      <c r="H349">
        <v>5960.8448000000035</v>
      </c>
      <c r="I349">
        <v>66</v>
      </c>
      <c r="J349">
        <v>8020</v>
      </c>
      <c r="K349">
        <v>4</v>
      </c>
      <c r="L349">
        <v>6</v>
      </c>
      <c r="M349">
        <v>8</v>
      </c>
      <c r="N349">
        <v>5</v>
      </c>
    </row>
    <row r="350" spans="1:14">
      <c r="A350">
        <v>4</v>
      </c>
      <c r="B350">
        <v>1</v>
      </c>
      <c r="C350">
        <v>902</v>
      </c>
      <c r="D350">
        <v>0.41671891071650291</v>
      </c>
      <c r="E350">
        <v>89</v>
      </c>
      <c r="F350">
        <v>0</v>
      </c>
      <c r="G350">
        <v>0.90338809946620002</v>
      </c>
      <c r="H350">
        <v>4799.3982240000032</v>
      </c>
      <c r="I350">
        <v>66</v>
      </c>
      <c r="J350">
        <v>8020</v>
      </c>
      <c r="K350">
        <v>34</v>
      </c>
      <c r="L350">
        <v>19</v>
      </c>
      <c r="M350">
        <v>22</v>
      </c>
      <c r="N350">
        <v>14</v>
      </c>
    </row>
    <row r="351" spans="1:14">
      <c r="A351">
        <v>4</v>
      </c>
      <c r="B351">
        <v>2</v>
      </c>
      <c r="C351">
        <v>731</v>
      </c>
      <c r="D351">
        <v>0.344838625323662</v>
      </c>
      <c r="E351">
        <v>29</v>
      </c>
      <c r="F351">
        <v>0</v>
      </c>
      <c r="G351">
        <v>0.3042602792995226</v>
      </c>
      <c r="H351">
        <v>5799.814328000004</v>
      </c>
      <c r="I351">
        <v>66</v>
      </c>
      <c r="J351">
        <v>8020</v>
      </c>
      <c r="K351">
        <v>6</v>
      </c>
      <c r="L351">
        <v>9</v>
      </c>
      <c r="M351">
        <v>8</v>
      </c>
      <c r="N351">
        <v>6</v>
      </c>
    </row>
    <row r="352" spans="1:14">
      <c r="A352">
        <v>5</v>
      </c>
      <c r="B352">
        <v>1</v>
      </c>
      <c r="C352">
        <v>859</v>
      </c>
      <c r="D352">
        <v>0.40072614912262555</v>
      </c>
      <c r="E352">
        <v>66</v>
      </c>
      <c r="F352">
        <v>0</v>
      </c>
      <c r="G352">
        <v>0.67356388520861254</v>
      </c>
      <c r="H352">
        <v>4990.9395840000034</v>
      </c>
      <c r="I352">
        <v>66</v>
      </c>
      <c r="J352">
        <v>8020</v>
      </c>
      <c r="K352">
        <v>22</v>
      </c>
      <c r="L352">
        <v>15</v>
      </c>
      <c r="M352">
        <v>16</v>
      </c>
      <c r="N352">
        <v>13</v>
      </c>
    </row>
    <row r="353" spans="1:14">
      <c r="A353">
        <v>5</v>
      </c>
      <c r="B353">
        <v>2</v>
      </c>
      <c r="C353">
        <v>607</v>
      </c>
      <c r="D353">
        <v>0.31383591150313989</v>
      </c>
      <c r="E353">
        <v>20</v>
      </c>
      <c r="F353">
        <v>0</v>
      </c>
      <c r="G353">
        <v>0.21471518707014062</v>
      </c>
      <c r="H353">
        <v>6372.7569940000003</v>
      </c>
      <c r="I353">
        <v>66</v>
      </c>
      <c r="J353">
        <v>8020</v>
      </c>
      <c r="K353">
        <v>5</v>
      </c>
      <c r="L353">
        <v>5</v>
      </c>
      <c r="M353">
        <v>6</v>
      </c>
      <c r="N353">
        <v>4</v>
      </c>
    </row>
    <row r="354" spans="1:14">
      <c r="A354">
        <v>6</v>
      </c>
      <c r="B354">
        <v>1</v>
      </c>
      <c r="C354">
        <v>1025</v>
      </c>
      <c r="D354">
        <v>0.42622201476651883</v>
      </c>
      <c r="E354">
        <v>61</v>
      </c>
      <c r="F354">
        <v>0</v>
      </c>
      <c r="G354">
        <v>0.62328784970956408</v>
      </c>
      <c r="H354">
        <v>4692.3901879999903</v>
      </c>
      <c r="I354">
        <v>66</v>
      </c>
      <c r="J354">
        <v>8020</v>
      </c>
      <c r="K354">
        <v>14</v>
      </c>
      <c r="L354">
        <v>19</v>
      </c>
      <c r="M354">
        <v>16</v>
      </c>
      <c r="N354">
        <v>12</v>
      </c>
    </row>
    <row r="355" spans="1:14">
      <c r="A355">
        <v>6</v>
      </c>
      <c r="B355">
        <v>2</v>
      </c>
      <c r="C355">
        <v>932</v>
      </c>
      <c r="D355">
        <v>0.33463340256289903</v>
      </c>
      <c r="E355">
        <v>21</v>
      </c>
      <c r="F355">
        <v>0</v>
      </c>
      <c r="G355">
        <v>0.22440379406601099</v>
      </c>
      <c r="H355">
        <v>5976.6896690000094</v>
      </c>
      <c r="I355">
        <v>66</v>
      </c>
      <c r="J355">
        <v>8020</v>
      </c>
      <c r="K355">
        <v>5</v>
      </c>
      <c r="L355">
        <v>7</v>
      </c>
      <c r="M355">
        <v>5</v>
      </c>
      <c r="N355">
        <v>4</v>
      </c>
    </row>
    <row r="356" spans="1:14">
      <c r="A356">
        <v>7</v>
      </c>
      <c r="B356">
        <v>1</v>
      </c>
      <c r="C356">
        <v>1372</v>
      </c>
      <c r="D356">
        <v>0.42558171945455464</v>
      </c>
      <c r="E356">
        <v>154</v>
      </c>
      <c r="F356">
        <v>0</v>
      </c>
      <c r="G356">
        <v>1.5532945103062348</v>
      </c>
      <c r="H356">
        <v>4699.4499729999989</v>
      </c>
      <c r="I356">
        <v>66</v>
      </c>
      <c r="J356">
        <v>8020</v>
      </c>
      <c r="K356">
        <v>31</v>
      </c>
      <c r="L356">
        <v>39</v>
      </c>
      <c r="M356">
        <v>57</v>
      </c>
      <c r="N356">
        <v>27</v>
      </c>
    </row>
    <row r="357" spans="1:14">
      <c r="A357">
        <v>7</v>
      </c>
      <c r="B357">
        <v>2</v>
      </c>
      <c r="C357">
        <v>917</v>
      </c>
      <c r="D357">
        <v>0.33486914621011538</v>
      </c>
      <c r="E357">
        <v>31</v>
      </c>
      <c r="F357">
        <v>0</v>
      </c>
      <c r="G357">
        <v>0.32440041324286695</v>
      </c>
      <c r="H357">
        <v>5972.4821549999997</v>
      </c>
      <c r="I357">
        <v>67</v>
      </c>
      <c r="J357">
        <v>8020</v>
      </c>
      <c r="K357">
        <v>7</v>
      </c>
      <c r="L357">
        <v>8</v>
      </c>
      <c r="M357">
        <v>9</v>
      </c>
      <c r="N357">
        <v>7</v>
      </c>
    </row>
    <row r="358" spans="1:14">
      <c r="A358">
        <v>8</v>
      </c>
      <c r="B358">
        <v>1</v>
      </c>
      <c r="C358">
        <v>724</v>
      </c>
      <c r="D358">
        <v>0.39245032339965075</v>
      </c>
      <c r="E358">
        <v>38</v>
      </c>
      <c r="F358">
        <v>0</v>
      </c>
      <c r="G358">
        <v>0.39365856591603021</v>
      </c>
      <c r="H358">
        <v>5096.1863979999971</v>
      </c>
      <c r="I358">
        <v>66</v>
      </c>
      <c r="J358">
        <v>8020</v>
      </c>
      <c r="K358">
        <v>10</v>
      </c>
      <c r="L358">
        <v>9</v>
      </c>
      <c r="M358">
        <v>10</v>
      </c>
      <c r="N358">
        <v>9</v>
      </c>
    </row>
    <row r="359" spans="1:14">
      <c r="A359">
        <v>8</v>
      </c>
      <c r="B359">
        <v>2</v>
      </c>
      <c r="C359">
        <v>363</v>
      </c>
      <c r="D359">
        <v>0.32343753939822972</v>
      </c>
      <c r="E359">
        <v>19</v>
      </c>
      <c r="F359">
        <v>0</v>
      </c>
      <c r="G359">
        <v>0.20456810932345867</v>
      </c>
      <c r="H359">
        <v>6183.5741260000032</v>
      </c>
      <c r="I359">
        <v>65</v>
      </c>
      <c r="J359">
        <v>8020</v>
      </c>
      <c r="K359">
        <v>4</v>
      </c>
      <c r="L359">
        <v>5</v>
      </c>
      <c r="M359">
        <v>6</v>
      </c>
      <c r="N359">
        <v>4</v>
      </c>
    </row>
    <row r="360" spans="1:14">
      <c r="A360">
        <v>9</v>
      </c>
      <c r="B360">
        <v>1</v>
      </c>
      <c r="C360">
        <v>748</v>
      </c>
      <c r="D360">
        <v>0.400647280297245</v>
      </c>
      <c r="E360">
        <v>62</v>
      </c>
      <c r="F360">
        <v>0</v>
      </c>
      <c r="G360">
        <v>0.63356477518304344</v>
      </c>
      <c r="H360">
        <v>4991.9220680000026</v>
      </c>
      <c r="I360">
        <v>65</v>
      </c>
      <c r="J360">
        <v>8020</v>
      </c>
      <c r="K360">
        <v>16</v>
      </c>
      <c r="L360">
        <v>18</v>
      </c>
      <c r="M360">
        <v>14</v>
      </c>
      <c r="N360">
        <v>14</v>
      </c>
    </row>
    <row r="361" spans="1:14">
      <c r="A361">
        <v>9</v>
      </c>
      <c r="B361">
        <v>2</v>
      </c>
      <c r="C361">
        <v>564</v>
      </c>
      <c r="D361">
        <v>0.33375563183112189</v>
      </c>
      <c r="E361">
        <v>26</v>
      </c>
      <c r="F361">
        <v>0</v>
      </c>
      <c r="G361">
        <v>0.27441641024384184</v>
      </c>
      <c r="H361">
        <v>5992.4082450000024</v>
      </c>
      <c r="I361">
        <v>65</v>
      </c>
      <c r="J361">
        <v>8020</v>
      </c>
      <c r="K361">
        <v>6</v>
      </c>
      <c r="L361">
        <v>7</v>
      </c>
      <c r="M361">
        <v>7</v>
      </c>
      <c r="N361">
        <v>6</v>
      </c>
    </row>
    <row r="362" spans="1:14">
      <c r="A362">
        <v>10</v>
      </c>
      <c r="B362">
        <v>1</v>
      </c>
      <c r="C362">
        <v>1147</v>
      </c>
      <c r="D362">
        <v>0.39252624649072121</v>
      </c>
      <c r="E362">
        <v>60</v>
      </c>
      <c r="F362">
        <v>0</v>
      </c>
      <c r="G362">
        <v>0.61365768523826669</v>
      </c>
      <c r="H362">
        <v>5095.2006849999962</v>
      </c>
      <c r="I362">
        <v>67</v>
      </c>
      <c r="J362">
        <v>8020</v>
      </c>
      <c r="K362">
        <v>15</v>
      </c>
      <c r="L362">
        <v>10</v>
      </c>
      <c r="M362">
        <v>22</v>
      </c>
      <c r="N362">
        <v>13</v>
      </c>
    </row>
    <row r="363" spans="1:14">
      <c r="A363">
        <v>10</v>
      </c>
      <c r="B363">
        <v>2</v>
      </c>
      <c r="C363">
        <v>678</v>
      </c>
      <c r="D363">
        <v>0.3129788558400256</v>
      </c>
      <c r="E363">
        <v>21</v>
      </c>
      <c r="F363">
        <v>0</v>
      </c>
      <c r="G363">
        <v>0.22472860676260342</v>
      </c>
      <c r="H363">
        <v>6390.2080370000131</v>
      </c>
      <c r="I363">
        <v>67</v>
      </c>
      <c r="J363">
        <v>8020</v>
      </c>
      <c r="K363">
        <v>6</v>
      </c>
      <c r="L363">
        <v>5</v>
      </c>
      <c r="M363">
        <v>6</v>
      </c>
      <c r="N363">
        <v>4</v>
      </c>
    </row>
    <row r="364" spans="1:14">
      <c r="A364">
        <v>11</v>
      </c>
      <c r="B364">
        <v>1</v>
      </c>
      <c r="C364">
        <v>906</v>
      </c>
      <c r="D364">
        <v>0.43855443395402866</v>
      </c>
      <c r="E364">
        <v>18</v>
      </c>
      <c r="F364">
        <v>0</v>
      </c>
      <c r="G364">
        <v>0.19316210945138834</v>
      </c>
      <c r="H364">
        <v>4560.4373029999952</v>
      </c>
      <c r="I364">
        <v>66</v>
      </c>
      <c r="J364">
        <v>8020</v>
      </c>
      <c r="K364">
        <v>4</v>
      </c>
      <c r="L364">
        <v>5</v>
      </c>
      <c r="M364">
        <v>5</v>
      </c>
      <c r="N364">
        <v>4</v>
      </c>
    </row>
    <row r="365" spans="1:14">
      <c r="A365">
        <v>11</v>
      </c>
      <c r="B365">
        <v>2</v>
      </c>
      <c r="C365">
        <v>447</v>
      </c>
      <c r="D365">
        <v>0.35586390482813435</v>
      </c>
      <c r="E365">
        <v>9</v>
      </c>
      <c r="F365">
        <v>0</v>
      </c>
      <c r="G365">
        <v>0.10411146230644165</v>
      </c>
      <c r="H365">
        <v>5620.1260450000027</v>
      </c>
      <c r="I365">
        <v>66</v>
      </c>
      <c r="J365">
        <v>8020</v>
      </c>
      <c r="K365">
        <v>2</v>
      </c>
      <c r="L365">
        <v>2</v>
      </c>
      <c r="M365">
        <v>3</v>
      </c>
      <c r="N365">
        <v>2</v>
      </c>
    </row>
    <row r="366" spans="1:14">
      <c r="A366">
        <v>12</v>
      </c>
      <c r="B366">
        <v>1</v>
      </c>
      <c r="C366">
        <v>539</v>
      </c>
      <c r="D366">
        <v>0.43827706721241511</v>
      </c>
      <c r="E366">
        <v>18</v>
      </c>
      <c r="F366">
        <v>0</v>
      </c>
      <c r="G366">
        <v>0.19316488544388613</v>
      </c>
      <c r="H366">
        <v>4563.3234079999929</v>
      </c>
      <c r="I366">
        <v>67</v>
      </c>
      <c r="J366">
        <v>8020</v>
      </c>
      <c r="K366">
        <v>4</v>
      </c>
      <c r="L366">
        <v>5</v>
      </c>
      <c r="M366">
        <v>4</v>
      </c>
      <c r="N366">
        <v>5</v>
      </c>
    </row>
    <row r="367" spans="1:14">
      <c r="A367">
        <v>12</v>
      </c>
      <c r="B367">
        <v>2</v>
      </c>
      <c r="C367">
        <v>522</v>
      </c>
      <c r="D367">
        <v>0.35212431308295472</v>
      </c>
      <c r="E367">
        <v>9</v>
      </c>
      <c r="F367">
        <v>0</v>
      </c>
      <c r="G367">
        <v>0.1041612414981974</v>
      </c>
      <c r="H367">
        <v>5679.812286999997</v>
      </c>
      <c r="I367">
        <v>65</v>
      </c>
      <c r="J367">
        <v>8020</v>
      </c>
      <c r="K367">
        <v>2</v>
      </c>
      <c r="L367">
        <v>2</v>
      </c>
      <c r="M367">
        <v>3</v>
      </c>
      <c r="N367">
        <v>2</v>
      </c>
    </row>
    <row r="368" spans="1:14">
      <c r="A368">
        <v>13</v>
      </c>
      <c r="B368">
        <v>1</v>
      </c>
      <c r="C368">
        <v>598</v>
      </c>
      <c r="D368">
        <v>0.43555677175201818</v>
      </c>
      <c r="E368">
        <v>17</v>
      </c>
      <c r="F368">
        <v>0</v>
      </c>
      <c r="G368">
        <v>0.18319223593865616</v>
      </c>
      <c r="H368">
        <v>4591.8239130000002</v>
      </c>
      <c r="I368">
        <v>66</v>
      </c>
      <c r="J368">
        <v>8020</v>
      </c>
      <c r="K368">
        <v>4</v>
      </c>
      <c r="L368">
        <v>5</v>
      </c>
      <c r="M368">
        <v>4</v>
      </c>
      <c r="N368">
        <v>4</v>
      </c>
    </row>
    <row r="369" spans="1:14">
      <c r="A369">
        <v>13</v>
      </c>
      <c r="B369">
        <v>2</v>
      </c>
      <c r="C369">
        <v>529</v>
      </c>
      <c r="D369">
        <v>0.35396976716007295</v>
      </c>
      <c r="E369">
        <v>9</v>
      </c>
      <c r="F369">
        <v>0</v>
      </c>
      <c r="G369">
        <v>0.1041365882909658</v>
      </c>
      <c r="H369">
        <v>5650.2000610000005</v>
      </c>
      <c r="I369">
        <v>66</v>
      </c>
      <c r="J369">
        <v>8020</v>
      </c>
      <c r="K369">
        <v>2</v>
      </c>
      <c r="L369">
        <v>3</v>
      </c>
      <c r="M369">
        <v>2</v>
      </c>
      <c r="N369">
        <v>2</v>
      </c>
    </row>
    <row r="370" spans="1:14">
      <c r="A370">
        <v>14</v>
      </c>
      <c r="B370">
        <v>1</v>
      </c>
      <c r="C370">
        <v>777</v>
      </c>
      <c r="D370">
        <v>0.4271842270368012</v>
      </c>
      <c r="E370">
        <v>16</v>
      </c>
      <c r="F370">
        <v>0</v>
      </c>
      <c r="G370">
        <v>0.17327786545842258</v>
      </c>
      <c r="H370">
        <v>4681.8208009999944</v>
      </c>
      <c r="I370">
        <v>66</v>
      </c>
      <c r="J370">
        <v>8020</v>
      </c>
      <c r="K370">
        <v>4</v>
      </c>
      <c r="L370">
        <v>4</v>
      </c>
      <c r="M370">
        <v>4</v>
      </c>
      <c r="N370">
        <v>4</v>
      </c>
    </row>
    <row r="371" spans="1:14">
      <c r="A371">
        <v>14</v>
      </c>
      <c r="B371">
        <v>2</v>
      </c>
      <c r="C371">
        <v>596</v>
      </c>
      <c r="D371">
        <v>0.33591993192555702</v>
      </c>
      <c r="E371">
        <v>8</v>
      </c>
      <c r="F371">
        <v>0</v>
      </c>
      <c r="G371">
        <v>9.4385382325911704E-2</v>
      </c>
      <c r="H371">
        <v>5953.7997300000006</v>
      </c>
      <c r="I371">
        <v>65</v>
      </c>
      <c r="J371">
        <v>8020</v>
      </c>
      <c r="K371">
        <v>2</v>
      </c>
      <c r="L371">
        <v>2</v>
      </c>
      <c r="M371">
        <v>2</v>
      </c>
      <c r="N371">
        <v>2</v>
      </c>
    </row>
    <row r="372" spans="1:14">
      <c r="A372">
        <v>15</v>
      </c>
      <c r="B372">
        <v>1</v>
      </c>
      <c r="C372">
        <v>362</v>
      </c>
      <c r="D372">
        <v>0.43710680573622418</v>
      </c>
      <c r="E372">
        <v>17</v>
      </c>
      <c r="F372">
        <v>0</v>
      </c>
      <c r="G372">
        <v>0.18317662371120147</v>
      </c>
      <c r="H372">
        <v>4575.5407459999997</v>
      </c>
      <c r="I372">
        <v>66</v>
      </c>
      <c r="J372">
        <v>8020</v>
      </c>
      <c r="K372">
        <v>4</v>
      </c>
      <c r="L372">
        <v>5</v>
      </c>
      <c r="M372">
        <v>4</v>
      </c>
      <c r="N372">
        <v>4</v>
      </c>
    </row>
    <row r="373" spans="1:14">
      <c r="A373">
        <v>15</v>
      </c>
      <c r="B373">
        <v>2</v>
      </c>
      <c r="C373">
        <v>534</v>
      </c>
      <c r="D373">
        <v>0.3538417704025863</v>
      </c>
      <c r="E373">
        <v>9</v>
      </c>
      <c r="F373">
        <v>0</v>
      </c>
      <c r="G373">
        <v>0.10413829264912784</v>
      </c>
      <c r="H373">
        <v>5652.243933000007</v>
      </c>
      <c r="I373">
        <v>66</v>
      </c>
      <c r="J373">
        <v>8020</v>
      </c>
      <c r="K373">
        <v>2</v>
      </c>
      <c r="L373">
        <v>3</v>
      </c>
      <c r="M373">
        <v>2</v>
      </c>
      <c r="N373">
        <v>2</v>
      </c>
    </row>
    <row r="374" spans="1:14">
      <c r="A374">
        <v>16</v>
      </c>
      <c r="B374">
        <v>1</v>
      </c>
      <c r="C374">
        <v>561</v>
      </c>
      <c r="D374">
        <v>0.43521060038211756</v>
      </c>
      <c r="E374">
        <v>21</v>
      </c>
      <c r="F374">
        <v>0</v>
      </c>
      <c r="G374">
        <v>0.22319573276226032</v>
      </c>
      <c r="H374">
        <v>4595.4763009999933</v>
      </c>
      <c r="I374">
        <v>65</v>
      </c>
      <c r="J374">
        <v>8020</v>
      </c>
      <c r="K374">
        <v>5</v>
      </c>
      <c r="L374">
        <v>6</v>
      </c>
      <c r="M374">
        <v>5</v>
      </c>
      <c r="N374">
        <v>5</v>
      </c>
    </row>
    <row r="375" spans="1:14">
      <c r="A375">
        <v>16</v>
      </c>
      <c r="B375">
        <v>2</v>
      </c>
      <c r="C375">
        <v>530</v>
      </c>
      <c r="D375">
        <v>0.34559482614575282</v>
      </c>
      <c r="E375">
        <v>9</v>
      </c>
      <c r="F375">
        <v>0</v>
      </c>
      <c r="G375">
        <v>0.1042498706659032</v>
      </c>
      <c r="H375">
        <v>5787.1236739999995</v>
      </c>
      <c r="I375">
        <v>65</v>
      </c>
      <c r="J375">
        <v>8020</v>
      </c>
      <c r="K375">
        <v>2</v>
      </c>
      <c r="L375">
        <v>2</v>
      </c>
      <c r="M375">
        <v>3</v>
      </c>
      <c r="N375">
        <v>2</v>
      </c>
    </row>
    <row r="376" spans="1:14">
      <c r="A376">
        <v>17</v>
      </c>
      <c r="B376">
        <v>1</v>
      </c>
      <c r="C376">
        <v>593</v>
      </c>
      <c r="D376">
        <v>0.42963970532677065</v>
      </c>
      <c r="E376">
        <v>16</v>
      </c>
      <c r="F376">
        <v>0</v>
      </c>
      <c r="G376">
        <v>0.17325252188190987</v>
      </c>
      <c r="H376">
        <v>4655.0632429999969</v>
      </c>
      <c r="I376">
        <v>66</v>
      </c>
      <c r="J376">
        <v>8020</v>
      </c>
      <c r="K376">
        <v>4</v>
      </c>
      <c r="L376">
        <v>4</v>
      </c>
      <c r="M376">
        <v>4</v>
      </c>
      <c r="N376">
        <v>4</v>
      </c>
    </row>
    <row r="377" spans="1:14">
      <c r="A377">
        <v>17</v>
      </c>
      <c r="B377">
        <v>2</v>
      </c>
      <c r="C377">
        <v>646</v>
      </c>
      <c r="D377">
        <v>0.33975999384613115</v>
      </c>
      <c r="E377">
        <v>8</v>
      </c>
      <c r="F377">
        <v>0</v>
      </c>
      <c r="G377">
        <v>9.4330980991583699E-2</v>
      </c>
      <c r="H377">
        <v>5886.5082299999985</v>
      </c>
      <c r="I377">
        <v>5780</v>
      </c>
      <c r="J377">
        <v>8020</v>
      </c>
      <c r="K377">
        <v>2</v>
      </c>
      <c r="L377">
        <v>2</v>
      </c>
      <c r="M377">
        <v>2</v>
      </c>
      <c r="N377">
        <v>2</v>
      </c>
    </row>
    <row r="378" spans="1:14">
      <c r="A378">
        <v>18</v>
      </c>
      <c r="B378">
        <v>1</v>
      </c>
      <c r="C378">
        <v>458</v>
      </c>
      <c r="D378">
        <v>0.43766999203701956</v>
      </c>
      <c r="E378">
        <v>19</v>
      </c>
      <c r="F378">
        <v>0</v>
      </c>
      <c r="G378">
        <v>0.20317096946682853</v>
      </c>
      <c r="H378">
        <v>4569.6530179999945</v>
      </c>
      <c r="I378">
        <v>61</v>
      </c>
      <c r="J378">
        <v>8020</v>
      </c>
      <c r="K378">
        <v>5</v>
      </c>
      <c r="L378">
        <v>5</v>
      </c>
      <c r="M378">
        <v>5</v>
      </c>
      <c r="N378">
        <v>4</v>
      </c>
    </row>
    <row r="379" spans="1:14">
      <c r="A379">
        <v>18</v>
      </c>
      <c r="B379">
        <v>2</v>
      </c>
      <c r="C379">
        <v>355</v>
      </c>
      <c r="D379">
        <v>0.34887840074630927</v>
      </c>
      <c r="E379">
        <v>9</v>
      </c>
      <c r="F379">
        <v>0</v>
      </c>
      <c r="G379">
        <v>0.10420502401824512</v>
      </c>
      <c r="H379">
        <v>5732.6564089999993</v>
      </c>
      <c r="I379">
        <v>59</v>
      </c>
      <c r="J379">
        <v>8020</v>
      </c>
      <c r="K379">
        <v>2</v>
      </c>
      <c r="L379">
        <v>2</v>
      </c>
      <c r="M379">
        <v>3</v>
      </c>
      <c r="N379">
        <v>2</v>
      </c>
    </row>
    <row r="380" spans="1:14">
      <c r="A380">
        <v>19</v>
      </c>
      <c r="B380">
        <v>1</v>
      </c>
      <c r="C380">
        <v>547</v>
      </c>
      <c r="D380">
        <v>0.43618421317713918</v>
      </c>
      <c r="E380">
        <v>17</v>
      </c>
      <c r="F380">
        <v>0</v>
      </c>
      <c r="G380">
        <v>0.18318590732246304</v>
      </c>
      <c r="H380">
        <v>4585.218675000001</v>
      </c>
      <c r="I380">
        <v>60</v>
      </c>
      <c r="J380">
        <v>8020</v>
      </c>
      <c r="K380">
        <v>4</v>
      </c>
      <c r="L380">
        <v>4</v>
      </c>
      <c r="M380">
        <v>5</v>
      </c>
      <c r="N380">
        <v>4</v>
      </c>
    </row>
    <row r="381" spans="1:14">
      <c r="A381">
        <v>19</v>
      </c>
      <c r="B381">
        <v>2</v>
      </c>
      <c r="C381">
        <v>465</v>
      </c>
      <c r="D381">
        <v>0.35564741526805449</v>
      </c>
      <c r="E381">
        <v>9</v>
      </c>
      <c r="F381">
        <v>0</v>
      </c>
      <c r="G381">
        <v>0.10411432503365306</v>
      </c>
      <c r="H381">
        <v>5623.5471260000104</v>
      </c>
      <c r="I381">
        <v>62</v>
      </c>
      <c r="J381">
        <v>8020</v>
      </c>
      <c r="K381">
        <v>2</v>
      </c>
      <c r="L381">
        <v>2</v>
      </c>
      <c r="M381">
        <v>3</v>
      </c>
      <c r="N381">
        <v>2</v>
      </c>
    </row>
    <row r="382" spans="1:14">
      <c r="A382">
        <v>20</v>
      </c>
      <c r="B382">
        <v>1</v>
      </c>
      <c r="C382">
        <v>749</v>
      </c>
      <c r="D382">
        <v>0.43867010382327537</v>
      </c>
      <c r="E382">
        <v>18</v>
      </c>
      <c r="F382">
        <v>0</v>
      </c>
      <c r="G382">
        <v>0.19316095247465256</v>
      </c>
      <c r="H382">
        <v>4559.2347930000014</v>
      </c>
      <c r="I382">
        <v>59</v>
      </c>
      <c r="J382">
        <v>8020</v>
      </c>
      <c r="K382">
        <v>4</v>
      </c>
      <c r="L382">
        <v>4</v>
      </c>
      <c r="M382">
        <v>5</v>
      </c>
      <c r="N382">
        <v>5</v>
      </c>
    </row>
    <row r="383" spans="1:14">
      <c r="A383">
        <v>20</v>
      </c>
      <c r="B383">
        <v>2</v>
      </c>
      <c r="C383">
        <v>558</v>
      </c>
      <c r="D383">
        <v>0.35324743992307522</v>
      </c>
      <c r="E383">
        <v>9</v>
      </c>
      <c r="F383">
        <v>0</v>
      </c>
      <c r="G383">
        <v>0.10414621732098288</v>
      </c>
      <c r="H383">
        <v>5661.7537000000029</v>
      </c>
      <c r="I383">
        <v>61</v>
      </c>
      <c r="J383">
        <v>8020</v>
      </c>
      <c r="K383">
        <v>2</v>
      </c>
      <c r="L383">
        <v>3</v>
      </c>
      <c r="M383">
        <v>2</v>
      </c>
      <c r="N383">
        <v>2</v>
      </c>
    </row>
    <row r="384" spans="1:14">
      <c r="A384">
        <v>21</v>
      </c>
      <c r="B384">
        <v>1</v>
      </c>
      <c r="C384">
        <v>1000</v>
      </c>
      <c r="D384">
        <v>0.23626968348128671</v>
      </c>
      <c r="E384">
        <v>15</v>
      </c>
      <c r="F384">
        <v>0</v>
      </c>
      <c r="G384">
        <v>0.16617573413293008</v>
      </c>
      <c r="H384">
        <v>8464.9032009999974</v>
      </c>
      <c r="I384">
        <v>57</v>
      </c>
      <c r="J384">
        <v>8020</v>
      </c>
      <c r="K384">
        <v>5</v>
      </c>
      <c r="L384">
        <v>4</v>
      </c>
      <c r="M384">
        <v>4</v>
      </c>
      <c r="N384">
        <v>2</v>
      </c>
    </row>
    <row r="385" spans="1:14">
      <c r="A385">
        <v>21</v>
      </c>
      <c r="B385">
        <v>2</v>
      </c>
      <c r="C385">
        <v>226</v>
      </c>
      <c r="D385">
        <v>0.18449229929497862</v>
      </c>
      <c r="E385">
        <v>8</v>
      </c>
      <c r="F385">
        <v>0</v>
      </c>
      <c r="G385">
        <v>9.7566042082966847E-2</v>
      </c>
      <c r="H385">
        <v>10840.560867000017</v>
      </c>
      <c r="I385">
        <v>60</v>
      </c>
      <c r="J385">
        <v>8020</v>
      </c>
      <c r="K385">
        <v>3</v>
      </c>
      <c r="L385">
        <v>1</v>
      </c>
      <c r="M385">
        <v>3</v>
      </c>
      <c r="N385">
        <v>1</v>
      </c>
    </row>
    <row r="386" spans="1:14">
      <c r="A386">
        <v>22</v>
      </c>
      <c r="B386">
        <v>1</v>
      </c>
      <c r="C386">
        <v>332</v>
      </c>
      <c r="D386">
        <v>0.21049087776686207</v>
      </c>
      <c r="E386">
        <v>13</v>
      </c>
      <c r="F386">
        <v>0</v>
      </c>
      <c r="G386">
        <v>0.14681082034545942</v>
      </c>
      <c r="H386">
        <v>9501.5994100000062</v>
      </c>
      <c r="I386">
        <v>59</v>
      </c>
      <c r="J386">
        <v>8020</v>
      </c>
      <c r="K386">
        <v>5</v>
      </c>
      <c r="L386">
        <v>3</v>
      </c>
      <c r="M386">
        <v>3</v>
      </c>
      <c r="N386">
        <v>2</v>
      </c>
    </row>
    <row r="387" spans="1:14">
      <c r="A387">
        <v>22</v>
      </c>
      <c r="B387">
        <v>2</v>
      </c>
      <c r="C387">
        <v>430</v>
      </c>
      <c r="D387">
        <v>0.17071898768237401</v>
      </c>
      <c r="E387">
        <v>7</v>
      </c>
      <c r="F387">
        <v>0</v>
      </c>
      <c r="G387">
        <v>8.8026277721038187E-2</v>
      </c>
      <c r="H387">
        <v>11715.158502000017</v>
      </c>
      <c r="I387">
        <v>59</v>
      </c>
      <c r="J387">
        <v>8020</v>
      </c>
      <c r="K387">
        <v>2</v>
      </c>
      <c r="L387">
        <v>2</v>
      </c>
      <c r="M387">
        <v>2</v>
      </c>
      <c r="N387">
        <v>1</v>
      </c>
    </row>
    <row r="388" spans="1:14">
      <c r="A388">
        <v>23</v>
      </c>
      <c r="B388">
        <v>1</v>
      </c>
      <c r="C388">
        <v>404</v>
      </c>
      <c r="D388">
        <v>0.230605536573252</v>
      </c>
      <c r="E388">
        <v>15</v>
      </c>
      <c r="F388">
        <v>0</v>
      </c>
      <c r="G388">
        <v>0.16630710083494946</v>
      </c>
      <c r="H388">
        <v>8672.818657000018</v>
      </c>
      <c r="I388">
        <v>60</v>
      </c>
      <c r="J388">
        <v>8020</v>
      </c>
      <c r="K388">
        <v>6</v>
      </c>
      <c r="L388">
        <v>3</v>
      </c>
      <c r="M388">
        <v>3</v>
      </c>
      <c r="N388">
        <v>3</v>
      </c>
    </row>
    <row r="389" spans="1:14">
      <c r="A389">
        <v>23</v>
      </c>
      <c r="B389">
        <v>2</v>
      </c>
      <c r="C389">
        <v>128</v>
      </c>
      <c r="D389">
        <v>0.17935153516004343</v>
      </c>
      <c r="E389">
        <v>8</v>
      </c>
      <c r="F389">
        <v>0</v>
      </c>
      <c r="G389">
        <v>9.7732295794674073E-2</v>
      </c>
      <c r="H389">
        <v>11151.284533000011</v>
      </c>
      <c r="I389">
        <v>59</v>
      </c>
      <c r="J389">
        <v>8020</v>
      </c>
      <c r="K389">
        <v>3</v>
      </c>
      <c r="L389">
        <v>1</v>
      </c>
      <c r="M389">
        <v>3</v>
      </c>
      <c r="N389">
        <v>1</v>
      </c>
    </row>
    <row r="390" spans="1:14">
      <c r="A390">
        <v>24</v>
      </c>
      <c r="B390">
        <v>1</v>
      </c>
      <c r="C390">
        <v>449</v>
      </c>
      <c r="D390">
        <v>0.23095618009685998</v>
      </c>
      <c r="E390">
        <v>17</v>
      </c>
      <c r="F390">
        <v>0</v>
      </c>
      <c r="G390">
        <v>0.18629884403710953</v>
      </c>
      <c r="H390">
        <v>8659.6513639999866</v>
      </c>
      <c r="I390">
        <v>58</v>
      </c>
      <c r="J390">
        <v>8020</v>
      </c>
      <c r="K390">
        <v>7</v>
      </c>
      <c r="L390">
        <v>4</v>
      </c>
      <c r="M390">
        <v>3</v>
      </c>
      <c r="N390">
        <v>3</v>
      </c>
    </row>
    <row r="391" spans="1:14">
      <c r="A391">
        <v>24</v>
      </c>
      <c r="B391">
        <v>2</v>
      </c>
      <c r="C391">
        <v>315</v>
      </c>
      <c r="D391">
        <v>0.18093441313813799</v>
      </c>
      <c r="E391">
        <v>8</v>
      </c>
      <c r="F391">
        <v>0</v>
      </c>
      <c r="G391">
        <v>9.7680434810119593E-2</v>
      </c>
      <c r="H391">
        <v>11053.729168000009</v>
      </c>
      <c r="I391">
        <v>62</v>
      </c>
      <c r="J391">
        <v>8020</v>
      </c>
      <c r="K391">
        <v>3</v>
      </c>
      <c r="L391">
        <v>2</v>
      </c>
      <c r="M391">
        <v>2</v>
      </c>
      <c r="N391">
        <v>1</v>
      </c>
    </row>
    <row r="392" spans="1:14">
      <c r="A392">
        <v>25</v>
      </c>
      <c r="B392">
        <v>1</v>
      </c>
      <c r="C392">
        <v>724</v>
      </c>
      <c r="D392">
        <v>0.20114698421553065</v>
      </c>
      <c r="E392">
        <v>12</v>
      </c>
      <c r="F392">
        <v>0</v>
      </c>
      <c r="G392">
        <v>0.13706719529928338</v>
      </c>
      <c r="H392">
        <v>9942.9778069999975</v>
      </c>
      <c r="I392">
        <v>59</v>
      </c>
      <c r="J392">
        <v>8020</v>
      </c>
      <c r="K392">
        <v>5</v>
      </c>
      <c r="L392">
        <v>3</v>
      </c>
      <c r="M392">
        <v>2</v>
      </c>
      <c r="N392">
        <v>2</v>
      </c>
    </row>
    <row r="393" spans="1:14">
      <c r="A393">
        <v>25</v>
      </c>
      <c r="B393">
        <v>2</v>
      </c>
      <c r="C393">
        <v>186</v>
      </c>
      <c r="D393">
        <v>0.16162244925838404</v>
      </c>
      <c r="E393">
        <v>7</v>
      </c>
      <c r="F393">
        <v>0</v>
      </c>
      <c r="G393">
        <v>8.8358313082796791E-2</v>
      </c>
      <c r="H393">
        <v>12374.518571999995</v>
      </c>
      <c r="I393">
        <v>60</v>
      </c>
      <c r="J393">
        <v>8020</v>
      </c>
      <c r="K393">
        <v>3</v>
      </c>
      <c r="L393">
        <v>1</v>
      </c>
      <c r="M393">
        <v>2</v>
      </c>
      <c r="N393">
        <v>1</v>
      </c>
    </row>
    <row r="394" spans="1:14">
      <c r="A394">
        <v>26</v>
      </c>
      <c r="B394">
        <v>1</v>
      </c>
      <c r="C394">
        <v>271</v>
      </c>
      <c r="D394">
        <v>0.20429968080596841</v>
      </c>
      <c r="E394">
        <v>12</v>
      </c>
      <c r="F394">
        <v>0</v>
      </c>
      <c r="G394">
        <v>0.13697894770203997</v>
      </c>
      <c r="H394">
        <v>9789.540503000002</v>
      </c>
      <c r="I394">
        <v>60</v>
      </c>
      <c r="J394">
        <v>8020</v>
      </c>
      <c r="K394">
        <v>4</v>
      </c>
      <c r="L394">
        <v>3</v>
      </c>
      <c r="M394">
        <v>3</v>
      </c>
      <c r="N394">
        <v>2</v>
      </c>
    </row>
    <row r="395" spans="1:14">
      <c r="A395">
        <v>26</v>
      </c>
      <c r="B395">
        <v>2</v>
      </c>
      <c r="C395">
        <v>241</v>
      </c>
      <c r="D395">
        <v>0.16304524972535511</v>
      </c>
      <c r="E395">
        <v>7</v>
      </c>
      <c r="F395">
        <v>0</v>
      </c>
      <c r="G395">
        <v>8.8304756241804366E-2</v>
      </c>
      <c r="H395">
        <v>12266.533390999986</v>
      </c>
      <c r="I395">
        <v>62</v>
      </c>
      <c r="J395">
        <v>8020</v>
      </c>
      <c r="K395">
        <v>3</v>
      </c>
      <c r="L395">
        <v>1</v>
      </c>
      <c r="M395">
        <v>2</v>
      </c>
      <c r="N395">
        <v>1</v>
      </c>
    </row>
    <row r="396" spans="1:14">
      <c r="A396">
        <v>27</v>
      </c>
      <c r="B396">
        <v>1</v>
      </c>
      <c r="C396">
        <v>201</v>
      </c>
      <c r="D396">
        <v>0.21403740656263526</v>
      </c>
      <c r="E396">
        <v>17</v>
      </c>
      <c r="F396">
        <v>0</v>
      </c>
      <c r="G396">
        <v>0.18671745283642147</v>
      </c>
      <c r="H396">
        <v>9344.1610609999898</v>
      </c>
      <c r="I396">
        <v>57</v>
      </c>
      <c r="J396">
        <v>8020</v>
      </c>
      <c r="K396">
        <v>9</v>
      </c>
      <c r="L396">
        <v>1</v>
      </c>
      <c r="M396">
        <v>5</v>
      </c>
      <c r="N396">
        <v>2</v>
      </c>
    </row>
    <row r="397" spans="1:14">
      <c r="A397">
        <v>27</v>
      </c>
      <c r="B397">
        <v>2</v>
      </c>
      <c r="C397">
        <v>256</v>
      </c>
      <c r="D397">
        <v>0.1687264050263951</v>
      </c>
      <c r="E397">
        <v>7</v>
      </c>
      <c r="F397">
        <v>0</v>
      </c>
      <c r="G397">
        <v>8.8096960934767723E-2</v>
      </c>
      <c r="H397">
        <v>11853.50923400001</v>
      </c>
      <c r="I397">
        <v>60</v>
      </c>
      <c r="J397">
        <v>8020</v>
      </c>
      <c r="K397">
        <v>3</v>
      </c>
      <c r="L397">
        <v>1</v>
      </c>
      <c r="M397">
        <v>2</v>
      </c>
      <c r="N397">
        <v>1</v>
      </c>
    </row>
    <row r="398" spans="1:14">
      <c r="A398">
        <v>28</v>
      </c>
      <c r="B398">
        <v>1</v>
      </c>
      <c r="C398">
        <v>573</v>
      </c>
      <c r="D398">
        <v>0.22260986455295678</v>
      </c>
      <c r="E398">
        <v>17</v>
      </c>
      <c r="F398">
        <v>0</v>
      </c>
      <c r="G398">
        <v>0.1865000476423479</v>
      </c>
      <c r="H398">
        <v>8984.3278239999963</v>
      </c>
      <c r="I398">
        <v>57</v>
      </c>
      <c r="J398">
        <v>8020</v>
      </c>
      <c r="K398">
        <v>7</v>
      </c>
      <c r="L398">
        <v>4</v>
      </c>
      <c r="M398">
        <v>3</v>
      </c>
      <c r="N398">
        <v>3</v>
      </c>
    </row>
    <row r="399" spans="1:14">
      <c r="A399">
        <v>28</v>
      </c>
      <c r="B399">
        <v>2</v>
      </c>
      <c r="C399">
        <v>118</v>
      </c>
      <c r="D399">
        <v>0.12747337937263933</v>
      </c>
      <c r="E399">
        <v>4</v>
      </c>
      <c r="F399">
        <v>0</v>
      </c>
      <c r="G399">
        <v>5.9869800206222609E-2</v>
      </c>
      <c r="H399">
        <v>15689.550318999989</v>
      </c>
      <c r="I399">
        <v>55</v>
      </c>
      <c r="J399">
        <v>8020</v>
      </c>
      <c r="K399">
        <v>1</v>
      </c>
      <c r="L399">
        <v>1</v>
      </c>
      <c r="M399">
        <v>1</v>
      </c>
      <c r="N399">
        <v>1</v>
      </c>
    </row>
    <row r="400" spans="1:14">
      <c r="A400">
        <v>29</v>
      </c>
      <c r="B400">
        <v>1</v>
      </c>
      <c r="C400">
        <v>388</v>
      </c>
      <c r="D400">
        <v>0.22101488081931875</v>
      </c>
      <c r="E400">
        <v>14</v>
      </c>
      <c r="F400">
        <v>0</v>
      </c>
      <c r="G400">
        <v>0.15653964415070465</v>
      </c>
      <c r="H400">
        <v>9049.1644389999892</v>
      </c>
      <c r="I400">
        <v>59</v>
      </c>
      <c r="J400">
        <v>8020</v>
      </c>
      <c r="K400">
        <v>5</v>
      </c>
      <c r="L400">
        <v>3</v>
      </c>
      <c r="M400">
        <v>4</v>
      </c>
      <c r="N400">
        <v>2</v>
      </c>
    </row>
    <row r="401" spans="1:14">
      <c r="A401">
        <v>29</v>
      </c>
      <c r="B401">
        <v>2</v>
      </c>
      <c r="C401">
        <v>282</v>
      </c>
      <c r="D401">
        <v>0.16984068574782912</v>
      </c>
      <c r="E401">
        <v>7</v>
      </c>
      <c r="F401">
        <v>0</v>
      </c>
      <c r="G401">
        <v>8.8057297577390017E-2</v>
      </c>
      <c r="H401">
        <v>11775.741431999981</v>
      </c>
      <c r="I401">
        <v>61</v>
      </c>
      <c r="J401">
        <v>8020</v>
      </c>
      <c r="K401">
        <v>3</v>
      </c>
      <c r="L401">
        <v>1</v>
      </c>
      <c r="M401">
        <v>2</v>
      </c>
      <c r="N401">
        <v>1</v>
      </c>
    </row>
    <row r="402" spans="1:14">
      <c r="A402">
        <v>30</v>
      </c>
      <c r="B402">
        <v>1</v>
      </c>
      <c r="C402">
        <v>537</v>
      </c>
      <c r="D402">
        <v>0.20127584958954028</v>
      </c>
      <c r="E402">
        <v>12</v>
      </c>
      <c r="F402">
        <v>0</v>
      </c>
      <c r="G402">
        <v>0.1370635521398185</v>
      </c>
      <c r="H402">
        <v>9936.6118889999907</v>
      </c>
      <c r="I402">
        <v>62</v>
      </c>
      <c r="J402">
        <v>8020</v>
      </c>
      <c r="K402">
        <v>5</v>
      </c>
      <c r="L402">
        <v>3</v>
      </c>
      <c r="M402">
        <v>2</v>
      </c>
      <c r="N402">
        <v>2</v>
      </c>
    </row>
    <row r="403" spans="1:14">
      <c r="A403">
        <v>30</v>
      </c>
      <c r="B403">
        <v>2</v>
      </c>
      <c r="C403">
        <v>549</v>
      </c>
      <c r="D403">
        <v>0.16352471446764788</v>
      </c>
      <c r="E403">
        <v>7</v>
      </c>
      <c r="F403">
        <v>0</v>
      </c>
      <c r="G403">
        <v>8.8286848496180875E-2</v>
      </c>
      <c r="H403">
        <v>12230.567144000026</v>
      </c>
      <c r="I403">
        <v>62</v>
      </c>
      <c r="J403">
        <v>8020</v>
      </c>
      <c r="K403">
        <v>2</v>
      </c>
      <c r="L403">
        <v>2</v>
      </c>
      <c r="M403">
        <v>2</v>
      </c>
      <c r="N403">
        <v>1</v>
      </c>
    </row>
    <row r="404" spans="1:14">
      <c r="A404">
        <v>31</v>
      </c>
      <c r="B404">
        <v>1</v>
      </c>
      <c r="C404">
        <v>249</v>
      </c>
      <c r="D404">
        <v>0.22789715213240713</v>
      </c>
      <c r="E404">
        <v>7</v>
      </c>
      <c r="F404">
        <v>0</v>
      </c>
      <c r="G404">
        <v>8.6371445773677044E-2</v>
      </c>
      <c r="H404">
        <v>8775.8885150000024</v>
      </c>
      <c r="I404">
        <v>60</v>
      </c>
      <c r="J404">
        <v>8020</v>
      </c>
      <c r="K404">
        <v>2</v>
      </c>
      <c r="L404">
        <v>2</v>
      </c>
      <c r="M404">
        <v>2</v>
      </c>
      <c r="N404">
        <v>1</v>
      </c>
    </row>
    <row r="405" spans="1:14">
      <c r="A405">
        <v>31</v>
      </c>
      <c r="B405">
        <v>2</v>
      </c>
      <c r="C405">
        <v>39</v>
      </c>
      <c r="D405">
        <v>0.19611461011514986</v>
      </c>
      <c r="E405">
        <v>5</v>
      </c>
      <c r="F405">
        <v>0</v>
      </c>
      <c r="G405">
        <v>6.7211947671102987E-2</v>
      </c>
      <c r="H405">
        <v>10198.118329000008</v>
      </c>
      <c r="I405">
        <v>58</v>
      </c>
      <c r="J405">
        <v>8020</v>
      </c>
      <c r="K405">
        <v>2</v>
      </c>
      <c r="L405">
        <v>1</v>
      </c>
      <c r="M405">
        <v>1</v>
      </c>
      <c r="N405">
        <v>1</v>
      </c>
    </row>
    <row r="406" spans="1:14">
      <c r="A406">
        <v>32</v>
      </c>
      <c r="B406">
        <v>1</v>
      </c>
      <c r="C406">
        <v>177</v>
      </c>
      <c r="D406">
        <v>0.22974135789607322</v>
      </c>
      <c r="E406">
        <v>7</v>
      </c>
      <c r="F406">
        <v>0</v>
      </c>
      <c r="G406">
        <v>8.6327521793433434E-2</v>
      </c>
      <c r="H406">
        <v>8705.4417120000162</v>
      </c>
      <c r="I406">
        <v>59</v>
      </c>
      <c r="J406">
        <v>8020</v>
      </c>
      <c r="K406">
        <v>2</v>
      </c>
      <c r="L406">
        <v>2</v>
      </c>
      <c r="M406">
        <v>2</v>
      </c>
      <c r="N406">
        <v>1</v>
      </c>
    </row>
    <row r="407" spans="1:14">
      <c r="A407">
        <v>32</v>
      </c>
      <c r="B407">
        <v>2</v>
      </c>
      <c r="C407">
        <v>39</v>
      </c>
      <c r="D407">
        <v>0.19676080670443652</v>
      </c>
      <c r="E407">
        <v>5</v>
      </c>
      <c r="F407">
        <v>0</v>
      </c>
      <c r="G407">
        <v>6.7193084666513317E-2</v>
      </c>
      <c r="H407">
        <v>10164.625940999989</v>
      </c>
      <c r="I407">
        <v>58</v>
      </c>
      <c r="J407">
        <v>8020</v>
      </c>
      <c r="K407">
        <v>2</v>
      </c>
      <c r="L407">
        <v>1</v>
      </c>
      <c r="M407">
        <v>1</v>
      </c>
      <c r="N407">
        <v>1</v>
      </c>
    </row>
    <row r="408" spans="1:14">
      <c r="A408">
        <v>33</v>
      </c>
      <c r="B408">
        <v>1</v>
      </c>
      <c r="C408">
        <v>65</v>
      </c>
      <c r="D408">
        <v>0.23247996574050636</v>
      </c>
      <c r="E408">
        <v>7</v>
      </c>
      <c r="F408">
        <v>0</v>
      </c>
      <c r="G408">
        <v>8.6263155793069327E-2</v>
      </c>
      <c r="H408">
        <v>8602.8918389999926</v>
      </c>
      <c r="I408">
        <v>58</v>
      </c>
      <c r="J408">
        <v>8020</v>
      </c>
      <c r="K408">
        <v>2</v>
      </c>
      <c r="L408">
        <v>2</v>
      </c>
      <c r="M408">
        <v>2</v>
      </c>
      <c r="N408">
        <v>1</v>
      </c>
    </row>
    <row r="409" spans="1:14">
      <c r="A409">
        <v>33</v>
      </c>
      <c r="B409">
        <v>2</v>
      </c>
      <c r="C409">
        <v>21</v>
      </c>
      <c r="D409">
        <v>0.19944760468852724</v>
      </c>
      <c r="E409">
        <v>5</v>
      </c>
      <c r="F409">
        <v>0</v>
      </c>
      <c r="G409">
        <v>6.7115531562057948E-2</v>
      </c>
      <c r="H409">
        <v>10027.696262000009</v>
      </c>
      <c r="I409">
        <v>58</v>
      </c>
      <c r="J409">
        <v>8020</v>
      </c>
      <c r="K409">
        <v>2</v>
      </c>
      <c r="L409">
        <v>1</v>
      </c>
      <c r="M409">
        <v>1</v>
      </c>
      <c r="N409">
        <v>1</v>
      </c>
    </row>
    <row r="410" spans="1:14">
      <c r="A410">
        <v>34</v>
      </c>
      <c r="B410">
        <v>1</v>
      </c>
      <c r="C410">
        <v>132</v>
      </c>
      <c r="D410">
        <v>0.22345952615968845</v>
      </c>
      <c r="E410">
        <v>7</v>
      </c>
      <c r="F410">
        <v>0</v>
      </c>
      <c r="G410">
        <v>8.6479108334576116E-2</v>
      </c>
      <c r="H410">
        <v>8950.1666559999849</v>
      </c>
      <c r="I410">
        <v>57</v>
      </c>
      <c r="J410">
        <v>8020</v>
      </c>
      <c r="K410">
        <v>2</v>
      </c>
      <c r="L410">
        <v>2</v>
      </c>
      <c r="M410">
        <v>1</v>
      </c>
      <c r="N410">
        <v>2</v>
      </c>
    </row>
    <row r="411" spans="1:14">
      <c r="A411">
        <v>34</v>
      </c>
      <c r="B411">
        <v>2</v>
      </c>
      <c r="C411">
        <v>42</v>
      </c>
      <c r="D411">
        <v>0.1967365447989749</v>
      </c>
      <c r="E411">
        <v>5</v>
      </c>
      <c r="F411">
        <v>0</v>
      </c>
      <c r="G411">
        <v>6.7193791398196895E-2</v>
      </c>
      <c r="H411">
        <v>10165.879460999973</v>
      </c>
      <c r="I411">
        <v>59</v>
      </c>
      <c r="J411">
        <v>8020</v>
      </c>
      <c r="K411">
        <v>2</v>
      </c>
      <c r="L411">
        <v>1</v>
      </c>
      <c r="M411">
        <v>1</v>
      </c>
      <c r="N411">
        <v>1</v>
      </c>
    </row>
    <row r="412" spans="1:14">
      <c r="A412">
        <v>35</v>
      </c>
      <c r="B412">
        <v>1</v>
      </c>
      <c r="C412">
        <v>51</v>
      </c>
      <c r="D412">
        <v>0.23152862853506134</v>
      </c>
      <c r="E412">
        <v>7</v>
      </c>
      <c r="F412">
        <v>0</v>
      </c>
      <c r="G412">
        <v>8.6285400130194284E-2</v>
      </c>
      <c r="H412">
        <v>8638.2406040000005</v>
      </c>
      <c r="I412">
        <v>59</v>
      </c>
      <c r="J412">
        <v>8020</v>
      </c>
      <c r="K412">
        <v>2</v>
      </c>
      <c r="L412">
        <v>2</v>
      </c>
      <c r="M412">
        <v>2</v>
      </c>
      <c r="N412">
        <v>1</v>
      </c>
    </row>
    <row r="413" spans="1:14">
      <c r="A413">
        <v>35</v>
      </c>
      <c r="B413">
        <v>2</v>
      </c>
      <c r="C413">
        <v>68</v>
      </c>
      <c r="D413">
        <v>0.19876609609187842</v>
      </c>
      <c r="E413">
        <v>5</v>
      </c>
      <c r="F413">
        <v>0</v>
      </c>
      <c r="G413">
        <v>6.7135070568378433E-2</v>
      </c>
      <c r="H413">
        <v>10062.07818799999</v>
      </c>
      <c r="I413">
        <v>59</v>
      </c>
      <c r="J413">
        <v>8020</v>
      </c>
      <c r="K413">
        <v>2</v>
      </c>
      <c r="L413">
        <v>1</v>
      </c>
      <c r="M413">
        <v>1</v>
      </c>
      <c r="N413">
        <v>1</v>
      </c>
    </row>
    <row r="414" spans="1:14">
      <c r="A414">
        <v>36</v>
      </c>
      <c r="B414">
        <v>1</v>
      </c>
      <c r="C414">
        <v>49</v>
      </c>
      <c r="D414">
        <v>0.23147507230108855</v>
      </c>
      <c r="E414">
        <v>7</v>
      </c>
      <c r="F414">
        <v>0</v>
      </c>
      <c r="G414">
        <v>8.6286656014084334E-2</v>
      </c>
      <c r="H414">
        <v>8640.2392279999931</v>
      </c>
      <c r="I414">
        <v>59</v>
      </c>
      <c r="J414">
        <v>8020</v>
      </c>
      <c r="K414">
        <v>2</v>
      </c>
      <c r="L414">
        <v>2</v>
      </c>
      <c r="M414">
        <v>2</v>
      </c>
      <c r="N414">
        <v>1</v>
      </c>
    </row>
    <row r="415" spans="1:14">
      <c r="A415">
        <v>36</v>
      </c>
      <c r="B415">
        <v>2</v>
      </c>
      <c r="C415">
        <v>25</v>
      </c>
      <c r="D415">
        <v>0.19754102268365309</v>
      </c>
      <c r="E415">
        <v>5</v>
      </c>
      <c r="F415">
        <v>0</v>
      </c>
      <c r="G415">
        <v>6.7170419300371431E-2</v>
      </c>
      <c r="H415">
        <v>10124.479324999991</v>
      </c>
      <c r="I415">
        <v>59</v>
      </c>
      <c r="J415">
        <v>8020</v>
      </c>
      <c r="K415">
        <v>2</v>
      </c>
      <c r="L415">
        <v>1</v>
      </c>
      <c r="M415">
        <v>1</v>
      </c>
      <c r="N415">
        <v>1</v>
      </c>
    </row>
    <row r="416" spans="1:14">
      <c r="A416">
        <v>37</v>
      </c>
      <c r="B416">
        <v>1</v>
      </c>
      <c r="C416">
        <v>177</v>
      </c>
      <c r="D416">
        <v>0.23274032674119607</v>
      </c>
      <c r="E416">
        <v>7</v>
      </c>
      <c r="F416">
        <v>0</v>
      </c>
      <c r="G416">
        <v>8.6257089130004239E-2</v>
      </c>
      <c r="H416">
        <v>8593.2679909999933</v>
      </c>
      <c r="I416">
        <v>58</v>
      </c>
      <c r="J416">
        <v>8020</v>
      </c>
      <c r="K416">
        <v>2</v>
      </c>
      <c r="L416">
        <v>2</v>
      </c>
      <c r="M416">
        <v>2</v>
      </c>
      <c r="N416">
        <v>1</v>
      </c>
    </row>
    <row r="417" spans="1:14">
      <c r="A417">
        <v>37</v>
      </c>
      <c r="B417">
        <v>2</v>
      </c>
      <c r="C417">
        <v>39</v>
      </c>
      <c r="D417">
        <v>0.20126735227949458</v>
      </c>
      <c r="E417">
        <v>5</v>
      </c>
      <c r="F417">
        <v>0</v>
      </c>
      <c r="G417">
        <v>6.7063792271912961E-2</v>
      </c>
      <c r="H417">
        <v>9937.0314029999936</v>
      </c>
      <c r="I417">
        <v>58</v>
      </c>
      <c r="J417">
        <v>8020</v>
      </c>
      <c r="K417">
        <v>2</v>
      </c>
      <c r="L417">
        <v>1</v>
      </c>
      <c r="M417">
        <v>1</v>
      </c>
      <c r="N417">
        <v>1</v>
      </c>
    </row>
    <row r="418" spans="1:14">
      <c r="A418">
        <v>38</v>
      </c>
      <c r="B418">
        <v>1</v>
      </c>
      <c r="C418">
        <v>124</v>
      </c>
      <c r="D418">
        <v>0.23239101472597712</v>
      </c>
      <c r="E418">
        <v>7</v>
      </c>
      <c r="F418">
        <v>0</v>
      </c>
      <c r="G418">
        <v>8.6265230514239996E-2</v>
      </c>
      <c r="H418">
        <v>8606.1847200000029</v>
      </c>
      <c r="I418">
        <v>57</v>
      </c>
      <c r="J418">
        <v>8020</v>
      </c>
      <c r="K418">
        <v>2</v>
      </c>
      <c r="L418">
        <v>2</v>
      </c>
      <c r="M418">
        <v>2</v>
      </c>
      <c r="N418">
        <v>1</v>
      </c>
    </row>
    <row r="419" spans="1:14">
      <c r="A419">
        <v>38</v>
      </c>
      <c r="B419">
        <v>2</v>
      </c>
      <c r="C419">
        <v>41</v>
      </c>
      <c r="D419">
        <v>0.20021384101569864</v>
      </c>
      <c r="E419">
        <v>5</v>
      </c>
      <c r="F419">
        <v>0</v>
      </c>
      <c r="G419">
        <v>6.709366942403365E-2</v>
      </c>
      <c r="H419">
        <v>9989.3193689999753</v>
      </c>
      <c r="I419">
        <v>59</v>
      </c>
      <c r="J419">
        <v>8020</v>
      </c>
      <c r="K419">
        <v>2</v>
      </c>
      <c r="L419">
        <v>1</v>
      </c>
      <c r="M419">
        <v>1</v>
      </c>
      <c r="N419">
        <v>1</v>
      </c>
    </row>
    <row r="420" spans="1:14">
      <c r="A420">
        <v>39</v>
      </c>
      <c r="B420">
        <v>1</v>
      </c>
      <c r="C420">
        <v>53</v>
      </c>
      <c r="D420">
        <v>0.22994178482319289</v>
      </c>
      <c r="E420">
        <v>7</v>
      </c>
      <c r="F420">
        <v>0</v>
      </c>
      <c r="G420">
        <v>8.6322776496281103E-2</v>
      </c>
      <c r="H420">
        <v>8697.8536829999921</v>
      </c>
      <c r="I420">
        <v>58</v>
      </c>
      <c r="J420">
        <v>8020</v>
      </c>
      <c r="K420">
        <v>2</v>
      </c>
      <c r="L420">
        <v>2</v>
      </c>
      <c r="M420">
        <v>2</v>
      </c>
      <c r="N420">
        <v>1</v>
      </c>
    </row>
    <row r="421" spans="1:14">
      <c r="A421">
        <v>39</v>
      </c>
      <c r="B421">
        <v>2</v>
      </c>
      <c r="C421">
        <v>55</v>
      </c>
      <c r="D421">
        <v>0.19840560781355676</v>
      </c>
      <c r="E421">
        <v>5</v>
      </c>
      <c r="F421">
        <v>0</v>
      </c>
      <c r="G421">
        <v>6.7145442007106509E-2</v>
      </c>
      <c r="H421">
        <v>10080.360238000001</v>
      </c>
      <c r="I421">
        <v>58</v>
      </c>
      <c r="J421">
        <v>8020</v>
      </c>
      <c r="K421">
        <v>2</v>
      </c>
      <c r="L421">
        <v>1</v>
      </c>
      <c r="M421">
        <v>1</v>
      </c>
      <c r="N421">
        <v>1</v>
      </c>
    </row>
    <row r="422" spans="1:14">
      <c r="A422">
        <v>40</v>
      </c>
      <c r="B422">
        <v>1</v>
      </c>
      <c r="C422">
        <v>89</v>
      </c>
      <c r="D422">
        <v>0.23187691489847448</v>
      </c>
      <c r="E422">
        <v>7</v>
      </c>
      <c r="F422">
        <v>0</v>
      </c>
      <c r="G422">
        <v>8.6277242317971084E-2</v>
      </c>
      <c r="H422">
        <v>8625.2656969999989</v>
      </c>
      <c r="I422">
        <v>54</v>
      </c>
      <c r="J422">
        <v>8020</v>
      </c>
      <c r="K422">
        <v>2</v>
      </c>
      <c r="L422">
        <v>2</v>
      </c>
      <c r="M422">
        <v>2</v>
      </c>
      <c r="N422">
        <v>1</v>
      </c>
    </row>
    <row r="423" spans="1:14">
      <c r="A423">
        <v>40</v>
      </c>
      <c r="B423">
        <v>2</v>
      </c>
      <c r="C423">
        <v>103</v>
      </c>
      <c r="D423">
        <v>0.19907952751533251</v>
      </c>
      <c r="E423">
        <v>5</v>
      </c>
      <c r="F423">
        <v>0</v>
      </c>
      <c r="G423">
        <v>6.7126073342283099E-2</v>
      </c>
      <c r="H423">
        <v>10046.236420999974</v>
      </c>
      <c r="I423">
        <v>56</v>
      </c>
      <c r="J423">
        <v>8020</v>
      </c>
      <c r="K423">
        <v>2</v>
      </c>
      <c r="L423">
        <v>1</v>
      </c>
      <c r="M423">
        <v>1</v>
      </c>
      <c r="N423">
        <v>1</v>
      </c>
    </row>
    <row r="424" spans="1:14">
      <c r="A424">
        <v>41</v>
      </c>
      <c r="B424">
        <v>1</v>
      </c>
      <c r="C424">
        <v>678</v>
      </c>
      <c r="D424">
        <v>0.22228891509614174</v>
      </c>
      <c r="E424">
        <v>24</v>
      </c>
      <c r="F424">
        <v>0</v>
      </c>
      <c r="G424">
        <v>0.25650798496221561</v>
      </c>
      <c r="H424">
        <v>8997.2997490000071</v>
      </c>
      <c r="I424">
        <v>81</v>
      </c>
      <c r="J424">
        <v>8020</v>
      </c>
      <c r="K424">
        <v>3</v>
      </c>
      <c r="L424">
        <v>6</v>
      </c>
      <c r="M424">
        <v>14</v>
      </c>
      <c r="N424">
        <v>1</v>
      </c>
    </row>
    <row r="425" spans="1:14">
      <c r="A425">
        <v>41</v>
      </c>
      <c r="B425">
        <v>2</v>
      </c>
      <c r="C425">
        <v>501</v>
      </c>
      <c r="D425">
        <v>0.17929793160764862</v>
      </c>
      <c r="E425">
        <v>9</v>
      </c>
      <c r="F425">
        <v>0</v>
      </c>
      <c r="G425">
        <v>0.10773406272217642</v>
      </c>
      <c r="H425">
        <v>11154.618361000003</v>
      </c>
      <c r="I425">
        <v>46</v>
      </c>
      <c r="J425">
        <v>8020</v>
      </c>
      <c r="K425">
        <v>2</v>
      </c>
      <c r="L425">
        <v>3</v>
      </c>
      <c r="M425">
        <v>3</v>
      </c>
      <c r="N425">
        <v>1</v>
      </c>
    </row>
    <row r="426" spans="1:14">
      <c r="A426">
        <v>42</v>
      </c>
      <c r="B426">
        <v>1</v>
      </c>
      <c r="C426">
        <v>721</v>
      </c>
      <c r="D426">
        <v>0.21021959009468819</v>
      </c>
      <c r="E426">
        <v>17</v>
      </c>
      <c r="F426">
        <v>0</v>
      </c>
      <c r="G426">
        <v>0.18681804867263033</v>
      </c>
      <c r="H426">
        <v>9513.861191999993</v>
      </c>
      <c r="I426">
        <v>56</v>
      </c>
      <c r="J426">
        <v>8020</v>
      </c>
      <c r="K426">
        <v>2</v>
      </c>
      <c r="L426">
        <v>6</v>
      </c>
      <c r="M426">
        <v>6</v>
      </c>
      <c r="N426">
        <v>3</v>
      </c>
    </row>
    <row r="427" spans="1:14">
      <c r="A427">
        <v>42</v>
      </c>
      <c r="B427">
        <v>2</v>
      </c>
      <c r="C427">
        <v>478</v>
      </c>
      <c r="D427">
        <v>0.1723301799708753</v>
      </c>
      <c r="E427">
        <v>9</v>
      </c>
      <c r="F427">
        <v>0</v>
      </c>
      <c r="G427">
        <v>0.10796992313616276</v>
      </c>
      <c r="H427">
        <v>11605.628221000004</v>
      </c>
      <c r="I427">
        <v>77</v>
      </c>
      <c r="J427">
        <v>8020</v>
      </c>
      <c r="K427">
        <v>1</v>
      </c>
      <c r="L427">
        <v>3</v>
      </c>
      <c r="M427">
        <v>3</v>
      </c>
      <c r="N427">
        <v>2</v>
      </c>
    </row>
    <row r="428" spans="1:14">
      <c r="A428">
        <v>43</v>
      </c>
      <c r="B428">
        <v>1</v>
      </c>
      <c r="C428">
        <v>640</v>
      </c>
      <c r="D428">
        <v>0.23845502866585308</v>
      </c>
      <c r="E428">
        <v>20</v>
      </c>
      <c r="F428">
        <v>0</v>
      </c>
      <c r="G428">
        <v>0.2161261676880499</v>
      </c>
      <c r="H428">
        <v>8387.3257409999896</v>
      </c>
      <c r="I428">
        <v>51</v>
      </c>
      <c r="J428">
        <v>8020</v>
      </c>
      <c r="K428">
        <v>4</v>
      </c>
      <c r="L428">
        <v>6</v>
      </c>
      <c r="M428">
        <v>7</v>
      </c>
      <c r="N428">
        <v>3</v>
      </c>
    </row>
    <row r="429" spans="1:14">
      <c r="A429">
        <v>43</v>
      </c>
      <c r="B429">
        <v>2</v>
      </c>
      <c r="C429">
        <v>563</v>
      </c>
      <c r="D429">
        <v>0.19225257680288543</v>
      </c>
      <c r="E429">
        <v>10</v>
      </c>
      <c r="F429">
        <v>0</v>
      </c>
      <c r="G429">
        <v>0.11732643752091651</v>
      </c>
      <c r="H429">
        <v>10402.981501000006</v>
      </c>
      <c r="I429">
        <v>41</v>
      </c>
      <c r="J429">
        <v>8020</v>
      </c>
      <c r="K429">
        <v>1</v>
      </c>
      <c r="L429">
        <v>4</v>
      </c>
      <c r="M429">
        <v>3</v>
      </c>
      <c r="N429">
        <v>2</v>
      </c>
    </row>
    <row r="430" spans="1:14">
      <c r="A430">
        <v>44</v>
      </c>
      <c r="B430">
        <v>1</v>
      </c>
      <c r="C430">
        <v>839</v>
      </c>
      <c r="D430">
        <v>0.21918571744517923</v>
      </c>
      <c r="E430">
        <v>20</v>
      </c>
      <c r="F430">
        <v>0</v>
      </c>
      <c r="G430">
        <v>0.21658552600414158</v>
      </c>
      <c r="H430">
        <v>9124.6821340000042</v>
      </c>
      <c r="I430">
        <v>83</v>
      </c>
      <c r="J430">
        <v>8020</v>
      </c>
      <c r="K430">
        <v>4</v>
      </c>
      <c r="L430">
        <v>6</v>
      </c>
      <c r="M430">
        <v>9</v>
      </c>
      <c r="N430">
        <v>1</v>
      </c>
    </row>
    <row r="431" spans="1:14">
      <c r="A431">
        <v>44</v>
      </c>
      <c r="B431">
        <v>2</v>
      </c>
      <c r="C431">
        <v>435</v>
      </c>
      <c r="D431">
        <v>0.17157427595579447</v>
      </c>
      <c r="E431">
        <v>8</v>
      </c>
      <c r="F431">
        <v>0</v>
      </c>
      <c r="G431">
        <v>9.799627447845484E-2</v>
      </c>
      <c r="H431">
        <v>11656.759084999976</v>
      </c>
      <c r="I431">
        <v>61</v>
      </c>
      <c r="J431">
        <v>8020</v>
      </c>
      <c r="K431">
        <v>1</v>
      </c>
      <c r="L431">
        <v>3</v>
      </c>
      <c r="M431">
        <v>3</v>
      </c>
      <c r="N431">
        <v>1</v>
      </c>
    </row>
    <row r="432" spans="1:14">
      <c r="A432">
        <v>45</v>
      </c>
      <c r="B432">
        <v>1</v>
      </c>
      <c r="C432">
        <v>716</v>
      </c>
      <c r="D432">
        <v>0.23267760192442927</v>
      </c>
      <c r="E432">
        <v>45</v>
      </c>
      <c r="F432">
        <v>0</v>
      </c>
      <c r="G432">
        <v>0.46625854985120591</v>
      </c>
      <c r="H432">
        <v>8595.5845490000138</v>
      </c>
      <c r="I432">
        <v>36</v>
      </c>
      <c r="J432">
        <v>8020</v>
      </c>
      <c r="K432">
        <v>1</v>
      </c>
      <c r="L432">
        <v>27</v>
      </c>
      <c r="M432">
        <v>14</v>
      </c>
      <c r="N432">
        <v>3</v>
      </c>
    </row>
    <row r="433" spans="1:14">
      <c r="A433">
        <v>45</v>
      </c>
      <c r="B433">
        <v>2</v>
      </c>
      <c r="C433">
        <v>390</v>
      </c>
      <c r="D433">
        <v>0.18334179017966509</v>
      </c>
      <c r="E433">
        <v>10</v>
      </c>
      <c r="F433">
        <v>0</v>
      </c>
      <c r="G433">
        <v>0.11760270905430251</v>
      </c>
      <c r="H433">
        <v>10908.587714999987</v>
      </c>
      <c r="I433">
        <v>65</v>
      </c>
      <c r="J433">
        <v>8020</v>
      </c>
      <c r="K433">
        <v>1</v>
      </c>
      <c r="L433">
        <v>4</v>
      </c>
      <c r="M433">
        <v>4</v>
      </c>
      <c r="N433">
        <v>1</v>
      </c>
    </row>
    <row r="434" spans="1:14">
      <c r="A434">
        <v>46</v>
      </c>
      <c r="B434">
        <v>1</v>
      </c>
      <c r="C434">
        <v>1161</v>
      </c>
      <c r="D434">
        <v>0.22281494277331021</v>
      </c>
      <c r="E434">
        <v>31</v>
      </c>
      <c r="F434">
        <v>0</v>
      </c>
      <c r="G434">
        <v>0.32649498388997722</v>
      </c>
      <c r="H434">
        <v>8976.058675000002</v>
      </c>
      <c r="I434">
        <v>72</v>
      </c>
      <c r="J434">
        <v>8020</v>
      </c>
      <c r="K434">
        <v>1</v>
      </c>
      <c r="L434">
        <v>17</v>
      </c>
      <c r="M434">
        <v>7</v>
      </c>
      <c r="N434">
        <v>6</v>
      </c>
    </row>
    <row r="435" spans="1:14">
      <c r="A435">
        <v>46</v>
      </c>
      <c r="B435">
        <v>2</v>
      </c>
      <c r="C435">
        <v>523</v>
      </c>
      <c r="D435">
        <v>0.17228963885783649</v>
      </c>
      <c r="E435">
        <v>9</v>
      </c>
      <c r="F435">
        <v>0</v>
      </c>
      <c r="G435">
        <v>0.10797133251391221</v>
      </c>
      <c r="H435">
        <v>11608.359116999978</v>
      </c>
      <c r="I435">
        <v>43</v>
      </c>
      <c r="J435">
        <v>8020</v>
      </c>
      <c r="K435">
        <v>1</v>
      </c>
      <c r="L435">
        <v>3</v>
      </c>
      <c r="M435">
        <v>3</v>
      </c>
      <c r="N435">
        <v>2</v>
      </c>
    </row>
    <row r="436" spans="1:14">
      <c r="A436">
        <v>47</v>
      </c>
      <c r="B436">
        <v>1</v>
      </c>
      <c r="C436">
        <v>396</v>
      </c>
      <c r="D436">
        <v>0.22339500476846719</v>
      </c>
      <c r="E436">
        <v>22</v>
      </c>
      <c r="F436">
        <v>0</v>
      </c>
      <c r="G436">
        <v>0.23648069469151597</v>
      </c>
      <c r="H436">
        <v>8952.7516610000112</v>
      </c>
      <c r="I436">
        <v>62</v>
      </c>
      <c r="J436">
        <v>8020</v>
      </c>
      <c r="K436">
        <v>1</v>
      </c>
      <c r="L436">
        <v>11</v>
      </c>
      <c r="M436">
        <v>9</v>
      </c>
      <c r="N436">
        <v>1</v>
      </c>
    </row>
    <row r="437" spans="1:14">
      <c r="A437">
        <v>47</v>
      </c>
      <c r="B437">
        <v>2</v>
      </c>
      <c r="C437">
        <v>389</v>
      </c>
      <c r="D437">
        <v>0.17884914456498824</v>
      </c>
      <c r="E437">
        <v>8</v>
      </c>
      <c r="F437">
        <v>0</v>
      </c>
      <c r="G437">
        <v>9.7748883722698313E-2</v>
      </c>
      <c r="H437">
        <v>11182.608700000026</v>
      </c>
      <c r="I437">
        <v>64</v>
      </c>
      <c r="J437">
        <v>8020</v>
      </c>
      <c r="K437">
        <v>1</v>
      </c>
      <c r="L437">
        <v>3</v>
      </c>
      <c r="M437">
        <v>3</v>
      </c>
      <c r="N437">
        <v>1</v>
      </c>
    </row>
    <row r="438" spans="1:14">
      <c r="A438">
        <v>48</v>
      </c>
      <c r="B438">
        <v>1</v>
      </c>
      <c r="C438">
        <v>510</v>
      </c>
      <c r="D438">
        <v>0.21864973118264033</v>
      </c>
      <c r="E438">
        <v>19</v>
      </c>
      <c r="F438">
        <v>0</v>
      </c>
      <c r="G438">
        <v>0.20659906723601926</v>
      </c>
      <c r="H438">
        <v>9147.0498920000027</v>
      </c>
      <c r="I438">
        <v>63</v>
      </c>
      <c r="J438">
        <v>8020</v>
      </c>
      <c r="K438">
        <v>2</v>
      </c>
      <c r="L438">
        <v>6</v>
      </c>
      <c r="M438">
        <v>10</v>
      </c>
      <c r="N438">
        <v>1</v>
      </c>
    </row>
    <row r="439" spans="1:14">
      <c r="A439">
        <v>48</v>
      </c>
      <c r="B439">
        <v>2</v>
      </c>
      <c r="C439">
        <v>538</v>
      </c>
      <c r="D439">
        <v>0.16956210958913515</v>
      </c>
      <c r="E439">
        <v>19</v>
      </c>
      <c r="F439">
        <v>0</v>
      </c>
      <c r="G439">
        <v>0.20806718103605523</v>
      </c>
      <c r="H439">
        <v>11795.087975999986</v>
      </c>
      <c r="I439">
        <v>58</v>
      </c>
      <c r="J439">
        <v>8020</v>
      </c>
      <c r="K439">
        <v>7</v>
      </c>
      <c r="L439">
        <v>1</v>
      </c>
      <c r="M439">
        <v>10</v>
      </c>
      <c r="N439">
        <v>1</v>
      </c>
    </row>
    <row r="440" spans="1:14">
      <c r="A440">
        <v>49</v>
      </c>
      <c r="B440">
        <v>1</v>
      </c>
      <c r="C440">
        <v>632</v>
      </c>
      <c r="D440">
        <v>0.22792388519598034</v>
      </c>
      <c r="E440">
        <v>15</v>
      </c>
      <c r="F440">
        <v>0</v>
      </c>
      <c r="G440">
        <v>0.16637080568277959</v>
      </c>
      <c r="H440">
        <v>8774.8591960000158</v>
      </c>
      <c r="I440">
        <v>65</v>
      </c>
      <c r="J440">
        <v>8020</v>
      </c>
      <c r="K440">
        <v>3</v>
      </c>
      <c r="L440">
        <v>5</v>
      </c>
      <c r="M440">
        <v>5</v>
      </c>
      <c r="N440">
        <v>2</v>
      </c>
    </row>
    <row r="441" spans="1:14">
      <c r="A441">
        <v>49</v>
      </c>
      <c r="B441">
        <v>2</v>
      </c>
      <c r="C441">
        <v>398</v>
      </c>
      <c r="D441">
        <v>0.18046974614781067</v>
      </c>
      <c r="E441">
        <v>8</v>
      </c>
      <c r="F441">
        <v>0</v>
      </c>
      <c r="G441">
        <v>9.7695596120480274E-2</v>
      </c>
      <c r="H441">
        <v>11082.189911000009</v>
      </c>
      <c r="I441">
        <v>54</v>
      </c>
      <c r="J441">
        <v>8020</v>
      </c>
      <c r="K441">
        <v>1</v>
      </c>
      <c r="L441">
        <v>3</v>
      </c>
      <c r="M441">
        <v>2</v>
      </c>
      <c r="N441">
        <v>2</v>
      </c>
    </row>
    <row r="442" spans="1:14">
      <c r="A442">
        <v>50</v>
      </c>
      <c r="B442">
        <v>1</v>
      </c>
      <c r="C442">
        <v>710</v>
      </c>
      <c r="D442">
        <v>0.2390278951489892</v>
      </c>
      <c r="E442">
        <v>25</v>
      </c>
      <c r="F442">
        <v>0</v>
      </c>
      <c r="G442">
        <v>0.26611327444950572</v>
      </c>
      <c r="H442">
        <v>8367.2242470000165</v>
      </c>
      <c r="I442">
        <v>60</v>
      </c>
      <c r="J442">
        <v>8020</v>
      </c>
      <c r="K442">
        <v>5</v>
      </c>
      <c r="L442">
        <v>9</v>
      </c>
      <c r="M442">
        <v>8</v>
      </c>
      <c r="N442">
        <v>3</v>
      </c>
    </row>
    <row r="443" spans="1:14">
      <c r="A443">
        <v>50</v>
      </c>
      <c r="B443">
        <v>2</v>
      </c>
      <c r="C443">
        <v>527</v>
      </c>
      <c r="D443">
        <v>0.18331163272199508</v>
      </c>
      <c r="E443">
        <v>9</v>
      </c>
      <c r="F443">
        <v>0</v>
      </c>
      <c r="G443">
        <v>0.10760367430281931</v>
      </c>
      <c r="H443">
        <v>10910.38233800001</v>
      </c>
      <c r="I443">
        <v>62</v>
      </c>
      <c r="J443">
        <v>8020</v>
      </c>
      <c r="K443">
        <v>2</v>
      </c>
      <c r="L443">
        <v>3</v>
      </c>
      <c r="M443">
        <v>3</v>
      </c>
      <c r="N443">
        <v>1</v>
      </c>
    </row>
    <row r="444" spans="1:14">
      <c r="A444">
        <v>51</v>
      </c>
      <c r="B444">
        <v>1</v>
      </c>
      <c r="C444">
        <v>729</v>
      </c>
      <c r="D444">
        <v>0.22875678138097805</v>
      </c>
      <c r="E444">
        <v>8</v>
      </c>
      <c r="F444">
        <v>0</v>
      </c>
      <c r="G444">
        <v>9.6350912992251375E-2</v>
      </c>
      <c r="H444">
        <v>8742.9102119999807</v>
      </c>
      <c r="I444">
        <v>56</v>
      </c>
      <c r="J444">
        <v>8020</v>
      </c>
      <c r="K444">
        <v>1</v>
      </c>
      <c r="L444">
        <v>3</v>
      </c>
      <c r="M444">
        <v>2</v>
      </c>
      <c r="N444">
        <v>2</v>
      </c>
    </row>
    <row r="445" spans="1:14">
      <c r="A445">
        <v>51</v>
      </c>
      <c r="B445">
        <v>2</v>
      </c>
      <c r="C445">
        <v>368</v>
      </c>
      <c r="D445">
        <v>0.20955195349072714</v>
      </c>
      <c r="E445">
        <v>6</v>
      </c>
      <c r="F445">
        <v>0</v>
      </c>
      <c r="G445">
        <v>7.6835890614610089E-2</v>
      </c>
      <c r="H445">
        <v>9544.1725389999847</v>
      </c>
      <c r="I445">
        <v>61</v>
      </c>
      <c r="J445">
        <v>8020</v>
      </c>
      <c r="K445">
        <v>1</v>
      </c>
      <c r="L445">
        <v>2</v>
      </c>
      <c r="M445">
        <v>2</v>
      </c>
      <c r="N445">
        <v>1</v>
      </c>
    </row>
    <row r="446" spans="1:14">
      <c r="A446">
        <v>52</v>
      </c>
      <c r="B446">
        <v>1</v>
      </c>
      <c r="C446">
        <v>453</v>
      </c>
      <c r="D446">
        <v>0.22755757564867984</v>
      </c>
      <c r="E446">
        <v>8</v>
      </c>
      <c r="F446">
        <v>0</v>
      </c>
      <c r="G446">
        <v>9.6379585244777827E-2</v>
      </c>
      <c r="H446">
        <v>8788.9844769999982</v>
      </c>
      <c r="I446">
        <v>61</v>
      </c>
      <c r="J446">
        <v>8020</v>
      </c>
      <c r="K446">
        <v>1</v>
      </c>
      <c r="L446">
        <v>3</v>
      </c>
      <c r="M446">
        <v>3</v>
      </c>
      <c r="N446">
        <v>1</v>
      </c>
    </row>
    <row r="447" spans="1:14">
      <c r="A447">
        <v>52</v>
      </c>
      <c r="B447">
        <v>2</v>
      </c>
      <c r="C447">
        <v>461</v>
      </c>
      <c r="D447">
        <v>0.21021181598860336</v>
      </c>
      <c r="E447">
        <v>6</v>
      </c>
      <c r="F447">
        <v>0</v>
      </c>
      <c r="G447">
        <v>7.6818255993172199E-2</v>
      </c>
      <c r="H447">
        <v>9514.2130359999846</v>
      </c>
      <c r="I447">
        <v>59</v>
      </c>
      <c r="J447">
        <v>8020</v>
      </c>
      <c r="K447">
        <v>1</v>
      </c>
      <c r="L447">
        <v>2</v>
      </c>
      <c r="M447">
        <v>2</v>
      </c>
      <c r="N447">
        <v>1</v>
      </c>
    </row>
    <row r="448" spans="1:14">
      <c r="A448">
        <v>53</v>
      </c>
      <c r="B448">
        <v>1</v>
      </c>
      <c r="C448">
        <v>512</v>
      </c>
      <c r="D448">
        <v>0.22756676297710812</v>
      </c>
      <c r="E448">
        <v>8</v>
      </c>
      <c r="F448">
        <v>0</v>
      </c>
      <c r="G448">
        <v>9.6379364816199187E-2</v>
      </c>
      <c r="H448">
        <v>8788.6296479999946</v>
      </c>
      <c r="I448">
        <v>61</v>
      </c>
      <c r="J448">
        <v>8020</v>
      </c>
      <c r="K448">
        <v>1</v>
      </c>
      <c r="L448">
        <v>3</v>
      </c>
      <c r="M448">
        <v>3</v>
      </c>
      <c r="N448">
        <v>1</v>
      </c>
    </row>
    <row r="449" spans="1:14">
      <c r="A449">
        <v>53</v>
      </c>
      <c r="B449">
        <v>2</v>
      </c>
      <c r="C449">
        <v>477</v>
      </c>
      <c r="D449">
        <v>0.21034698988798295</v>
      </c>
      <c r="E449">
        <v>6</v>
      </c>
      <c r="F449">
        <v>0</v>
      </c>
      <c r="G449">
        <v>7.6814652619533519E-2</v>
      </c>
      <c r="H449">
        <v>9508.0989799999952</v>
      </c>
      <c r="I449">
        <v>60</v>
      </c>
      <c r="J449">
        <v>8020</v>
      </c>
      <c r="K449">
        <v>1</v>
      </c>
      <c r="L449">
        <v>2</v>
      </c>
      <c r="M449">
        <v>2</v>
      </c>
      <c r="N449">
        <v>1</v>
      </c>
    </row>
    <row r="450" spans="1:14">
      <c r="A450">
        <v>54</v>
      </c>
      <c r="B450">
        <v>1</v>
      </c>
      <c r="C450">
        <v>389</v>
      </c>
      <c r="D450">
        <v>0.22340124997105529</v>
      </c>
      <c r="E450">
        <v>8</v>
      </c>
      <c r="F450">
        <v>0</v>
      </c>
      <c r="G450">
        <v>9.6480541116970533E-2</v>
      </c>
      <c r="H450">
        <v>8952.5013859999781</v>
      </c>
      <c r="I450">
        <v>60</v>
      </c>
      <c r="J450">
        <v>8020</v>
      </c>
      <c r="K450">
        <v>1</v>
      </c>
      <c r="L450">
        <v>3</v>
      </c>
      <c r="M450">
        <v>3</v>
      </c>
      <c r="N450">
        <v>1</v>
      </c>
    </row>
    <row r="451" spans="1:14">
      <c r="A451">
        <v>54</v>
      </c>
      <c r="B451">
        <v>2</v>
      </c>
      <c r="C451">
        <v>418</v>
      </c>
      <c r="D451">
        <v>0.20729752852015443</v>
      </c>
      <c r="E451">
        <v>6</v>
      </c>
      <c r="F451">
        <v>0</v>
      </c>
      <c r="G451">
        <v>7.6896702540483655E-2</v>
      </c>
      <c r="H451">
        <v>9647.968377999985</v>
      </c>
      <c r="I451">
        <v>60</v>
      </c>
      <c r="J451">
        <v>8020</v>
      </c>
      <c r="K451">
        <v>1</v>
      </c>
      <c r="L451">
        <v>2</v>
      </c>
      <c r="M451">
        <v>2</v>
      </c>
      <c r="N451">
        <v>1</v>
      </c>
    </row>
    <row r="452" spans="1:14">
      <c r="A452">
        <v>55</v>
      </c>
      <c r="B452">
        <v>1</v>
      </c>
      <c r="C452">
        <v>374</v>
      </c>
      <c r="D452">
        <v>0.23264774427347623</v>
      </c>
      <c r="E452">
        <v>9</v>
      </c>
      <c r="F452">
        <v>0</v>
      </c>
      <c r="G452">
        <v>0.10625924535381723</v>
      </c>
      <c r="H452">
        <v>8596.6876929999817</v>
      </c>
      <c r="I452">
        <v>62</v>
      </c>
      <c r="J452">
        <v>8020</v>
      </c>
      <c r="K452">
        <v>1</v>
      </c>
      <c r="L452">
        <v>4</v>
      </c>
      <c r="M452">
        <v>3</v>
      </c>
      <c r="N452">
        <v>1</v>
      </c>
    </row>
    <row r="453" spans="1:14">
      <c r="A453">
        <v>55</v>
      </c>
      <c r="B453">
        <v>2</v>
      </c>
      <c r="C453">
        <v>294</v>
      </c>
      <c r="D453">
        <v>0.21236227066419056</v>
      </c>
      <c r="E453">
        <v>6</v>
      </c>
      <c r="F453">
        <v>0</v>
      </c>
      <c r="G453">
        <v>7.6761294104202182E-2</v>
      </c>
      <c r="H453">
        <v>9417.8687849999933</v>
      </c>
      <c r="I453">
        <v>60</v>
      </c>
      <c r="J453">
        <v>8020</v>
      </c>
      <c r="K453">
        <v>1</v>
      </c>
      <c r="L453">
        <v>2</v>
      </c>
      <c r="M453">
        <v>2</v>
      </c>
      <c r="N453">
        <v>1</v>
      </c>
    </row>
    <row r="454" spans="1:14">
      <c r="A454">
        <v>56</v>
      </c>
      <c r="B454">
        <v>1</v>
      </c>
      <c r="C454">
        <v>471</v>
      </c>
      <c r="D454">
        <v>0.2303752348288631</v>
      </c>
      <c r="E454">
        <v>9</v>
      </c>
      <c r="F454">
        <v>0</v>
      </c>
      <c r="G454">
        <v>0.10631253299148263</v>
      </c>
      <c r="H454">
        <v>8681.4887090000066</v>
      </c>
      <c r="I454">
        <v>61</v>
      </c>
      <c r="J454">
        <v>8020</v>
      </c>
      <c r="K454">
        <v>1</v>
      </c>
      <c r="L454">
        <v>3</v>
      </c>
      <c r="M454">
        <v>4</v>
      </c>
      <c r="N454">
        <v>1</v>
      </c>
    </row>
    <row r="455" spans="1:14">
      <c r="A455">
        <v>56</v>
      </c>
      <c r="B455">
        <v>2</v>
      </c>
      <c r="C455">
        <v>436</v>
      </c>
      <c r="D455">
        <v>0.20939637341567077</v>
      </c>
      <c r="E455">
        <v>6</v>
      </c>
      <c r="F455">
        <v>0</v>
      </c>
      <c r="G455">
        <v>7.6840059232935604E-2</v>
      </c>
      <c r="H455">
        <v>9551.2637939999986</v>
      </c>
      <c r="I455">
        <v>59</v>
      </c>
      <c r="J455">
        <v>8020</v>
      </c>
      <c r="K455">
        <v>1</v>
      </c>
      <c r="L455">
        <v>2</v>
      </c>
      <c r="M455">
        <v>2</v>
      </c>
      <c r="N455">
        <v>1</v>
      </c>
    </row>
    <row r="456" spans="1:14">
      <c r="A456">
        <v>57</v>
      </c>
      <c r="B456">
        <v>1</v>
      </c>
      <c r="C456">
        <v>536</v>
      </c>
      <c r="D456">
        <v>0.23550418799228787</v>
      </c>
      <c r="E456">
        <v>8</v>
      </c>
      <c r="F456">
        <v>0</v>
      </c>
      <c r="G456">
        <v>9.6193241336792745E-2</v>
      </c>
      <c r="H456">
        <v>8492.4179780000122</v>
      </c>
      <c r="I456">
        <v>61</v>
      </c>
      <c r="J456">
        <v>8020</v>
      </c>
      <c r="K456">
        <v>2</v>
      </c>
      <c r="L456">
        <v>2</v>
      </c>
      <c r="M456">
        <v>2</v>
      </c>
      <c r="N456">
        <v>2</v>
      </c>
    </row>
    <row r="457" spans="1:14">
      <c r="A457">
        <v>57</v>
      </c>
      <c r="B457">
        <v>2</v>
      </c>
      <c r="C457">
        <v>561</v>
      </c>
      <c r="D457">
        <v>0.20974601169993243</v>
      </c>
      <c r="E457">
        <v>6</v>
      </c>
      <c r="F457">
        <v>0</v>
      </c>
      <c r="G457">
        <v>7.683069679174491E-2</v>
      </c>
      <c r="H457">
        <v>9535.3422160000209</v>
      </c>
      <c r="I457">
        <v>59</v>
      </c>
      <c r="J457">
        <v>8020</v>
      </c>
      <c r="K457">
        <v>1</v>
      </c>
      <c r="L457">
        <v>2</v>
      </c>
      <c r="M457">
        <v>2</v>
      </c>
      <c r="N457">
        <v>1</v>
      </c>
    </row>
    <row r="458" spans="1:14">
      <c r="A458">
        <v>58</v>
      </c>
      <c r="B458">
        <v>1</v>
      </c>
      <c r="C458">
        <v>406</v>
      </c>
      <c r="D458">
        <v>0.22874461799712342</v>
      </c>
      <c r="E458">
        <v>8</v>
      </c>
      <c r="F458">
        <v>0</v>
      </c>
      <c r="G458">
        <v>9.6351202804397629E-2</v>
      </c>
      <c r="H458">
        <v>8743.3751120000161</v>
      </c>
      <c r="I458">
        <v>64</v>
      </c>
      <c r="J458">
        <v>8020</v>
      </c>
      <c r="K458">
        <v>2</v>
      </c>
      <c r="L458">
        <v>2</v>
      </c>
      <c r="M458">
        <v>3</v>
      </c>
      <c r="N458">
        <v>1</v>
      </c>
    </row>
    <row r="459" spans="1:14">
      <c r="A459">
        <v>58</v>
      </c>
      <c r="B459">
        <v>2</v>
      </c>
      <c r="C459">
        <v>386</v>
      </c>
      <c r="D459">
        <v>0.20973055507977548</v>
      </c>
      <c r="E459">
        <v>6</v>
      </c>
      <c r="F459">
        <v>0</v>
      </c>
      <c r="G459">
        <v>7.6831110241749462E-2</v>
      </c>
      <c r="H459">
        <v>9536.0449470000094</v>
      </c>
      <c r="I459">
        <v>62</v>
      </c>
      <c r="J459">
        <v>8020</v>
      </c>
      <c r="K459">
        <v>1</v>
      </c>
      <c r="L459">
        <v>2</v>
      </c>
      <c r="M459">
        <v>2</v>
      </c>
      <c r="N459">
        <v>1</v>
      </c>
    </row>
    <row r="460" spans="1:14">
      <c r="A460">
        <v>59</v>
      </c>
      <c r="B460">
        <v>1</v>
      </c>
      <c r="C460">
        <v>298</v>
      </c>
      <c r="D460">
        <v>0.22771179587876755</v>
      </c>
      <c r="E460">
        <v>8</v>
      </c>
      <c r="F460">
        <v>0</v>
      </c>
      <c r="G460">
        <v>9.6375886660378121E-2</v>
      </c>
      <c r="H460">
        <v>8783.0320439999887</v>
      </c>
      <c r="I460">
        <v>59</v>
      </c>
      <c r="J460">
        <v>8020</v>
      </c>
      <c r="K460">
        <v>1</v>
      </c>
      <c r="L460">
        <v>3</v>
      </c>
      <c r="M460">
        <v>3</v>
      </c>
      <c r="N460">
        <v>1</v>
      </c>
    </row>
    <row r="461" spans="1:14">
      <c r="A461">
        <v>59</v>
      </c>
      <c r="B461">
        <v>2</v>
      </c>
      <c r="C461">
        <v>426</v>
      </c>
      <c r="D461">
        <v>0.21122829244133617</v>
      </c>
      <c r="E461">
        <v>6</v>
      </c>
      <c r="F461">
        <v>0</v>
      </c>
      <c r="G461">
        <v>7.6791234901851052E-2</v>
      </c>
      <c r="H461">
        <v>9468.4285749999817</v>
      </c>
      <c r="I461">
        <v>63</v>
      </c>
      <c r="J461">
        <v>8020</v>
      </c>
      <c r="K461">
        <v>1</v>
      </c>
      <c r="L461">
        <v>2</v>
      </c>
      <c r="M461">
        <v>2</v>
      </c>
      <c r="N461">
        <v>1</v>
      </c>
    </row>
    <row r="462" spans="1:14">
      <c r="A462">
        <v>60</v>
      </c>
      <c r="B462">
        <v>1</v>
      </c>
      <c r="C462">
        <v>541</v>
      </c>
      <c r="D462">
        <v>0.23146675331090621</v>
      </c>
      <c r="E462">
        <v>9</v>
      </c>
      <c r="F462">
        <v>0</v>
      </c>
      <c r="G462">
        <v>0.1062868511276466</v>
      </c>
      <c r="H462">
        <v>8640.5497610000148</v>
      </c>
      <c r="I462">
        <v>68</v>
      </c>
      <c r="J462">
        <v>8020</v>
      </c>
      <c r="K462">
        <v>2</v>
      </c>
      <c r="L462">
        <v>2</v>
      </c>
      <c r="M462">
        <v>4</v>
      </c>
      <c r="N462">
        <v>1</v>
      </c>
    </row>
    <row r="463" spans="1:14">
      <c r="A463">
        <v>60</v>
      </c>
      <c r="B463">
        <v>2</v>
      </c>
      <c r="C463">
        <v>372</v>
      </c>
      <c r="D463">
        <v>0.20748587250272651</v>
      </c>
      <c r="E463">
        <v>6</v>
      </c>
      <c r="F463">
        <v>0</v>
      </c>
      <c r="G463">
        <v>7.6891588367924299E-2</v>
      </c>
      <c r="H463">
        <v>9639.2104960000033</v>
      </c>
      <c r="I463">
        <v>65</v>
      </c>
      <c r="J463">
        <v>8020</v>
      </c>
      <c r="K463">
        <v>1</v>
      </c>
      <c r="L463">
        <v>2</v>
      </c>
      <c r="M463">
        <v>2</v>
      </c>
      <c r="N463">
        <v>1</v>
      </c>
    </row>
    <row r="464" spans="1:14">
      <c r="A464">
        <v>61</v>
      </c>
      <c r="B464">
        <v>1</v>
      </c>
      <c r="C464">
        <v>622</v>
      </c>
      <c r="D464">
        <v>0.22745273996209386</v>
      </c>
      <c r="E464">
        <v>13</v>
      </c>
      <c r="F464">
        <v>0</v>
      </c>
      <c r="G464">
        <v>0.14638210137378749</v>
      </c>
      <c r="H464">
        <v>8793.03542499998</v>
      </c>
      <c r="I464">
        <v>64</v>
      </c>
      <c r="J464">
        <v>8020</v>
      </c>
      <c r="K464">
        <v>2</v>
      </c>
      <c r="L464">
        <v>3</v>
      </c>
      <c r="M464">
        <v>3</v>
      </c>
      <c r="N464">
        <v>5</v>
      </c>
    </row>
    <row r="465" spans="1:14">
      <c r="A465">
        <v>61</v>
      </c>
      <c r="B465">
        <v>2</v>
      </c>
      <c r="C465">
        <v>486</v>
      </c>
      <c r="D465">
        <v>0.17918926246103484</v>
      </c>
      <c r="E465">
        <v>7</v>
      </c>
      <c r="F465">
        <v>0</v>
      </c>
      <c r="G465">
        <v>8.7737646932515331E-2</v>
      </c>
      <c r="H465">
        <v>11161.383067999988</v>
      </c>
      <c r="I465">
        <v>66</v>
      </c>
      <c r="J465">
        <v>8020</v>
      </c>
      <c r="K465">
        <v>1</v>
      </c>
      <c r="L465">
        <v>2</v>
      </c>
      <c r="M465">
        <v>2</v>
      </c>
      <c r="N465">
        <v>2</v>
      </c>
    </row>
    <row r="466" spans="1:14">
      <c r="A466">
        <v>62</v>
      </c>
      <c r="B466">
        <v>1</v>
      </c>
      <c r="C466">
        <v>512</v>
      </c>
      <c r="D466">
        <v>0.20893579805294424</v>
      </c>
      <c r="E466">
        <v>18</v>
      </c>
      <c r="F466">
        <v>0</v>
      </c>
      <c r="G466">
        <v>0.19685242415439358</v>
      </c>
      <c r="H466">
        <v>9572.3184759999858</v>
      </c>
      <c r="I466">
        <v>66</v>
      </c>
      <c r="J466">
        <v>8020</v>
      </c>
      <c r="K466">
        <v>1</v>
      </c>
      <c r="L466">
        <v>5</v>
      </c>
      <c r="M466">
        <v>1</v>
      </c>
      <c r="N466">
        <v>11</v>
      </c>
    </row>
    <row r="467" spans="1:14">
      <c r="A467">
        <v>62</v>
      </c>
      <c r="B467">
        <v>2</v>
      </c>
      <c r="C467">
        <v>408</v>
      </c>
      <c r="D467">
        <v>0.16764976729107031</v>
      </c>
      <c r="E467">
        <v>7</v>
      </c>
      <c r="F467">
        <v>0</v>
      </c>
      <c r="G467">
        <v>8.8135617536959476E-2</v>
      </c>
      <c r="H467">
        <v>11929.631829000027</v>
      </c>
      <c r="I467">
        <v>65</v>
      </c>
      <c r="J467">
        <v>8020</v>
      </c>
      <c r="K467">
        <v>1</v>
      </c>
      <c r="L467">
        <v>2</v>
      </c>
      <c r="M467">
        <v>1</v>
      </c>
      <c r="N467">
        <v>3</v>
      </c>
    </row>
    <row r="468" spans="1:14">
      <c r="A468">
        <v>63</v>
      </c>
      <c r="B468">
        <v>1</v>
      </c>
      <c r="C468">
        <v>355</v>
      </c>
      <c r="D468">
        <v>0.20844880991361689</v>
      </c>
      <c r="E468">
        <v>15</v>
      </c>
      <c r="F468">
        <v>0</v>
      </c>
      <c r="G468">
        <v>0.16686553776219917</v>
      </c>
      <c r="H468">
        <v>9594.6817869999759</v>
      </c>
      <c r="I468">
        <v>65</v>
      </c>
      <c r="J468">
        <v>8020</v>
      </c>
      <c r="K468">
        <v>2</v>
      </c>
      <c r="L468">
        <v>5</v>
      </c>
      <c r="M468">
        <v>1</v>
      </c>
      <c r="N468">
        <v>7</v>
      </c>
    </row>
    <row r="469" spans="1:14">
      <c r="A469">
        <v>63</v>
      </c>
      <c r="B469">
        <v>2</v>
      </c>
      <c r="C469">
        <v>247</v>
      </c>
      <c r="D469">
        <v>0.16461780742583074</v>
      </c>
      <c r="E469">
        <v>11</v>
      </c>
      <c r="F469">
        <v>0</v>
      </c>
      <c r="G469">
        <v>0.12824628254600434</v>
      </c>
      <c r="H469">
        <v>12149.353896000033</v>
      </c>
      <c r="I469">
        <v>60</v>
      </c>
      <c r="J469">
        <v>8020</v>
      </c>
      <c r="K469">
        <v>1</v>
      </c>
      <c r="L469">
        <v>1</v>
      </c>
      <c r="M469">
        <v>1</v>
      </c>
      <c r="N469">
        <v>8</v>
      </c>
    </row>
    <row r="470" spans="1:14">
      <c r="A470">
        <v>64</v>
      </c>
      <c r="B470">
        <v>1</v>
      </c>
      <c r="C470">
        <v>608</v>
      </c>
      <c r="D470">
        <v>0.22932439012486755</v>
      </c>
      <c r="E470">
        <v>20</v>
      </c>
      <c r="F470">
        <v>0</v>
      </c>
      <c r="G470">
        <v>0.21633741160977299</v>
      </c>
      <c r="H470">
        <v>8721.2703319999946</v>
      </c>
      <c r="I470">
        <v>59</v>
      </c>
      <c r="J470">
        <v>8020</v>
      </c>
      <c r="K470">
        <v>1</v>
      </c>
      <c r="L470">
        <v>7</v>
      </c>
      <c r="M470">
        <v>4</v>
      </c>
      <c r="N470">
        <v>8</v>
      </c>
    </row>
    <row r="471" spans="1:14">
      <c r="A471">
        <v>64</v>
      </c>
      <c r="B471">
        <v>2</v>
      </c>
      <c r="C471">
        <v>441</v>
      </c>
      <c r="D471">
        <v>0.18373662978792699</v>
      </c>
      <c r="E471">
        <v>8</v>
      </c>
      <c r="F471">
        <v>0</v>
      </c>
      <c r="G471">
        <v>9.7590090936601856E-2</v>
      </c>
      <c r="H471">
        <v>10885.145777999987</v>
      </c>
      <c r="I471">
        <v>61</v>
      </c>
      <c r="J471">
        <v>8020</v>
      </c>
      <c r="K471">
        <v>1</v>
      </c>
      <c r="L471">
        <v>2</v>
      </c>
      <c r="M471">
        <v>2</v>
      </c>
      <c r="N471">
        <v>3</v>
      </c>
    </row>
    <row r="472" spans="1:14">
      <c r="A472">
        <v>65</v>
      </c>
      <c r="B472">
        <v>1</v>
      </c>
      <c r="C472">
        <v>697</v>
      </c>
      <c r="D472">
        <v>0.21326824996007368</v>
      </c>
      <c r="E472">
        <v>27</v>
      </c>
      <c r="F472">
        <v>0</v>
      </c>
      <c r="G472">
        <v>0.28673752601056834</v>
      </c>
      <c r="H472">
        <v>9377.8609820000092</v>
      </c>
      <c r="I472">
        <v>65</v>
      </c>
      <c r="J472">
        <v>8020</v>
      </c>
      <c r="K472">
        <v>1</v>
      </c>
      <c r="L472">
        <v>12</v>
      </c>
      <c r="M472">
        <v>1</v>
      </c>
      <c r="N472">
        <v>13</v>
      </c>
    </row>
    <row r="473" spans="1:14">
      <c r="A473">
        <v>65</v>
      </c>
      <c r="B473">
        <v>2</v>
      </c>
      <c r="C473">
        <v>409</v>
      </c>
      <c r="D473">
        <v>0.17022945871611933</v>
      </c>
      <c r="E473">
        <v>8</v>
      </c>
      <c r="F473">
        <v>0</v>
      </c>
      <c r="G473">
        <v>9.804354057689034E-2</v>
      </c>
      <c r="H473">
        <v>11748.847790999975</v>
      </c>
      <c r="I473">
        <v>65</v>
      </c>
      <c r="J473">
        <v>8020</v>
      </c>
      <c r="K473">
        <v>1</v>
      </c>
      <c r="L473">
        <v>3</v>
      </c>
      <c r="M473">
        <v>1</v>
      </c>
      <c r="N473">
        <v>3</v>
      </c>
    </row>
    <row r="474" spans="1:14">
      <c r="A474">
        <v>66</v>
      </c>
      <c r="B474">
        <v>1</v>
      </c>
      <c r="C474">
        <v>436</v>
      </c>
      <c r="D474">
        <v>0.22795498558720823</v>
      </c>
      <c r="E474">
        <v>33</v>
      </c>
      <c r="F474">
        <v>0</v>
      </c>
      <c r="G474">
        <v>0.34637006114745511</v>
      </c>
      <c r="H474">
        <v>8773.6620229999953</v>
      </c>
      <c r="I474">
        <v>61</v>
      </c>
      <c r="J474">
        <v>8020</v>
      </c>
      <c r="K474">
        <v>1</v>
      </c>
      <c r="L474">
        <v>13</v>
      </c>
      <c r="M474">
        <v>1</v>
      </c>
      <c r="N474">
        <v>18</v>
      </c>
    </row>
    <row r="475" spans="1:14">
      <c r="A475">
        <v>66</v>
      </c>
      <c r="B475">
        <v>2</v>
      </c>
      <c r="C475">
        <v>294</v>
      </c>
      <c r="D475">
        <v>0.17563050399896457</v>
      </c>
      <c r="E475">
        <v>8</v>
      </c>
      <c r="F475">
        <v>0</v>
      </c>
      <c r="G475">
        <v>9.7856651281352486E-2</v>
      </c>
      <c r="H475">
        <v>11387.543475999995</v>
      </c>
      <c r="I475">
        <v>63</v>
      </c>
      <c r="J475">
        <v>8020</v>
      </c>
      <c r="K475">
        <v>1</v>
      </c>
      <c r="L475">
        <v>3</v>
      </c>
      <c r="M475">
        <v>1</v>
      </c>
      <c r="N475">
        <v>3</v>
      </c>
    </row>
    <row r="476" spans="1:14">
      <c r="A476">
        <v>67</v>
      </c>
      <c r="B476">
        <v>1</v>
      </c>
      <c r="C476">
        <v>637</v>
      </c>
      <c r="D476">
        <v>0.2086934514488408</v>
      </c>
      <c r="E476">
        <v>21</v>
      </c>
      <c r="F476">
        <v>0</v>
      </c>
      <c r="G476">
        <v>0.22685894495934938</v>
      </c>
      <c r="H476">
        <v>9583.4343919999847</v>
      </c>
      <c r="I476">
        <v>60</v>
      </c>
      <c r="J476">
        <v>8020</v>
      </c>
      <c r="K476">
        <v>1</v>
      </c>
      <c r="L476">
        <v>8</v>
      </c>
      <c r="M476">
        <v>1</v>
      </c>
      <c r="N476">
        <v>11</v>
      </c>
    </row>
    <row r="477" spans="1:14">
      <c r="A477">
        <v>67</v>
      </c>
      <c r="B477">
        <v>2</v>
      </c>
      <c r="C477">
        <v>436</v>
      </c>
      <c r="D477">
        <v>0.16599392561347248</v>
      </c>
      <c r="E477">
        <v>7</v>
      </c>
      <c r="F477">
        <v>0</v>
      </c>
      <c r="G477">
        <v>8.8195720959467538E-2</v>
      </c>
      <c r="H477">
        <v>12048.633662999986</v>
      </c>
      <c r="I477">
        <v>64</v>
      </c>
      <c r="J477">
        <v>8020</v>
      </c>
      <c r="K477">
        <v>1</v>
      </c>
      <c r="L477">
        <v>2</v>
      </c>
      <c r="M477">
        <v>1</v>
      </c>
      <c r="N477">
        <v>3</v>
      </c>
    </row>
    <row r="478" spans="1:14">
      <c r="A478">
        <v>68</v>
      </c>
      <c r="B478">
        <v>1</v>
      </c>
      <c r="C478">
        <v>499</v>
      </c>
      <c r="D478">
        <v>0.22375312461770966</v>
      </c>
      <c r="E478">
        <v>18</v>
      </c>
      <c r="F478">
        <v>0</v>
      </c>
      <c r="G478">
        <v>0.19647189747287236</v>
      </c>
      <c r="H478">
        <v>8938.422663000003</v>
      </c>
      <c r="I478">
        <v>60</v>
      </c>
      <c r="J478">
        <v>8020</v>
      </c>
      <c r="K478">
        <v>1</v>
      </c>
      <c r="L478">
        <v>6</v>
      </c>
      <c r="M478">
        <v>4</v>
      </c>
      <c r="N478">
        <v>7</v>
      </c>
    </row>
    <row r="479" spans="1:14">
      <c r="A479">
        <v>68</v>
      </c>
      <c r="B479">
        <v>2</v>
      </c>
      <c r="C479">
        <v>397</v>
      </c>
      <c r="D479">
        <v>0.17493461066051716</v>
      </c>
      <c r="E479">
        <v>7</v>
      </c>
      <c r="F479">
        <v>0</v>
      </c>
      <c r="G479">
        <v>8.7880297990556855E-2</v>
      </c>
      <c r="H479">
        <v>11432.843349000012</v>
      </c>
      <c r="I479">
        <v>63</v>
      </c>
      <c r="J479">
        <v>8020</v>
      </c>
      <c r="K479">
        <v>1</v>
      </c>
      <c r="L479">
        <v>2</v>
      </c>
      <c r="M479">
        <v>2</v>
      </c>
      <c r="N479">
        <v>2</v>
      </c>
    </row>
    <row r="480" spans="1:14">
      <c r="A480">
        <v>69</v>
      </c>
      <c r="B480">
        <v>1</v>
      </c>
      <c r="C480">
        <v>474</v>
      </c>
      <c r="D480">
        <v>0.2223858226753696</v>
      </c>
      <c r="E480">
        <v>30</v>
      </c>
      <c r="F480">
        <v>0</v>
      </c>
      <c r="G480">
        <v>0.31650558675584878</v>
      </c>
      <c r="H480">
        <v>8993.3790560000052</v>
      </c>
      <c r="I480">
        <v>58</v>
      </c>
      <c r="J480">
        <v>8020</v>
      </c>
      <c r="K480">
        <v>1</v>
      </c>
      <c r="L480">
        <v>14</v>
      </c>
      <c r="M480">
        <v>1</v>
      </c>
      <c r="N480">
        <v>14</v>
      </c>
    </row>
    <row r="481" spans="1:14">
      <c r="A481">
        <v>69</v>
      </c>
      <c r="B481">
        <v>2</v>
      </c>
      <c r="C481">
        <v>332</v>
      </c>
      <c r="D481">
        <v>0.17747510205254058</v>
      </c>
      <c r="E481">
        <v>8</v>
      </c>
      <c r="F481">
        <v>0</v>
      </c>
      <c r="G481">
        <v>9.7794570980342166E-2</v>
      </c>
      <c r="H481">
        <v>11269.186364000007</v>
      </c>
      <c r="I481">
        <v>59</v>
      </c>
      <c r="J481">
        <v>8020</v>
      </c>
      <c r="K481">
        <v>1</v>
      </c>
      <c r="L481">
        <v>3</v>
      </c>
      <c r="M481">
        <v>1</v>
      </c>
      <c r="N481">
        <v>3</v>
      </c>
    </row>
    <row r="482" spans="1:14">
      <c r="A482">
        <v>70</v>
      </c>
      <c r="B482">
        <v>1</v>
      </c>
      <c r="C482">
        <v>561</v>
      </c>
      <c r="D482">
        <v>0.23272211144844282</v>
      </c>
      <c r="E482">
        <v>51</v>
      </c>
      <c r="F482">
        <v>0</v>
      </c>
      <c r="G482">
        <v>0.52625751326949299</v>
      </c>
      <c r="H482">
        <v>8593.940591000006</v>
      </c>
      <c r="I482">
        <v>57</v>
      </c>
      <c r="J482">
        <v>8020</v>
      </c>
      <c r="K482">
        <v>1</v>
      </c>
      <c r="L482">
        <v>23</v>
      </c>
      <c r="M482">
        <v>1</v>
      </c>
      <c r="N482">
        <v>26</v>
      </c>
    </row>
    <row r="483" spans="1:14">
      <c r="A483">
        <v>70</v>
      </c>
      <c r="B483">
        <v>2</v>
      </c>
      <c r="C483">
        <v>457</v>
      </c>
      <c r="D483">
        <v>0.18301722746963853</v>
      </c>
      <c r="E483">
        <v>9</v>
      </c>
      <c r="F483">
        <v>0</v>
      </c>
      <c r="G483">
        <v>0.10761310845604985</v>
      </c>
      <c r="H483">
        <v>10927.93300199998</v>
      </c>
      <c r="I483">
        <v>59</v>
      </c>
      <c r="J483">
        <v>8020</v>
      </c>
      <c r="K483">
        <v>1</v>
      </c>
      <c r="L483">
        <v>3</v>
      </c>
      <c r="M483">
        <v>1</v>
      </c>
      <c r="N483">
        <v>4</v>
      </c>
    </row>
    <row r="484" spans="1:14">
      <c r="A484">
        <v>71</v>
      </c>
      <c r="B484">
        <v>1</v>
      </c>
      <c r="C484">
        <v>577</v>
      </c>
      <c r="D484">
        <v>0.22989020999789853</v>
      </c>
      <c r="E484">
        <v>7</v>
      </c>
      <c r="F484">
        <v>0</v>
      </c>
      <c r="G484">
        <v>8.6323997051953191E-2</v>
      </c>
      <c r="H484">
        <v>8699.8050070000045</v>
      </c>
      <c r="I484">
        <v>62</v>
      </c>
      <c r="J484">
        <v>8020</v>
      </c>
      <c r="K484">
        <v>1</v>
      </c>
      <c r="L484">
        <v>2</v>
      </c>
      <c r="M484">
        <v>2</v>
      </c>
      <c r="N484">
        <v>2</v>
      </c>
    </row>
    <row r="485" spans="1:14">
      <c r="A485">
        <v>71</v>
      </c>
      <c r="B485">
        <v>2</v>
      </c>
      <c r="C485">
        <v>308</v>
      </c>
      <c r="D485">
        <v>0.19778012759600211</v>
      </c>
      <c r="E485">
        <v>5</v>
      </c>
      <c r="F485">
        <v>0</v>
      </c>
      <c r="G485">
        <v>6.7163497157054775E-2</v>
      </c>
      <c r="H485">
        <v>10112.239405999997</v>
      </c>
      <c r="I485">
        <v>63</v>
      </c>
      <c r="J485">
        <v>8020</v>
      </c>
      <c r="K485">
        <v>1</v>
      </c>
      <c r="L485">
        <v>1</v>
      </c>
      <c r="M485">
        <v>1</v>
      </c>
      <c r="N485">
        <v>2</v>
      </c>
    </row>
    <row r="486" spans="1:14">
      <c r="A486">
        <v>72</v>
      </c>
      <c r="B486">
        <v>1</v>
      </c>
      <c r="C486">
        <v>654</v>
      </c>
      <c r="D486">
        <v>0.23345399998630331</v>
      </c>
      <c r="E486">
        <v>7</v>
      </c>
      <c r="F486">
        <v>0</v>
      </c>
      <c r="G486">
        <v>8.6240506145146584E-2</v>
      </c>
      <c r="H486">
        <v>8566.9982099999979</v>
      </c>
      <c r="I486">
        <v>58</v>
      </c>
      <c r="J486">
        <v>8020</v>
      </c>
      <c r="K486">
        <v>1</v>
      </c>
      <c r="L486">
        <v>2</v>
      </c>
      <c r="M486">
        <v>2</v>
      </c>
      <c r="N486">
        <v>2</v>
      </c>
    </row>
    <row r="487" spans="1:14">
      <c r="A487">
        <v>72</v>
      </c>
      <c r="B487">
        <v>2</v>
      </c>
      <c r="C487">
        <v>284</v>
      </c>
      <c r="D487">
        <v>0.19986146979958963</v>
      </c>
      <c r="E487">
        <v>5</v>
      </c>
      <c r="F487">
        <v>0</v>
      </c>
      <c r="G487">
        <v>6.7103709346009094E-2</v>
      </c>
      <c r="H487">
        <v>10006.931311000028</v>
      </c>
      <c r="I487">
        <v>60</v>
      </c>
      <c r="J487">
        <v>8020</v>
      </c>
      <c r="K487">
        <v>1</v>
      </c>
      <c r="L487">
        <v>1</v>
      </c>
      <c r="M487">
        <v>1</v>
      </c>
      <c r="N487">
        <v>2</v>
      </c>
    </row>
    <row r="488" spans="1:14">
      <c r="A488">
        <v>73</v>
      </c>
      <c r="B488">
        <v>1</v>
      </c>
      <c r="C488">
        <v>265</v>
      </c>
      <c r="D488">
        <v>0.22488452302023826</v>
      </c>
      <c r="E488">
        <v>8</v>
      </c>
      <c r="F488">
        <v>0</v>
      </c>
      <c r="G488">
        <v>9.6444227539516703E-2</v>
      </c>
      <c r="H488">
        <v>8893.4532850000178</v>
      </c>
      <c r="I488">
        <v>57</v>
      </c>
      <c r="J488">
        <v>8020</v>
      </c>
      <c r="K488">
        <v>1</v>
      </c>
      <c r="L488">
        <v>2</v>
      </c>
      <c r="M488">
        <v>1</v>
      </c>
      <c r="N488">
        <v>4</v>
      </c>
    </row>
    <row r="489" spans="1:14">
      <c r="A489">
        <v>73</v>
      </c>
      <c r="B489">
        <v>2</v>
      </c>
      <c r="C489">
        <v>269</v>
      </c>
      <c r="D489">
        <v>0.19728840423107552</v>
      </c>
      <c r="E489">
        <v>5</v>
      </c>
      <c r="F489">
        <v>0</v>
      </c>
      <c r="G489">
        <v>6.7177744810686835E-2</v>
      </c>
      <c r="H489">
        <v>10137.443241000039</v>
      </c>
      <c r="I489">
        <v>61</v>
      </c>
      <c r="J489">
        <v>8020</v>
      </c>
      <c r="K489">
        <v>1</v>
      </c>
      <c r="L489">
        <v>1</v>
      </c>
      <c r="M489">
        <v>1</v>
      </c>
      <c r="N489">
        <v>2</v>
      </c>
    </row>
    <row r="490" spans="1:14">
      <c r="A490">
        <v>74</v>
      </c>
      <c r="B490">
        <v>1</v>
      </c>
      <c r="C490">
        <v>491</v>
      </c>
      <c r="D490">
        <v>0.22326005257985446</v>
      </c>
      <c r="E490">
        <v>7</v>
      </c>
      <c r="F490">
        <v>0</v>
      </c>
      <c r="G490">
        <v>8.6484014673175874E-2</v>
      </c>
      <c r="H490">
        <v>8958.1632579999987</v>
      </c>
      <c r="I490">
        <v>58</v>
      </c>
      <c r="J490">
        <v>8020</v>
      </c>
      <c r="K490">
        <v>1</v>
      </c>
      <c r="L490">
        <v>2</v>
      </c>
      <c r="M490">
        <v>1</v>
      </c>
      <c r="N490">
        <v>3</v>
      </c>
    </row>
    <row r="491" spans="1:14">
      <c r="A491">
        <v>74</v>
      </c>
      <c r="B491">
        <v>2</v>
      </c>
      <c r="C491">
        <v>305</v>
      </c>
      <c r="D491">
        <v>0.19793621698454861</v>
      </c>
      <c r="E491">
        <v>5</v>
      </c>
      <c r="F491">
        <v>0</v>
      </c>
      <c r="G491">
        <v>6.7158984349272088E-2</v>
      </c>
      <c r="H491">
        <v>10104.265053000003</v>
      </c>
      <c r="I491">
        <v>60</v>
      </c>
      <c r="J491">
        <v>8020</v>
      </c>
      <c r="K491">
        <v>1</v>
      </c>
      <c r="L491">
        <v>1</v>
      </c>
      <c r="M491">
        <v>1</v>
      </c>
      <c r="N491">
        <v>2</v>
      </c>
    </row>
    <row r="492" spans="1:14">
      <c r="A492">
        <v>75</v>
      </c>
      <c r="B492">
        <v>1</v>
      </c>
      <c r="C492">
        <v>402</v>
      </c>
      <c r="D492">
        <v>0.2295468789039237</v>
      </c>
      <c r="E492">
        <v>8</v>
      </c>
      <c r="F492">
        <v>0</v>
      </c>
      <c r="G492">
        <v>9.6332131547029048E-2</v>
      </c>
      <c r="H492">
        <v>8712.8172229999927</v>
      </c>
      <c r="I492">
        <v>60</v>
      </c>
      <c r="J492">
        <v>8020</v>
      </c>
      <c r="K492">
        <v>1</v>
      </c>
      <c r="L492">
        <v>3</v>
      </c>
      <c r="M492">
        <v>1</v>
      </c>
      <c r="N492">
        <v>3</v>
      </c>
    </row>
    <row r="493" spans="1:14">
      <c r="A493">
        <v>75</v>
      </c>
      <c r="B493">
        <v>2</v>
      </c>
      <c r="C493">
        <v>266</v>
      </c>
      <c r="D493">
        <v>0.1999626168488064</v>
      </c>
      <c r="E493">
        <v>5</v>
      </c>
      <c r="F493">
        <v>0</v>
      </c>
      <c r="G493">
        <v>6.7100825004369438E-2</v>
      </c>
      <c r="H493">
        <v>10001.869506999994</v>
      </c>
      <c r="I493">
        <v>59</v>
      </c>
      <c r="J493">
        <v>8020</v>
      </c>
      <c r="K493">
        <v>1</v>
      </c>
      <c r="L493">
        <v>1</v>
      </c>
      <c r="M493">
        <v>1</v>
      </c>
      <c r="N493">
        <v>2</v>
      </c>
    </row>
    <row r="494" spans="1:14">
      <c r="A494">
        <v>76</v>
      </c>
      <c r="B494">
        <v>1</v>
      </c>
      <c r="C494">
        <v>512</v>
      </c>
      <c r="D494">
        <v>0.22886862091015803</v>
      </c>
      <c r="E494">
        <v>7</v>
      </c>
      <c r="F494">
        <v>0</v>
      </c>
      <c r="G494">
        <v>8.6348249198567442E-2</v>
      </c>
      <c r="H494">
        <v>8738.6378790000072</v>
      </c>
      <c r="I494">
        <v>63</v>
      </c>
      <c r="J494">
        <v>8020</v>
      </c>
      <c r="K494">
        <v>1</v>
      </c>
      <c r="L494">
        <v>2</v>
      </c>
      <c r="M494">
        <v>2</v>
      </c>
      <c r="N494">
        <v>2</v>
      </c>
    </row>
    <row r="495" spans="1:14">
      <c r="A495">
        <v>76</v>
      </c>
      <c r="B495">
        <v>2</v>
      </c>
      <c r="C495">
        <v>261</v>
      </c>
      <c r="D495">
        <v>0.19806233490572267</v>
      </c>
      <c r="E495">
        <v>5</v>
      </c>
      <c r="F495">
        <v>0</v>
      </c>
      <c r="G495">
        <v>6.7155341531593429E-2</v>
      </c>
      <c r="H495">
        <v>10097.831073999994</v>
      </c>
      <c r="I495">
        <v>62</v>
      </c>
      <c r="J495">
        <v>8020</v>
      </c>
      <c r="K495">
        <v>1</v>
      </c>
      <c r="L495">
        <v>1</v>
      </c>
      <c r="M495">
        <v>1</v>
      </c>
      <c r="N495">
        <v>2</v>
      </c>
    </row>
    <row r="496" spans="1:14">
      <c r="A496">
        <v>77</v>
      </c>
      <c r="B496">
        <v>1</v>
      </c>
      <c r="C496">
        <v>530</v>
      </c>
      <c r="D496">
        <v>0.2223114334785575</v>
      </c>
      <c r="E496">
        <v>15</v>
      </c>
      <c r="F496">
        <v>0</v>
      </c>
      <c r="G496">
        <v>0.16650742756747683</v>
      </c>
      <c r="H496">
        <v>8996.3883940000105</v>
      </c>
      <c r="I496">
        <v>63</v>
      </c>
      <c r="J496">
        <v>8020</v>
      </c>
      <c r="K496">
        <v>3</v>
      </c>
      <c r="L496">
        <v>1</v>
      </c>
      <c r="M496">
        <v>1</v>
      </c>
      <c r="N496">
        <v>10</v>
      </c>
    </row>
    <row r="497" spans="1:14">
      <c r="A497">
        <v>77</v>
      </c>
      <c r="B497">
        <v>2</v>
      </c>
      <c r="C497">
        <v>163</v>
      </c>
      <c r="D497">
        <v>0.19900480051499173</v>
      </c>
      <c r="E497">
        <v>5</v>
      </c>
      <c r="F497">
        <v>0</v>
      </c>
      <c r="G497">
        <v>6.7128216707554159E-2</v>
      </c>
      <c r="H497">
        <v>10050.008818000011</v>
      </c>
      <c r="I497">
        <v>64</v>
      </c>
      <c r="J497">
        <v>8020</v>
      </c>
      <c r="K497">
        <v>1</v>
      </c>
      <c r="L497">
        <v>1</v>
      </c>
      <c r="M497">
        <v>1</v>
      </c>
      <c r="N497">
        <v>2</v>
      </c>
    </row>
    <row r="498" spans="1:14">
      <c r="A498">
        <v>78</v>
      </c>
      <c r="B498">
        <v>1</v>
      </c>
      <c r="C498">
        <v>394</v>
      </c>
      <c r="D498">
        <v>0.22411522971313128</v>
      </c>
      <c r="E498">
        <v>7</v>
      </c>
      <c r="F498">
        <v>0</v>
      </c>
      <c r="G498">
        <v>8.6463021423958744E-2</v>
      </c>
      <c r="H498">
        <v>8923.9807689999961</v>
      </c>
      <c r="I498">
        <v>64</v>
      </c>
      <c r="J498">
        <v>8020</v>
      </c>
      <c r="K498">
        <v>1</v>
      </c>
      <c r="L498">
        <v>2</v>
      </c>
      <c r="M498">
        <v>1</v>
      </c>
      <c r="N498">
        <v>3</v>
      </c>
    </row>
    <row r="499" spans="1:14">
      <c r="A499">
        <v>78</v>
      </c>
      <c r="B499">
        <v>2</v>
      </c>
      <c r="C499">
        <v>233</v>
      </c>
      <c r="D499">
        <v>0.19913207996198365</v>
      </c>
      <c r="E499">
        <v>5</v>
      </c>
      <c r="F499">
        <v>0</v>
      </c>
      <c r="G499">
        <v>6.7124566643410682E-2</v>
      </c>
      <c r="H499">
        <v>10043.585144000004</v>
      </c>
      <c r="I499">
        <v>65</v>
      </c>
      <c r="J499">
        <v>8020</v>
      </c>
      <c r="K499">
        <v>1</v>
      </c>
      <c r="L499">
        <v>1</v>
      </c>
      <c r="M499">
        <v>1</v>
      </c>
      <c r="N499">
        <v>2</v>
      </c>
    </row>
    <row r="500" spans="1:14">
      <c r="A500">
        <v>79</v>
      </c>
      <c r="B500">
        <v>1</v>
      </c>
      <c r="C500">
        <v>376</v>
      </c>
      <c r="D500">
        <v>0.22375961754539847</v>
      </c>
      <c r="E500">
        <v>7</v>
      </c>
      <c r="F500">
        <v>0</v>
      </c>
      <c r="G500">
        <v>8.647173814732044E-2</v>
      </c>
      <c r="H500">
        <v>8938.1632930000033</v>
      </c>
      <c r="I500">
        <v>62</v>
      </c>
      <c r="J500">
        <v>8020</v>
      </c>
      <c r="K500">
        <v>1</v>
      </c>
      <c r="L500">
        <v>2</v>
      </c>
      <c r="M500">
        <v>1</v>
      </c>
      <c r="N500">
        <v>3</v>
      </c>
    </row>
    <row r="501" spans="1:14">
      <c r="A501">
        <v>79</v>
      </c>
      <c r="B501">
        <v>2</v>
      </c>
      <c r="C501">
        <v>265</v>
      </c>
      <c r="D501">
        <v>0.19911811395747844</v>
      </c>
      <c r="E501">
        <v>5</v>
      </c>
      <c r="F501">
        <v>0</v>
      </c>
      <c r="G501">
        <v>6.7124967002405014E-2</v>
      </c>
      <c r="H501">
        <v>10044.289593999965</v>
      </c>
      <c r="I501">
        <v>64</v>
      </c>
      <c r="J501">
        <v>8020</v>
      </c>
      <c r="K501">
        <v>1</v>
      </c>
      <c r="L501">
        <v>1</v>
      </c>
      <c r="M501">
        <v>1</v>
      </c>
      <c r="N501">
        <v>2</v>
      </c>
    </row>
    <row r="502" spans="1:14">
      <c r="A502">
        <v>80</v>
      </c>
      <c r="B502">
        <v>1</v>
      </c>
      <c r="C502">
        <v>440</v>
      </c>
      <c r="D502">
        <v>0.22430734358579618</v>
      </c>
      <c r="E502">
        <v>7</v>
      </c>
      <c r="F502">
        <v>0</v>
      </c>
      <c r="G502">
        <v>8.6458320020179724E-2</v>
      </c>
      <c r="H502">
        <v>8916.3375929999911</v>
      </c>
      <c r="I502">
        <v>64</v>
      </c>
      <c r="J502">
        <v>8020</v>
      </c>
      <c r="K502">
        <v>1</v>
      </c>
      <c r="L502">
        <v>2</v>
      </c>
      <c r="M502">
        <v>1</v>
      </c>
      <c r="N502">
        <v>3</v>
      </c>
    </row>
    <row r="503" spans="1:14">
      <c r="A503">
        <v>80</v>
      </c>
      <c r="B503">
        <v>2</v>
      </c>
      <c r="C503">
        <v>212</v>
      </c>
      <c r="D503">
        <v>0.19945357260451421</v>
      </c>
      <c r="E503">
        <v>5</v>
      </c>
      <c r="F503">
        <v>0</v>
      </c>
      <c r="G503">
        <v>6.7115360853871098E-2</v>
      </c>
      <c r="H503">
        <v>10027.396219999993</v>
      </c>
      <c r="I503">
        <v>64</v>
      </c>
      <c r="J503">
        <v>8020</v>
      </c>
      <c r="K503">
        <v>1</v>
      </c>
      <c r="L503">
        <v>1</v>
      </c>
      <c r="M503">
        <v>1</v>
      </c>
      <c r="N503">
        <v>2</v>
      </c>
    </row>
    <row r="514" spans="1:14">
      <c r="A514">
        <v>1</v>
      </c>
      <c r="B514">
        <v>1</v>
      </c>
      <c r="C514">
        <v>1248</v>
      </c>
      <c r="D514">
        <v>0.38492230945105993</v>
      </c>
      <c r="E514">
        <v>61</v>
      </c>
      <c r="F514">
        <v>0</v>
      </c>
      <c r="G514">
        <v>0.62374703291129829</v>
      </c>
      <c r="H514">
        <v>5195.853685</v>
      </c>
      <c r="I514">
        <v>60</v>
      </c>
      <c r="J514">
        <v>8020</v>
      </c>
      <c r="K514">
        <v>14</v>
      </c>
      <c r="L514">
        <v>19</v>
      </c>
      <c r="M514">
        <v>13</v>
      </c>
      <c r="N514">
        <v>15</v>
      </c>
    </row>
    <row r="515" spans="1:14">
      <c r="A515">
        <v>1</v>
      </c>
      <c r="B515">
        <v>2</v>
      </c>
      <c r="C515">
        <v>703</v>
      </c>
      <c r="D515">
        <v>0.32438839382009033</v>
      </c>
      <c r="E515">
        <v>28</v>
      </c>
      <c r="F515">
        <v>0</v>
      </c>
      <c r="G515">
        <v>0.29455386127174732</v>
      </c>
      <c r="H515">
        <v>6165.4486970000034</v>
      </c>
      <c r="I515">
        <v>62</v>
      </c>
      <c r="J515">
        <v>8020</v>
      </c>
      <c r="K515">
        <v>7</v>
      </c>
      <c r="L515">
        <v>7</v>
      </c>
      <c r="M515">
        <v>8</v>
      </c>
      <c r="N515">
        <v>6</v>
      </c>
    </row>
    <row r="516" spans="1:14">
      <c r="A516">
        <v>2</v>
      </c>
      <c r="B516">
        <v>1</v>
      </c>
      <c r="C516">
        <v>939</v>
      </c>
      <c r="D516">
        <v>0.37062734305417494</v>
      </c>
      <c r="E516">
        <v>40</v>
      </c>
      <c r="F516">
        <v>0</v>
      </c>
      <c r="G516">
        <v>0.41392154753350247</v>
      </c>
      <c r="H516">
        <v>5396.2559360000005</v>
      </c>
      <c r="I516">
        <v>61</v>
      </c>
      <c r="J516">
        <v>8020</v>
      </c>
      <c r="K516">
        <v>11</v>
      </c>
      <c r="L516">
        <v>10</v>
      </c>
      <c r="M516">
        <v>11</v>
      </c>
      <c r="N516">
        <v>8</v>
      </c>
    </row>
    <row r="517" spans="1:14">
      <c r="A517">
        <v>2</v>
      </c>
      <c r="B517">
        <v>2</v>
      </c>
      <c r="C517">
        <v>736</v>
      </c>
      <c r="D517">
        <v>0.31583053998236077</v>
      </c>
      <c r="E517">
        <v>21</v>
      </c>
      <c r="F517">
        <v>0</v>
      </c>
      <c r="G517">
        <v>0.22468414369438286</v>
      </c>
      <c r="H517">
        <v>6332.5098330000028</v>
      </c>
      <c r="I517">
        <v>61</v>
      </c>
      <c r="J517">
        <v>8020</v>
      </c>
      <c r="K517">
        <v>5</v>
      </c>
      <c r="L517">
        <v>6</v>
      </c>
      <c r="M517">
        <v>5</v>
      </c>
      <c r="N517">
        <v>5</v>
      </c>
    </row>
    <row r="518" spans="1:14">
      <c r="A518">
        <v>3</v>
      </c>
      <c r="B518">
        <v>1</v>
      </c>
      <c r="C518">
        <v>883</v>
      </c>
      <c r="D518">
        <v>0.40838763072007378</v>
      </c>
      <c r="E518">
        <v>66</v>
      </c>
      <c r="F518">
        <v>0</v>
      </c>
      <c r="G518">
        <v>0.67347852825688392</v>
      </c>
      <c r="H518">
        <v>4897.3079730000072</v>
      </c>
      <c r="I518">
        <v>60</v>
      </c>
      <c r="J518">
        <v>8020</v>
      </c>
      <c r="K518">
        <v>14</v>
      </c>
      <c r="L518">
        <v>17</v>
      </c>
      <c r="M518">
        <v>24</v>
      </c>
      <c r="N518">
        <v>11</v>
      </c>
    </row>
    <row r="519" spans="1:14">
      <c r="A519">
        <v>3</v>
      </c>
      <c r="B519">
        <v>2</v>
      </c>
      <c r="C519">
        <v>584</v>
      </c>
      <c r="D519">
        <v>0.3355229111148807</v>
      </c>
      <c r="E519">
        <v>23</v>
      </c>
      <c r="F519">
        <v>0</v>
      </c>
      <c r="G519">
        <v>0.24439105411437237</v>
      </c>
      <c r="H519">
        <v>5960.8448000000035</v>
      </c>
      <c r="I519">
        <v>60</v>
      </c>
      <c r="J519">
        <v>8020</v>
      </c>
      <c r="K519">
        <v>4</v>
      </c>
      <c r="L519">
        <v>6</v>
      </c>
      <c r="M519">
        <v>8</v>
      </c>
      <c r="N519">
        <v>5</v>
      </c>
    </row>
    <row r="520" spans="1:14">
      <c r="A520">
        <v>4</v>
      </c>
      <c r="B520">
        <v>1</v>
      </c>
      <c r="C520">
        <v>942</v>
      </c>
      <c r="D520">
        <v>0.41722338103605605</v>
      </c>
      <c r="E520">
        <v>90</v>
      </c>
      <c r="F520">
        <v>0</v>
      </c>
      <c r="G520">
        <v>0.91338270138048283</v>
      </c>
      <c r="H520">
        <v>4793.5952080000088</v>
      </c>
      <c r="I520">
        <v>61</v>
      </c>
      <c r="J520">
        <v>8020</v>
      </c>
      <c r="K520">
        <v>36</v>
      </c>
      <c r="L520">
        <v>17</v>
      </c>
      <c r="M520">
        <v>23</v>
      </c>
      <c r="N520">
        <v>14</v>
      </c>
    </row>
    <row r="521" spans="1:14">
      <c r="A521">
        <v>4</v>
      </c>
      <c r="B521">
        <v>2</v>
      </c>
      <c r="C521">
        <v>917</v>
      </c>
      <c r="D521">
        <v>0.34531488606030697</v>
      </c>
      <c r="E521">
        <v>29</v>
      </c>
      <c r="F521">
        <v>0</v>
      </c>
      <c r="G521">
        <v>0.30425372032379838</v>
      </c>
      <c r="H521">
        <v>5791.815182999997</v>
      </c>
      <c r="I521">
        <v>61</v>
      </c>
      <c r="J521">
        <v>8020</v>
      </c>
      <c r="K521">
        <v>7</v>
      </c>
      <c r="L521">
        <v>7</v>
      </c>
      <c r="M521">
        <v>8</v>
      </c>
      <c r="N521">
        <v>7</v>
      </c>
    </row>
    <row r="522" spans="1:14">
      <c r="A522">
        <v>5</v>
      </c>
      <c r="B522">
        <v>1</v>
      </c>
      <c r="C522">
        <v>989</v>
      </c>
      <c r="D522">
        <v>0.40077957767801442</v>
      </c>
      <c r="E522">
        <v>66</v>
      </c>
      <c r="F522">
        <v>0</v>
      </c>
      <c r="G522">
        <v>0.67356328244087482</v>
      </c>
      <c r="H522">
        <v>4990.2742340000077</v>
      </c>
      <c r="I522">
        <v>61</v>
      </c>
      <c r="J522">
        <v>8020</v>
      </c>
      <c r="K522">
        <v>20</v>
      </c>
      <c r="L522">
        <v>16</v>
      </c>
      <c r="M522">
        <v>16</v>
      </c>
      <c r="N522">
        <v>14</v>
      </c>
    </row>
    <row r="523" spans="1:14">
      <c r="A523">
        <v>5</v>
      </c>
      <c r="B523">
        <v>2</v>
      </c>
      <c r="C523">
        <v>989</v>
      </c>
      <c r="D523">
        <v>0.31383591150313989</v>
      </c>
      <c r="E523">
        <v>20</v>
      </c>
      <c r="F523">
        <v>0</v>
      </c>
      <c r="G523">
        <v>0.21471518707014062</v>
      </c>
      <c r="H523">
        <v>6372.7569940000003</v>
      </c>
      <c r="I523">
        <v>61</v>
      </c>
      <c r="J523">
        <v>8020</v>
      </c>
      <c r="K523">
        <v>5</v>
      </c>
      <c r="L523">
        <v>5</v>
      </c>
      <c r="M523">
        <v>6</v>
      </c>
      <c r="N523">
        <v>4</v>
      </c>
    </row>
    <row r="524" spans="1:14">
      <c r="A524">
        <v>6</v>
      </c>
      <c r="B524">
        <v>1</v>
      </c>
      <c r="C524">
        <v>1365</v>
      </c>
      <c r="D524">
        <v>0.42622201476651883</v>
      </c>
      <c r="E524">
        <v>61</v>
      </c>
      <c r="F524">
        <v>0</v>
      </c>
      <c r="G524">
        <v>0.62328784970956408</v>
      </c>
      <c r="H524">
        <v>4692.3901879999903</v>
      </c>
      <c r="I524">
        <v>60</v>
      </c>
      <c r="J524">
        <v>8020</v>
      </c>
      <c r="K524">
        <v>14</v>
      </c>
      <c r="L524">
        <v>19</v>
      </c>
      <c r="M524">
        <v>16</v>
      </c>
      <c r="N524">
        <v>12</v>
      </c>
    </row>
    <row r="525" spans="1:14">
      <c r="A525">
        <v>6</v>
      </c>
      <c r="B525">
        <v>2</v>
      </c>
      <c r="C525">
        <v>546</v>
      </c>
      <c r="D525">
        <v>0.33463340256289903</v>
      </c>
      <c r="E525">
        <v>21</v>
      </c>
      <c r="F525">
        <v>0</v>
      </c>
      <c r="G525">
        <v>0.22440379406601099</v>
      </c>
      <c r="H525">
        <v>5976.6896690000094</v>
      </c>
      <c r="I525">
        <v>61</v>
      </c>
      <c r="J525">
        <v>8020</v>
      </c>
      <c r="K525">
        <v>5</v>
      </c>
      <c r="L525">
        <v>7</v>
      </c>
      <c r="M525">
        <v>5</v>
      </c>
      <c r="N525">
        <v>4</v>
      </c>
    </row>
    <row r="526" spans="1:14">
      <c r="A526">
        <v>7</v>
      </c>
      <c r="B526">
        <v>1</v>
      </c>
      <c r="C526">
        <v>909</v>
      </c>
      <c r="D526">
        <v>0.42558171945455464</v>
      </c>
      <c r="E526">
        <v>154</v>
      </c>
      <c r="F526">
        <v>0</v>
      </c>
      <c r="G526">
        <v>1.5532945103062348</v>
      </c>
      <c r="H526">
        <v>4699.4499729999989</v>
      </c>
      <c r="I526">
        <v>61</v>
      </c>
      <c r="J526">
        <v>8020</v>
      </c>
      <c r="K526">
        <v>31</v>
      </c>
      <c r="L526">
        <v>39</v>
      </c>
      <c r="M526">
        <v>57</v>
      </c>
      <c r="N526">
        <v>27</v>
      </c>
    </row>
    <row r="527" spans="1:14">
      <c r="A527">
        <v>7</v>
      </c>
      <c r="B527">
        <v>2</v>
      </c>
      <c r="C527">
        <v>799</v>
      </c>
      <c r="D527">
        <v>0.33486914621011538</v>
      </c>
      <c r="E527">
        <v>31</v>
      </c>
      <c r="F527">
        <v>0</v>
      </c>
      <c r="G527">
        <v>0.32440041324286695</v>
      </c>
      <c r="H527">
        <v>5972.4821549999997</v>
      </c>
      <c r="I527">
        <v>61</v>
      </c>
      <c r="J527">
        <v>8020</v>
      </c>
      <c r="K527">
        <v>7</v>
      </c>
      <c r="L527">
        <v>8</v>
      </c>
      <c r="M527">
        <v>9</v>
      </c>
      <c r="N527">
        <v>7</v>
      </c>
    </row>
    <row r="528" spans="1:14">
      <c r="A528">
        <v>8</v>
      </c>
      <c r="B528">
        <v>1</v>
      </c>
      <c r="C528">
        <v>976</v>
      </c>
      <c r="D528">
        <v>0.39245032339965075</v>
      </c>
      <c r="E528">
        <v>38</v>
      </c>
      <c r="F528">
        <v>0</v>
      </c>
      <c r="G528">
        <v>0.39365856591603021</v>
      </c>
      <c r="H528">
        <v>5096.1863979999971</v>
      </c>
      <c r="I528">
        <v>62</v>
      </c>
      <c r="J528">
        <v>8020</v>
      </c>
      <c r="K528">
        <v>10</v>
      </c>
      <c r="L528">
        <v>9</v>
      </c>
      <c r="M528">
        <v>10</v>
      </c>
      <c r="N528">
        <v>9</v>
      </c>
    </row>
    <row r="529" spans="1:14">
      <c r="A529">
        <v>8</v>
      </c>
      <c r="B529">
        <v>2</v>
      </c>
      <c r="C529">
        <v>720</v>
      </c>
      <c r="D529">
        <v>0.32343753939822972</v>
      </c>
      <c r="E529">
        <v>19</v>
      </c>
      <c r="F529">
        <v>0</v>
      </c>
      <c r="G529">
        <v>0.20456810932345867</v>
      </c>
      <c r="H529">
        <v>6183.5741260000032</v>
      </c>
      <c r="I529">
        <v>60</v>
      </c>
      <c r="J529">
        <v>8020</v>
      </c>
      <c r="K529">
        <v>4</v>
      </c>
      <c r="L529">
        <v>5</v>
      </c>
      <c r="M529">
        <v>6</v>
      </c>
      <c r="N529">
        <v>4</v>
      </c>
    </row>
    <row r="530" spans="1:14">
      <c r="A530">
        <v>9</v>
      </c>
      <c r="B530">
        <v>1</v>
      </c>
      <c r="C530">
        <v>868</v>
      </c>
      <c r="D530">
        <v>0.400647280297245</v>
      </c>
      <c r="E530">
        <v>62</v>
      </c>
      <c r="F530">
        <v>0</v>
      </c>
      <c r="G530">
        <v>0.63356477518304344</v>
      </c>
      <c r="H530">
        <v>4991.9220680000026</v>
      </c>
      <c r="I530">
        <v>61</v>
      </c>
      <c r="J530">
        <v>8020</v>
      </c>
      <c r="K530">
        <v>16</v>
      </c>
      <c r="L530">
        <v>18</v>
      </c>
      <c r="M530">
        <v>14</v>
      </c>
      <c r="N530">
        <v>14</v>
      </c>
    </row>
    <row r="531" spans="1:14">
      <c r="A531">
        <v>9</v>
      </c>
      <c r="B531">
        <v>2</v>
      </c>
      <c r="C531">
        <v>708</v>
      </c>
      <c r="D531">
        <v>0.33375563183112189</v>
      </c>
      <c r="E531">
        <v>26</v>
      </c>
      <c r="F531">
        <v>0</v>
      </c>
      <c r="G531">
        <v>0.27441641024384184</v>
      </c>
      <c r="H531">
        <v>5992.4082450000024</v>
      </c>
      <c r="I531">
        <v>60</v>
      </c>
      <c r="J531">
        <v>8020</v>
      </c>
      <c r="K531">
        <v>6</v>
      </c>
      <c r="L531">
        <v>7</v>
      </c>
      <c r="M531">
        <v>7</v>
      </c>
      <c r="N531">
        <v>6</v>
      </c>
    </row>
    <row r="532" spans="1:14">
      <c r="A532">
        <v>10</v>
      </c>
      <c r="B532">
        <v>1</v>
      </c>
      <c r="C532">
        <v>1145</v>
      </c>
      <c r="D532">
        <v>0.39250699938351952</v>
      </c>
      <c r="E532">
        <v>60</v>
      </c>
      <c r="F532">
        <v>0</v>
      </c>
      <c r="G532">
        <v>0.61365790847558965</v>
      </c>
      <c r="H532">
        <v>5095.4505350000018</v>
      </c>
      <c r="I532">
        <v>61</v>
      </c>
      <c r="J532">
        <v>8020</v>
      </c>
      <c r="K532">
        <v>13</v>
      </c>
      <c r="L532">
        <v>10</v>
      </c>
      <c r="M532">
        <v>21</v>
      </c>
      <c r="N532">
        <v>16</v>
      </c>
    </row>
    <row r="533" spans="1:14">
      <c r="A533">
        <v>10</v>
      </c>
      <c r="B533">
        <v>2</v>
      </c>
      <c r="C533">
        <v>786</v>
      </c>
      <c r="D533">
        <v>0.3129788558400256</v>
      </c>
      <c r="E533">
        <v>21</v>
      </c>
      <c r="F533">
        <v>0</v>
      </c>
      <c r="G533">
        <v>0.22472860676260342</v>
      </c>
      <c r="H533">
        <v>6390.2080370000131</v>
      </c>
      <c r="I533">
        <v>63</v>
      </c>
      <c r="J533">
        <v>8020</v>
      </c>
      <c r="K533">
        <v>6</v>
      </c>
      <c r="L533">
        <v>5</v>
      </c>
      <c r="M533">
        <v>6</v>
      </c>
      <c r="N533">
        <v>4</v>
      </c>
    </row>
    <row r="534" spans="1:14">
      <c r="A534">
        <v>11</v>
      </c>
      <c r="B534">
        <v>1</v>
      </c>
      <c r="C534">
        <v>421</v>
      </c>
      <c r="D534">
        <v>0.43855443395402866</v>
      </c>
      <c r="E534">
        <v>18</v>
      </c>
      <c r="F534">
        <v>0</v>
      </c>
      <c r="G534">
        <v>0.19316210945138834</v>
      </c>
      <c r="H534">
        <v>4560.4373029999952</v>
      </c>
      <c r="I534">
        <v>60</v>
      </c>
      <c r="J534">
        <v>8020</v>
      </c>
      <c r="K534">
        <v>4</v>
      </c>
      <c r="L534">
        <v>5</v>
      </c>
      <c r="M534">
        <v>5</v>
      </c>
      <c r="N534">
        <v>4</v>
      </c>
    </row>
    <row r="535" spans="1:14">
      <c r="A535">
        <v>11</v>
      </c>
      <c r="B535">
        <v>2</v>
      </c>
      <c r="C535">
        <v>530</v>
      </c>
      <c r="D535">
        <v>0.35586390482813435</v>
      </c>
      <c r="E535">
        <v>9</v>
      </c>
      <c r="F535">
        <v>0</v>
      </c>
      <c r="G535">
        <v>0.10411146230644165</v>
      </c>
      <c r="H535">
        <v>5620.1260450000027</v>
      </c>
      <c r="I535">
        <v>60</v>
      </c>
      <c r="J535">
        <v>8020</v>
      </c>
      <c r="K535">
        <v>2</v>
      </c>
      <c r="L535">
        <v>2</v>
      </c>
      <c r="M535">
        <v>3</v>
      </c>
      <c r="N535">
        <v>2</v>
      </c>
    </row>
    <row r="536" spans="1:14">
      <c r="A536">
        <v>12</v>
      </c>
      <c r="B536">
        <v>1</v>
      </c>
      <c r="C536">
        <v>516</v>
      </c>
      <c r="D536">
        <v>0.43827706721241511</v>
      </c>
      <c r="E536">
        <v>18</v>
      </c>
      <c r="F536">
        <v>0</v>
      </c>
      <c r="G536">
        <v>0.19316488544388613</v>
      </c>
      <c r="H536">
        <v>4563.3234079999929</v>
      </c>
      <c r="I536">
        <v>60</v>
      </c>
      <c r="J536">
        <v>8020</v>
      </c>
      <c r="K536">
        <v>4</v>
      </c>
      <c r="L536">
        <v>5</v>
      </c>
      <c r="M536">
        <v>4</v>
      </c>
      <c r="N536">
        <v>5</v>
      </c>
    </row>
    <row r="537" spans="1:14">
      <c r="A537">
        <v>12</v>
      </c>
      <c r="B537">
        <v>2</v>
      </c>
      <c r="C537">
        <v>596</v>
      </c>
      <c r="D537">
        <v>0.35212431308295472</v>
      </c>
      <c r="E537">
        <v>9</v>
      </c>
      <c r="F537">
        <v>0</v>
      </c>
      <c r="G537">
        <v>0.1041612414981974</v>
      </c>
      <c r="H537">
        <v>5679.812286999997</v>
      </c>
      <c r="I537">
        <v>60</v>
      </c>
      <c r="J537">
        <v>8020</v>
      </c>
      <c r="K537">
        <v>2</v>
      </c>
      <c r="L537">
        <v>2</v>
      </c>
      <c r="M537">
        <v>3</v>
      </c>
      <c r="N537">
        <v>2</v>
      </c>
    </row>
    <row r="538" spans="1:14">
      <c r="A538">
        <v>13</v>
      </c>
      <c r="B538">
        <v>1</v>
      </c>
      <c r="C538">
        <v>512</v>
      </c>
      <c r="D538">
        <v>0.43555677175201818</v>
      </c>
      <c r="E538">
        <v>17</v>
      </c>
      <c r="F538">
        <v>0</v>
      </c>
      <c r="G538">
        <v>0.18319223593865616</v>
      </c>
      <c r="H538">
        <v>4591.8239130000002</v>
      </c>
      <c r="I538">
        <v>60</v>
      </c>
      <c r="J538">
        <v>8020</v>
      </c>
      <c r="K538">
        <v>4</v>
      </c>
      <c r="L538">
        <v>5</v>
      </c>
      <c r="M538">
        <v>4</v>
      </c>
      <c r="N538">
        <v>4</v>
      </c>
    </row>
    <row r="539" spans="1:14">
      <c r="A539">
        <v>13</v>
      </c>
      <c r="B539">
        <v>2</v>
      </c>
      <c r="C539">
        <v>520</v>
      </c>
      <c r="D539">
        <v>0.35396976716007295</v>
      </c>
      <c r="E539">
        <v>9</v>
      </c>
      <c r="F539">
        <v>0</v>
      </c>
      <c r="G539">
        <v>0.1041365882909658</v>
      </c>
      <c r="H539">
        <v>5650.2000610000005</v>
      </c>
      <c r="I539">
        <v>62</v>
      </c>
      <c r="J539">
        <v>8020</v>
      </c>
      <c r="K539">
        <v>2</v>
      </c>
      <c r="L539">
        <v>3</v>
      </c>
      <c r="M539">
        <v>2</v>
      </c>
      <c r="N539">
        <v>2</v>
      </c>
    </row>
    <row r="540" spans="1:14">
      <c r="A540">
        <v>14</v>
      </c>
      <c r="B540">
        <v>1</v>
      </c>
      <c r="C540">
        <v>547</v>
      </c>
      <c r="D540">
        <v>0.4271842270368012</v>
      </c>
      <c r="E540">
        <v>16</v>
      </c>
      <c r="F540">
        <v>0</v>
      </c>
      <c r="G540">
        <v>0.17327786545842258</v>
      </c>
      <c r="H540">
        <v>4681.8208009999944</v>
      </c>
      <c r="I540">
        <v>62</v>
      </c>
      <c r="J540">
        <v>8020</v>
      </c>
      <c r="K540">
        <v>4</v>
      </c>
      <c r="L540">
        <v>4</v>
      </c>
      <c r="M540">
        <v>4</v>
      </c>
      <c r="N540">
        <v>4</v>
      </c>
    </row>
    <row r="541" spans="1:14">
      <c r="A541">
        <v>14</v>
      </c>
      <c r="B541">
        <v>2</v>
      </c>
      <c r="C541">
        <v>280</v>
      </c>
      <c r="D541">
        <v>0.33591993192555702</v>
      </c>
      <c r="E541">
        <v>8</v>
      </c>
      <c r="F541">
        <v>0</v>
      </c>
      <c r="G541">
        <v>9.4385382325911704E-2</v>
      </c>
      <c r="H541">
        <v>5953.7997300000006</v>
      </c>
      <c r="I541">
        <v>61</v>
      </c>
      <c r="J541">
        <v>8020</v>
      </c>
      <c r="K541">
        <v>2</v>
      </c>
      <c r="L541">
        <v>2</v>
      </c>
      <c r="M541">
        <v>2</v>
      </c>
      <c r="N541">
        <v>2</v>
      </c>
    </row>
    <row r="542" spans="1:14">
      <c r="A542">
        <v>15</v>
      </c>
      <c r="B542">
        <v>1</v>
      </c>
      <c r="C542">
        <v>734</v>
      </c>
      <c r="D542">
        <v>0.43710680573622418</v>
      </c>
      <c r="E542">
        <v>17</v>
      </c>
      <c r="F542">
        <v>0</v>
      </c>
      <c r="G542">
        <v>0.18317662371120147</v>
      </c>
      <c r="H542">
        <v>4575.5407459999997</v>
      </c>
      <c r="I542">
        <v>61</v>
      </c>
      <c r="J542">
        <v>8020</v>
      </c>
      <c r="K542">
        <v>4</v>
      </c>
      <c r="L542">
        <v>5</v>
      </c>
      <c r="M542">
        <v>4</v>
      </c>
      <c r="N542">
        <v>4</v>
      </c>
    </row>
    <row r="543" spans="1:14">
      <c r="A543">
        <v>15</v>
      </c>
      <c r="B543">
        <v>2</v>
      </c>
      <c r="C543">
        <v>440</v>
      </c>
      <c r="D543">
        <v>0.3538417704025863</v>
      </c>
      <c r="E543">
        <v>9</v>
      </c>
      <c r="F543">
        <v>0</v>
      </c>
      <c r="G543">
        <v>0.10413829264912784</v>
      </c>
      <c r="H543">
        <v>5652.243933000007</v>
      </c>
      <c r="I543">
        <v>61</v>
      </c>
      <c r="J543">
        <v>8020</v>
      </c>
      <c r="K543">
        <v>2</v>
      </c>
      <c r="L543">
        <v>3</v>
      </c>
      <c r="M543">
        <v>2</v>
      </c>
      <c r="N543">
        <v>2</v>
      </c>
    </row>
    <row r="544" spans="1:14">
      <c r="A544">
        <v>16</v>
      </c>
      <c r="B544">
        <v>1</v>
      </c>
      <c r="C544">
        <v>606</v>
      </c>
      <c r="D544">
        <v>0.43521060038211756</v>
      </c>
      <c r="E544">
        <v>21</v>
      </c>
      <c r="F544">
        <v>0</v>
      </c>
      <c r="G544">
        <v>0.22319573276226032</v>
      </c>
      <c r="H544">
        <v>4595.4763009999933</v>
      </c>
      <c r="I544">
        <v>60</v>
      </c>
      <c r="J544">
        <v>8020</v>
      </c>
      <c r="K544">
        <v>5</v>
      </c>
      <c r="L544">
        <v>6</v>
      </c>
      <c r="M544">
        <v>5</v>
      </c>
      <c r="N544">
        <v>5</v>
      </c>
    </row>
    <row r="545" spans="1:14">
      <c r="A545">
        <v>16</v>
      </c>
      <c r="B545">
        <v>2</v>
      </c>
      <c r="C545">
        <v>589</v>
      </c>
      <c r="D545">
        <v>0.34770190434457238</v>
      </c>
      <c r="E545">
        <v>9</v>
      </c>
      <c r="F545">
        <v>0</v>
      </c>
      <c r="G545">
        <v>0.10422102752153795</v>
      </c>
      <c r="H545">
        <v>5752.0536269999866</v>
      </c>
      <c r="I545">
        <v>61</v>
      </c>
      <c r="J545">
        <v>8020</v>
      </c>
      <c r="K545">
        <v>2</v>
      </c>
      <c r="L545">
        <v>3</v>
      </c>
      <c r="M545">
        <v>2</v>
      </c>
      <c r="N545">
        <v>2</v>
      </c>
    </row>
    <row r="546" spans="1:14">
      <c r="A546">
        <v>17</v>
      </c>
      <c r="B546">
        <v>1</v>
      </c>
      <c r="C546">
        <v>350</v>
      </c>
      <c r="D546">
        <v>0.42963970532677065</v>
      </c>
      <c r="E546">
        <v>16</v>
      </c>
      <c r="F546">
        <v>0</v>
      </c>
      <c r="G546">
        <v>0.17325252188190987</v>
      </c>
      <c r="H546">
        <v>4655.0632429999969</v>
      </c>
      <c r="I546">
        <v>62</v>
      </c>
      <c r="J546">
        <v>8020</v>
      </c>
      <c r="K546">
        <v>4</v>
      </c>
      <c r="L546">
        <v>4</v>
      </c>
      <c r="M546">
        <v>4</v>
      </c>
      <c r="N546">
        <v>4</v>
      </c>
    </row>
    <row r="547" spans="1:14">
      <c r="A547">
        <v>17</v>
      </c>
      <c r="B547">
        <v>2</v>
      </c>
      <c r="C547">
        <v>407</v>
      </c>
      <c r="D547">
        <v>0.33975999384613115</v>
      </c>
      <c r="E547">
        <v>8</v>
      </c>
      <c r="F547">
        <v>0</v>
      </c>
      <c r="G547">
        <v>9.4330980991583699E-2</v>
      </c>
      <c r="H547">
        <v>5886.5082299999985</v>
      </c>
      <c r="I547">
        <v>60</v>
      </c>
      <c r="J547">
        <v>8020</v>
      </c>
      <c r="K547">
        <v>2</v>
      </c>
      <c r="L547">
        <v>2</v>
      </c>
      <c r="M547">
        <v>2</v>
      </c>
      <c r="N547">
        <v>2</v>
      </c>
    </row>
    <row r="548" spans="1:14">
      <c r="A548">
        <v>18</v>
      </c>
      <c r="B548">
        <v>1</v>
      </c>
      <c r="C548">
        <v>558</v>
      </c>
      <c r="D548">
        <v>0.43766999203701956</v>
      </c>
      <c r="E548">
        <v>19</v>
      </c>
      <c r="F548">
        <v>0</v>
      </c>
      <c r="G548">
        <v>0.20317096946682853</v>
      </c>
      <c r="H548">
        <v>4569.6530179999945</v>
      </c>
      <c r="I548">
        <v>62</v>
      </c>
      <c r="J548">
        <v>8020</v>
      </c>
      <c r="K548">
        <v>5</v>
      </c>
      <c r="L548">
        <v>5</v>
      </c>
      <c r="M548">
        <v>5</v>
      </c>
      <c r="N548">
        <v>4</v>
      </c>
    </row>
    <row r="549" spans="1:14">
      <c r="A549">
        <v>18</v>
      </c>
      <c r="B549">
        <v>2</v>
      </c>
      <c r="C549">
        <v>536</v>
      </c>
      <c r="D549">
        <v>0.34887840074630927</v>
      </c>
      <c r="E549">
        <v>9</v>
      </c>
      <c r="F549">
        <v>0</v>
      </c>
      <c r="G549">
        <v>0.10420502401824512</v>
      </c>
      <c r="H549">
        <v>5732.6564089999993</v>
      </c>
      <c r="I549">
        <v>60</v>
      </c>
      <c r="J549">
        <v>8020</v>
      </c>
      <c r="K549">
        <v>2</v>
      </c>
      <c r="L549">
        <v>2</v>
      </c>
      <c r="M549">
        <v>3</v>
      </c>
      <c r="N549">
        <v>2</v>
      </c>
    </row>
    <row r="550" spans="1:14">
      <c r="A550">
        <v>19</v>
      </c>
      <c r="B550">
        <v>1</v>
      </c>
      <c r="C550">
        <v>505</v>
      </c>
      <c r="D550">
        <v>0.43618421317713918</v>
      </c>
      <c r="E550">
        <v>17</v>
      </c>
      <c r="F550">
        <v>0</v>
      </c>
      <c r="G550">
        <v>0.18318590732246304</v>
      </c>
      <c r="H550">
        <v>4585.218675000001</v>
      </c>
      <c r="I550">
        <v>61</v>
      </c>
      <c r="J550">
        <v>8020</v>
      </c>
      <c r="K550">
        <v>4</v>
      </c>
      <c r="L550">
        <v>4</v>
      </c>
      <c r="M550">
        <v>5</v>
      </c>
      <c r="N550">
        <v>4</v>
      </c>
    </row>
    <row r="551" spans="1:14">
      <c r="A551">
        <v>19</v>
      </c>
      <c r="B551">
        <v>2</v>
      </c>
      <c r="C551">
        <v>597</v>
      </c>
      <c r="D551">
        <v>0.35564741526805449</v>
      </c>
      <c r="E551">
        <v>9</v>
      </c>
      <c r="F551">
        <v>0</v>
      </c>
      <c r="G551">
        <v>0.10411432503365306</v>
      </c>
      <c r="H551">
        <v>5623.5471260000104</v>
      </c>
      <c r="I551">
        <v>59</v>
      </c>
      <c r="J551">
        <v>8020</v>
      </c>
      <c r="K551">
        <v>2</v>
      </c>
      <c r="L551">
        <v>2</v>
      </c>
      <c r="M551">
        <v>3</v>
      </c>
      <c r="N551">
        <v>2</v>
      </c>
    </row>
    <row r="552" spans="1:14">
      <c r="A552">
        <v>20</v>
      </c>
      <c r="B552">
        <v>1</v>
      </c>
      <c r="C552">
        <v>533</v>
      </c>
      <c r="D552">
        <v>0.43867010382327537</v>
      </c>
      <c r="E552">
        <v>18</v>
      </c>
      <c r="F552">
        <v>0</v>
      </c>
      <c r="G552">
        <v>0.19316095247465256</v>
      </c>
      <c r="H552">
        <v>4559.2347930000014</v>
      </c>
      <c r="I552">
        <v>60</v>
      </c>
      <c r="J552">
        <v>8020</v>
      </c>
      <c r="K552">
        <v>4</v>
      </c>
      <c r="L552">
        <v>4</v>
      </c>
      <c r="M552">
        <v>5</v>
      </c>
      <c r="N552">
        <v>5</v>
      </c>
    </row>
    <row r="553" spans="1:14">
      <c r="A553">
        <v>20</v>
      </c>
      <c r="B553">
        <v>2</v>
      </c>
      <c r="C553">
        <v>559</v>
      </c>
      <c r="D553">
        <v>0.35324743992307522</v>
      </c>
      <c r="E553">
        <v>9</v>
      </c>
      <c r="F553">
        <v>0</v>
      </c>
      <c r="G553">
        <v>0.10414621732098288</v>
      </c>
      <c r="H553">
        <v>5661.7537000000029</v>
      </c>
      <c r="I553">
        <v>61</v>
      </c>
      <c r="J553">
        <v>8020</v>
      </c>
      <c r="K553">
        <v>2</v>
      </c>
      <c r="L553">
        <v>3</v>
      </c>
      <c r="M553">
        <v>2</v>
      </c>
      <c r="N553">
        <v>2</v>
      </c>
    </row>
    <row r="554" spans="1:14">
      <c r="A554">
        <v>21</v>
      </c>
      <c r="B554">
        <v>1</v>
      </c>
      <c r="C554">
        <v>400</v>
      </c>
      <c r="D554">
        <v>0.23626968348128671</v>
      </c>
      <c r="E554">
        <v>15</v>
      </c>
      <c r="F554">
        <v>0</v>
      </c>
      <c r="G554">
        <v>0.16617573413293008</v>
      </c>
      <c r="H554">
        <v>8464.9032009999974</v>
      </c>
      <c r="I554">
        <v>59</v>
      </c>
      <c r="J554">
        <v>8020</v>
      </c>
      <c r="K554">
        <v>5</v>
      </c>
      <c r="L554">
        <v>4</v>
      </c>
      <c r="M554">
        <v>4</v>
      </c>
      <c r="N554">
        <v>2</v>
      </c>
    </row>
    <row r="555" spans="1:14">
      <c r="A555">
        <v>21</v>
      </c>
      <c r="B555">
        <v>2</v>
      </c>
      <c r="C555">
        <v>276</v>
      </c>
      <c r="D555">
        <v>0.18449229929497862</v>
      </c>
      <c r="E555">
        <v>8</v>
      </c>
      <c r="F555">
        <v>0</v>
      </c>
      <c r="G555">
        <v>9.7566042082966847E-2</v>
      </c>
      <c r="H555">
        <v>10840.560867000017</v>
      </c>
      <c r="I555">
        <v>60</v>
      </c>
      <c r="J555">
        <v>8020</v>
      </c>
      <c r="K555">
        <v>3</v>
      </c>
      <c r="L555">
        <v>1</v>
      </c>
      <c r="M555">
        <v>3</v>
      </c>
      <c r="N555">
        <v>1</v>
      </c>
    </row>
    <row r="556" spans="1:14">
      <c r="A556">
        <v>22</v>
      </c>
      <c r="B556">
        <v>1</v>
      </c>
      <c r="C556">
        <v>358</v>
      </c>
      <c r="D556">
        <v>0.21049087776686207</v>
      </c>
      <c r="E556">
        <v>13</v>
      </c>
      <c r="F556">
        <v>0</v>
      </c>
      <c r="G556">
        <v>0.14681082034545942</v>
      </c>
      <c r="H556">
        <v>9501.5994100000062</v>
      </c>
      <c r="I556">
        <v>61</v>
      </c>
      <c r="J556">
        <v>8020</v>
      </c>
      <c r="K556">
        <v>5</v>
      </c>
      <c r="L556">
        <v>3</v>
      </c>
      <c r="M556">
        <v>3</v>
      </c>
      <c r="N556">
        <v>2</v>
      </c>
    </row>
    <row r="557" spans="1:14">
      <c r="A557">
        <v>22</v>
      </c>
      <c r="B557">
        <v>2</v>
      </c>
      <c r="C557">
        <v>284</v>
      </c>
      <c r="D557">
        <v>0.17071898768237401</v>
      </c>
      <c r="E557">
        <v>7</v>
      </c>
      <c r="F557">
        <v>0</v>
      </c>
      <c r="G557">
        <v>8.8026277721038187E-2</v>
      </c>
      <c r="H557">
        <v>11715.158502000017</v>
      </c>
      <c r="I557">
        <v>63</v>
      </c>
      <c r="J557">
        <v>8020</v>
      </c>
      <c r="K557">
        <v>2</v>
      </c>
      <c r="L557">
        <v>2</v>
      </c>
      <c r="M557">
        <v>2</v>
      </c>
      <c r="N557">
        <v>1</v>
      </c>
    </row>
    <row r="558" spans="1:14">
      <c r="A558">
        <v>23</v>
      </c>
      <c r="B558">
        <v>1</v>
      </c>
      <c r="C558">
        <v>362</v>
      </c>
      <c r="D558">
        <v>0.230605536573252</v>
      </c>
      <c r="E558">
        <v>15</v>
      </c>
      <c r="F558">
        <v>0</v>
      </c>
      <c r="G558">
        <v>0.16630710083494946</v>
      </c>
      <c r="H558">
        <v>8672.818657000018</v>
      </c>
      <c r="I558">
        <v>61</v>
      </c>
      <c r="J558">
        <v>8020</v>
      </c>
      <c r="K558">
        <v>6</v>
      </c>
      <c r="L558">
        <v>3</v>
      </c>
      <c r="M558">
        <v>3</v>
      </c>
      <c r="N558">
        <v>3</v>
      </c>
    </row>
    <row r="559" spans="1:14">
      <c r="A559">
        <v>23</v>
      </c>
      <c r="B559">
        <v>2</v>
      </c>
      <c r="C559">
        <v>249</v>
      </c>
      <c r="D559">
        <v>0.18100785950706139</v>
      </c>
      <c r="E559">
        <v>8</v>
      </c>
      <c r="F559">
        <v>0</v>
      </c>
      <c r="G559">
        <v>9.7678043128680128E-2</v>
      </c>
      <c r="H559">
        <v>11049.243969000016</v>
      </c>
      <c r="I559">
        <v>63</v>
      </c>
      <c r="J559">
        <v>8020</v>
      </c>
      <c r="K559">
        <v>3</v>
      </c>
      <c r="L559">
        <v>1</v>
      </c>
      <c r="M559">
        <v>2</v>
      </c>
      <c r="N559">
        <v>2</v>
      </c>
    </row>
    <row r="560" spans="1:14">
      <c r="A560">
        <v>24</v>
      </c>
      <c r="B560">
        <v>1</v>
      </c>
      <c r="C560">
        <v>517</v>
      </c>
      <c r="D560">
        <v>0.23095618009685998</v>
      </c>
      <c r="E560">
        <v>17</v>
      </c>
      <c r="F560">
        <v>0</v>
      </c>
      <c r="G560">
        <v>0.18629884403710953</v>
      </c>
      <c r="H560">
        <v>8659.6513639999866</v>
      </c>
      <c r="I560">
        <v>63</v>
      </c>
      <c r="J560">
        <v>8020</v>
      </c>
      <c r="K560">
        <v>7</v>
      </c>
      <c r="L560">
        <v>4</v>
      </c>
      <c r="M560">
        <v>3</v>
      </c>
      <c r="N560">
        <v>3</v>
      </c>
    </row>
    <row r="561" spans="1:14">
      <c r="A561">
        <v>24</v>
      </c>
      <c r="B561">
        <v>2</v>
      </c>
      <c r="C561">
        <v>352</v>
      </c>
      <c r="D561">
        <v>0.18103395401930583</v>
      </c>
      <c r="E561">
        <v>9</v>
      </c>
      <c r="F561">
        <v>0</v>
      </c>
      <c r="G561">
        <v>0.10767719370776842</v>
      </c>
      <c r="H561">
        <v>11047.651314000002</v>
      </c>
      <c r="I561">
        <v>63</v>
      </c>
      <c r="J561">
        <v>8020</v>
      </c>
      <c r="K561">
        <v>4</v>
      </c>
      <c r="L561">
        <v>1</v>
      </c>
      <c r="M561">
        <v>2</v>
      </c>
      <c r="N561">
        <v>2</v>
      </c>
    </row>
    <row r="562" spans="1:14">
      <c r="A562">
        <v>25</v>
      </c>
      <c r="B562">
        <v>1</v>
      </c>
      <c r="C562">
        <v>373</v>
      </c>
      <c r="D562">
        <v>0.20186259981402335</v>
      </c>
      <c r="E562">
        <v>14</v>
      </c>
      <c r="F562">
        <v>0</v>
      </c>
      <c r="G562">
        <v>0.157047003326651</v>
      </c>
      <c r="H562">
        <v>9907.7293259999933</v>
      </c>
      <c r="I562">
        <v>69</v>
      </c>
      <c r="J562">
        <v>8020</v>
      </c>
      <c r="K562">
        <v>6</v>
      </c>
      <c r="L562">
        <v>4</v>
      </c>
      <c r="M562">
        <v>3</v>
      </c>
      <c r="N562">
        <v>1</v>
      </c>
    </row>
    <row r="563" spans="1:14">
      <c r="A563">
        <v>25</v>
      </c>
      <c r="B563">
        <v>2</v>
      </c>
      <c r="C563">
        <v>195</v>
      </c>
      <c r="D563">
        <v>0.16589857441917483</v>
      </c>
      <c r="E563">
        <v>7</v>
      </c>
      <c r="F563">
        <v>0</v>
      </c>
      <c r="G563">
        <v>8.8199206324826779E-2</v>
      </c>
      <c r="H563">
        <v>12055.558687000006</v>
      </c>
      <c r="I563">
        <v>65</v>
      </c>
      <c r="J563">
        <v>8020</v>
      </c>
      <c r="K563">
        <v>2</v>
      </c>
      <c r="L563">
        <v>2</v>
      </c>
      <c r="M563">
        <v>2</v>
      </c>
      <c r="N563">
        <v>1</v>
      </c>
    </row>
    <row r="564" spans="1:14">
      <c r="A564">
        <v>26</v>
      </c>
      <c r="B564">
        <v>1</v>
      </c>
      <c r="C564">
        <v>434</v>
      </c>
      <c r="D564">
        <v>0.20429968080596841</v>
      </c>
      <c r="E564">
        <v>12</v>
      </c>
      <c r="F564">
        <v>0</v>
      </c>
      <c r="G564">
        <v>0.13697894770203997</v>
      </c>
      <c r="H564">
        <v>9789.540503000002</v>
      </c>
      <c r="I564">
        <v>63</v>
      </c>
      <c r="J564">
        <v>8020</v>
      </c>
      <c r="K564">
        <v>4</v>
      </c>
      <c r="L564">
        <v>3</v>
      </c>
      <c r="M564">
        <v>3</v>
      </c>
      <c r="N564">
        <v>2</v>
      </c>
    </row>
    <row r="565" spans="1:14">
      <c r="A565">
        <v>26</v>
      </c>
      <c r="B565">
        <v>2</v>
      </c>
      <c r="C565">
        <v>208</v>
      </c>
      <c r="D565">
        <v>0.16818477541371255</v>
      </c>
      <c r="E565">
        <v>7</v>
      </c>
      <c r="F565">
        <v>0</v>
      </c>
      <c r="G565">
        <v>8.8116366866132362E-2</v>
      </c>
      <c r="H565">
        <v>11891.682794000002</v>
      </c>
      <c r="I565">
        <v>64</v>
      </c>
      <c r="J565">
        <v>8020</v>
      </c>
      <c r="K565">
        <v>2</v>
      </c>
      <c r="L565">
        <v>2</v>
      </c>
      <c r="M565">
        <v>2</v>
      </c>
      <c r="N565">
        <v>1</v>
      </c>
    </row>
    <row r="566" spans="1:14">
      <c r="A566">
        <v>27</v>
      </c>
      <c r="B566">
        <v>1</v>
      </c>
      <c r="C566">
        <v>484</v>
      </c>
      <c r="D566">
        <v>0.21857826914338788</v>
      </c>
      <c r="E566">
        <v>13</v>
      </c>
      <c r="F566">
        <v>0</v>
      </c>
      <c r="G566">
        <v>0.14660087600677821</v>
      </c>
      <c r="H566">
        <v>9150.0404310000049</v>
      </c>
      <c r="I566">
        <v>64</v>
      </c>
      <c r="J566">
        <v>8020</v>
      </c>
      <c r="K566">
        <v>5</v>
      </c>
      <c r="L566">
        <v>3</v>
      </c>
      <c r="M566">
        <v>3</v>
      </c>
      <c r="N566">
        <v>2</v>
      </c>
    </row>
    <row r="567" spans="1:14">
      <c r="A567">
        <v>27</v>
      </c>
      <c r="B567">
        <v>2</v>
      </c>
      <c r="C567">
        <v>206</v>
      </c>
      <c r="D567">
        <v>0.17277017661722488</v>
      </c>
      <c r="E567">
        <v>7</v>
      </c>
      <c r="F567">
        <v>0</v>
      </c>
      <c r="G567">
        <v>8.7954655401826135E-2</v>
      </c>
      <c r="H567">
        <v>11576.071977000014</v>
      </c>
      <c r="I567">
        <v>64</v>
      </c>
      <c r="J567">
        <v>8020</v>
      </c>
      <c r="K567">
        <v>2</v>
      </c>
      <c r="L567">
        <v>2</v>
      </c>
      <c r="M567">
        <v>2</v>
      </c>
      <c r="N567">
        <v>1</v>
      </c>
    </row>
    <row r="568" spans="1:14">
      <c r="A568">
        <v>28</v>
      </c>
      <c r="B568">
        <v>1</v>
      </c>
      <c r="C568">
        <v>660</v>
      </c>
      <c r="D568">
        <v>0.22260986455295678</v>
      </c>
      <c r="E568">
        <v>17</v>
      </c>
      <c r="F568">
        <v>0</v>
      </c>
      <c r="G568">
        <v>0.1865000476423479</v>
      </c>
      <c r="H568">
        <v>8984.3278239999963</v>
      </c>
      <c r="I568">
        <v>62</v>
      </c>
      <c r="J568">
        <v>8020</v>
      </c>
      <c r="K568">
        <v>7</v>
      </c>
      <c r="L568">
        <v>4</v>
      </c>
      <c r="M568">
        <v>3</v>
      </c>
      <c r="N568">
        <v>3</v>
      </c>
    </row>
    <row r="569" spans="1:14">
      <c r="A569">
        <v>28</v>
      </c>
      <c r="B569">
        <v>2</v>
      </c>
      <c r="C569">
        <v>130</v>
      </c>
      <c r="D569">
        <v>0.12747337937263933</v>
      </c>
      <c r="E569">
        <v>4</v>
      </c>
      <c r="F569">
        <v>0</v>
      </c>
      <c r="G569">
        <v>5.9869800206222609E-2</v>
      </c>
      <c r="H569">
        <v>15689.550318999989</v>
      </c>
      <c r="I569">
        <v>60</v>
      </c>
      <c r="J569">
        <v>8020</v>
      </c>
      <c r="K569">
        <v>1</v>
      </c>
      <c r="L569">
        <v>1</v>
      </c>
      <c r="M569">
        <v>1</v>
      </c>
      <c r="N569">
        <v>1</v>
      </c>
    </row>
    <row r="570" spans="1:14">
      <c r="A570">
        <v>29</v>
      </c>
      <c r="B570">
        <v>1</v>
      </c>
      <c r="C570">
        <v>330</v>
      </c>
      <c r="D570">
        <v>0.22101488081931875</v>
      </c>
      <c r="E570">
        <v>14</v>
      </c>
      <c r="F570">
        <v>0</v>
      </c>
      <c r="G570">
        <v>0.15653964415070465</v>
      </c>
      <c r="H570">
        <v>9049.1644389999892</v>
      </c>
      <c r="I570">
        <v>63</v>
      </c>
      <c r="J570">
        <v>8020</v>
      </c>
      <c r="K570">
        <v>5</v>
      </c>
      <c r="L570">
        <v>3</v>
      </c>
      <c r="M570">
        <v>4</v>
      </c>
      <c r="N570">
        <v>2</v>
      </c>
    </row>
    <row r="571" spans="1:14">
      <c r="A571">
        <v>29</v>
      </c>
      <c r="B571">
        <v>2</v>
      </c>
      <c r="C571">
        <v>224</v>
      </c>
      <c r="D571">
        <v>0.17015720221641376</v>
      </c>
      <c r="E571">
        <v>7</v>
      </c>
      <c r="F571">
        <v>0</v>
      </c>
      <c r="G571">
        <v>8.8046094251894386E-2</v>
      </c>
      <c r="H571">
        <v>11753.836886999987</v>
      </c>
      <c r="I571">
        <v>62</v>
      </c>
      <c r="J571">
        <v>8020</v>
      </c>
      <c r="K571">
        <v>2</v>
      </c>
      <c r="L571">
        <v>2</v>
      </c>
      <c r="M571">
        <v>1</v>
      </c>
      <c r="N571">
        <v>2</v>
      </c>
    </row>
    <row r="572" spans="1:14">
      <c r="A572">
        <v>30</v>
      </c>
      <c r="B572">
        <v>1</v>
      </c>
      <c r="C572">
        <v>384</v>
      </c>
      <c r="D572">
        <v>0.20196646470093585</v>
      </c>
      <c r="E572">
        <v>12</v>
      </c>
      <c r="F572">
        <v>0</v>
      </c>
      <c r="G572">
        <v>0.13704408058288345</v>
      </c>
      <c r="H572">
        <v>9902.6340979999968</v>
      </c>
      <c r="I572">
        <v>64</v>
      </c>
      <c r="J572">
        <v>8020</v>
      </c>
      <c r="K572">
        <v>4</v>
      </c>
      <c r="L572">
        <v>3</v>
      </c>
      <c r="M572">
        <v>3</v>
      </c>
      <c r="N572">
        <v>2</v>
      </c>
    </row>
    <row r="573" spans="1:14">
      <c r="A573">
        <v>30</v>
      </c>
      <c r="B573">
        <v>2</v>
      </c>
      <c r="C573">
        <v>191</v>
      </c>
      <c r="D573">
        <v>0.16401373004070716</v>
      </c>
      <c r="E573">
        <v>8</v>
      </c>
      <c r="F573">
        <v>0</v>
      </c>
      <c r="G573">
        <v>9.8268656002966318E-2</v>
      </c>
      <c r="H573">
        <v>12194.101064000026</v>
      </c>
      <c r="I573">
        <v>69</v>
      </c>
      <c r="J573">
        <v>8020</v>
      </c>
      <c r="K573">
        <v>3</v>
      </c>
      <c r="L573">
        <v>3</v>
      </c>
      <c r="M573">
        <v>1</v>
      </c>
      <c r="N573">
        <v>1</v>
      </c>
    </row>
    <row r="574" spans="1:14">
      <c r="A574">
        <v>31</v>
      </c>
      <c r="B574">
        <v>1</v>
      </c>
      <c r="C574">
        <v>70</v>
      </c>
      <c r="D574">
        <v>0.22449029834139914</v>
      </c>
      <c r="E574">
        <v>7</v>
      </c>
      <c r="F574">
        <v>0</v>
      </c>
      <c r="G574">
        <v>8.6453847746305379E-2</v>
      </c>
      <c r="H574">
        <v>8909.0709700000079</v>
      </c>
      <c r="I574">
        <v>62</v>
      </c>
      <c r="J574">
        <v>8020</v>
      </c>
      <c r="K574">
        <v>2</v>
      </c>
      <c r="L574">
        <v>2</v>
      </c>
      <c r="M574">
        <v>1</v>
      </c>
      <c r="N574">
        <v>2</v>
      </c>
    </row>
    <row r="575" spans="1:14">
      <c r="A575">
        <v>31</v>
      </c>
      <c r="B575">
        <v>2</v>
      </c>
      <c r="C575">
        <v>45</v>
      </c>
      <c r="D575">
        <v>0.19611461011514986</v>
      </c>
      <c r="E575">
        <v>5</v>
      </c>
      <c r="F575">
        <v>0</v>
      </c>
      <c r="G575">
        <v>6.7211947671102987E-2</v>
      </c>
      <c r="H575">
        <v>10198.118329000008</v>
      </c>
      <c r="I575">
        <v>64</v>
      </c>
      <c r="J575">
        <v>8020</v>
      </c>
      <c r="K575">
        <v>2</v>
      </c>
      <c r="L575">
        <v>1</v>
      </c>
      <c r="M575">
        <v>1</v>
      </c>
      <c r="N575">
        <v>1</v>
      </c>
    </row>
    <row r="576" spans="1:14">
      <c r="A576">
        <v>32</v>
      </c>
      <c r="B576">
        <v>1</v>
      </c>
      <c r="C576">
        <v>232</v>
      </c>
      <c r="D576">
        <v>0.22974135789607322</v>
      </c>
      <c r="E576">
        <v>7</v>
      </c>
      <c r="F576">
        <v>0</v>
      </c>
      <c r="G576">
        <v>8.6327521793433434E-2</v>
      </c>
      <c r="H576">
        <v>8705.4417120000162</v>
      </c>
      <c r="I576">
        <v>64</v>
      </c>
      <c r="J576">
        <v>8020</v>
      </c>
      <c r="K576">
        <v>2</v>
      </c>
      <c r="L576">
        <v>2</v>
      </c>
      <c r="M576">
        <v>2</v>
      </c>
      <c r="N576">
        <v>1</v>
      </c>
    </row>
    <row r="577" spans="1:14">
      <c r="A577">
        <v>32</v>
      </c>
      <c r="B577">
        <v>2</v>
      </c>
      <c r="C577">
        <v>48</v>
      </c>
      <c r="D577">
        <v>0.19676080670443652</v>
      </c>
      <c r="E577">
        <v>5</v>
      </c>
      <c r="F577">
        <v>0</v>
      </c>
      <c r="G577">
        <v>6.7193084666513317E-2</v>
      </c>
      <c r="H577">
        <v>10164.625940999989</v>
      </c>
      <c r="I577">
        <v>62</v>
      </c>
      <c r="J577">
        <v>8020</v>
      </c>
      <c r="K577">
        <v>2</v>
      </c>
      <c r="L577">
        <v>1</v>
      </c>
      <c r="M577">
        <v>1</v>
      </c>
      <c r="N577">
        <v>1</v>
      </c>
    </row>
    <row r="578" spans="1:14">
      <c r="A578">
        <v>33</v>
      </c>
      <c r="B578">
        <v>1</v>
      </c>
      <c r="C578">
        <v>73</v>
      </c>
      <c r="D578">
        <v>0.23247996574050636</v>
      </c>
      <c r="E578">
        <v>7</v>
      </c>
      <c r="F578">
        <v>0</v>
      </c>
      <c r="G578">
        <v>8.6263155793069327E-2</v>
      </c>
      <c r="H578">
        <v>8602.8918389999926</v>
      </c>
      <c r="I578">
        <v>64</v>
      </c>
      <c r="J578">
        <v>8020</v>
      </c>
      <c r="K578">
        <v>2</v>
      </c>
      <c r="L578">
        <v>2</v>
      </c>
      <c r="M578">
        <v>2</v>
      </c>
      <c r="N578">
        <v>1</v>
      </c>
    </row>
    <row r="579" spans="1:14">
      <c r="A579">
        <v>33</v>
      </c>
      <c r="B579">
        <v>2</v>
      </c>
      <c r="C579">
        <v>41</v>
      </c>
      <c r="D579">
        <v>0.19944760468852724</v>
      </c>
      <c r="E579">
        <v>5</v>
      </c>
      <c r="F579">
        <v>0</v>
      </c>
      <c r="G579">
        <v>6.7115531562057948E-2</v>
      </c>
      <c r="H579">
        <v>10027.696262000009</v>
      </c>
      <c r="I579">
        <v>64</v>
      </c>
      <c r="J579">
        <v>8020</v>
      </c>
      <c r="K579">
        <v>2</v>
      </c>
      <c r="L579">
        <v>1</v>
      </c>
      <c r="M579">
        <v>1</v>
      </c>
      <c r="N579">
        <v>1</v>
      </c>
    </row>
    <row r="580" spans="1:14">
      <c r="A580">
        <v>34</v>
      </c>
      <c r="B580">
        <v>1</v>
      </c>
      <c r="C580">
        <v>75</v>
      </c>
      <c r="D580">
        <v>0.22345952615968845</v>
      </c>
      <c r="E580">
        <v>7</v>
      </c>
      <c r="F580">
        <v>0</v>
      </c>
      <c r="G580">
        <v>8.6479108334576116E-2</v>
      </c>
      <c r="H580">
        <v>8950.1666559999849</v>
      </c>
      <c r="I580">
        <v>60</v>
      </c>
      <c r="J580">
        <v>8020</v>
      </c>
      <c r="K580">
        <v>2</v>
      </c>
      <c r="L580">
        <v>2</v>
      </c>
      <c r="M580">
        <v>1</v>
      </c>
      <c r="N580">
        <v>2</v>
      </c>
    </row>
    <row r="581" spans="1:14">
      <c r="A581">
        <v>34</v>
      </c>
      <c r="B581">
        <v>2</v>
      </c>
      <c r="C581">
        <v>41</v>
      </c>
      <c r="D581">
        <v>0.1967365447989749</v>
      </c>
      <c r="E581">
        <v>5</v>
      </c>
      <c r="F581">
        <v>0</v>
      </c>
      <c r="G581">
        <v>6.7193791398196895E-2</v>
      </c>
      <c r="H581">
        <v>10165.879460999973</v>
      </c>
      <c r="I581">
        <v>64</v>
      </c>
      <c r="J581">
        <v>8020</v>
      </c>
      <c r="K581">
        <v>2</v>
      </c>
      <c r="L581">
        <v>1</v>
      </c>
      <c r="M581">
        <v>1</v>
      </c>
      <c r="N581">
        <v>1</v>
      </c>
    </row>
    <row r="582" spans="1:14">
      <c r="A582">
        <v>35</v>
      </c>
      <c r="B582">
        <v>1</v>
      </c>
      <c r="C582">
        <v>217</v>
      </c>
      <c r="D582">
        <v>0.23152862853506134</v>
      </c>
      <c r="E582">
        <v>7</v>
      </c>
      <c r="F582">
        <v>0</v>
      </c>
      <c r="G582">
        <v>8.6285400130194284E-2</v>
      </c>
      <c r="H582">
        <v>8638.2406040000005</v>
      </c>
      <c r="I582">
        <v>64</v>
      </c>
      <c r="J582">
        <v>8020</v>
      </c>
      <c r="K582">
        <v>2</v>
      </c>
      <c r="L582">
        <v>2</v>
      </c>
      <c r="M582">
        <v>2</v>
      </c>
      <c r="N582">
        <v>1</v>
      </c>
    </row>
    <row r="583" spans="1:14">
      <c r="A583">
        <v>35</v>
      </c>
      <c r="B583">
        <v>2</v>
      </c>
      <c r="C583">
        <v>122</v>
      </c>
      <c r="D583">
        <v>0.19876609609187842</v>
      </c>
      <c r="E583">
        <v>5</v>
      </c>
      <c r="F583">
        <v>0</v>
      </c>
      <c r="G583">
        <v>6.7135070568378433E-2</v>
      </c>
      <c r="H583">
        <v>10062.07818799999</v>
      </c>
      <c r="I583">
        <v>63</v>
      </c>
      <c r="J583">
        <v>8020</v>
      </c>
      <c r="K583">
        <v>2</v>
      </c>
      <c r="L583">
        <v>1</v>
      </c>
      <c r="M583">
        <v>1</v>
      </c>
      <c r="N583">
        <v>1</v>
      </c>
    </row>
    <row r="584" spans="1:14">
      <c r="A584">
        <v>36</v>
      </c>
      <c r="B584">
        <v>1</v>
      </c>
      <c r="C584">
        <v>83</v>
      </c>
      <c r="D584">
        <v>0.23147507230108855</v>
      </c>
      <c r="E584">
        <v>7</v>
      </c>
      <c r="F584">
        <v>0</v>
      </c>
      <c r="G584">
        <v>8.6286656014084334E-2</v>
      </c>
      <c r="H584">
        <v>8640.2392279999931</v>
      </c>
      <c r="I584">
        <v>62</v>
      </c>
      <c r="J584">
        <v>8020</v>
      </c>
      <c r="K584">
        <v>2</v>
      </c>
      <c r="L584">
        <v>2</v>
      </c>
      <c r="M584">
        <v>2</v>
      </c>
      <c r="N584">
        <v>1</v>
      </c>
    </row>
    <row r="585" spans="1:14">
      <c r="A585">
        <v>36</v>
      </c>
      <c r="B585">
        <v>2</v>
      </c>
      <c r="C585">
        <v>93</v>
      </c>
      <c r="D585">
        <v>0.19754102268365309</v>
      </c>
      <c r="E585">
        <v>5</v>
      </c>
      <c r="F585">
        <v>0</v>
      </c>
      <c r="G585">
        <v>6.7170419300371431E-2</v>
      </c>
      <c r="H585">
        <v>10124.479324999991</v>
      </c>
      <c r="I585">
        <v>63</v>
      </c>
      <c r="J585">
        <v>8020</v>
      </c>
      <c r="K585">
        <v>2</v>
      </c>
      <c r="L585">
        <v>1</v>
      </c>
      <c r="M585">
        <v>1</v>
      </c>
      <c r="N585">
        <v>1</v>
      </c>
    </row>
    <row r="586" spans="1:14">
      <c r="A586">
        <v>37</v>
      </c>
      <c r="B586">
        <v>1</v>
      </c>
      <c r="C586">
        <v>76</v>
      </c>
      <c r="D586">
        <v>0.22959227491037953</v>
      </c>
      <c r="E586">
        <v>7</v>
      </c>
      <c r="F586">
        <v>0</v>
      </c>
      <c r="G586">
        <v>8.6331055055496403E-2</v>
      </c>
      <c r="H586">
        <v>8711.0944859999854</v>
      </c>
      <c r="I586">
        <v>60</v>
      </c>
      <c r="J586">
        <v>8020</v>
      </c>
      <c r="K586">
        <v>2</v>
      </c>
      <c r="L586">
        <v>2</v>
      </c>
      <c r="M586">
        <v>1</v>
      </c>
      <c r="N586">
        <v>2</v>
      </c>
    </row>
    <row r="587" spans="1:14">
      <c r="A587">
        <v>37</v>
      </c>
      <c r="B587">
        <v>2</v>
      </c>
      <c r="C587">
        <v>48</v>
      </c>
      <c r="D587">
        <v>0.20126735227949458</v>
      </c>
      <c r="E587">
        <v>5</v>
      </c>
      <c r="F587">
        <v>0</v>
      </c>
      <c r="G587">
        <v>6.7063792271912961E-2</v>
      </c>
      <c r="H587">
        <v>9937.0314029999936</v>
      </c>
      <c r="I587">
        <v>62</v>
      </c>
      <c r="J587">
        <v>8020</v>
      </c>
      <c r="K587">
        <v>2</v>
      </c>
      <c r="L587">
        <v>1</v>
      </c>
      <c r="M587">
        <v>1</v>
      </c>
      <c r="N587">
        <v>1</v>
      </c>
    </row>
    <row r="588" spans="1:14">
      <c r="A588">
        <v>38</v>
      </c>
      <c r="B588">
        <v>1</v>
      </c>
      <c r="C588">
        <v>65</v>
      </c>
      <c r="D588">
        <v>0.23239101472597712</v>
      </c>
      <c r="E588">
        <v>7</v>
      </c>
      <c r="F588">
        <v>0</v>
      </c>
      <c r="G588">
        <v>8.6265230514239996E-2</v>
      </c>
      <c r="H588">
        <v>8606.1847200000029</v>
      </c>
      <c r="I588">
        <v>63</v>
      </c>
      <c r="J588">
        <v>8020</v>
      </c>
      <c r="K588">
        <v>2</v>
      </c>
      <c r="L588">
        <v>2</v>
      </c>
      <c r="M588">
        <v>2</v>
      </c>
      <c r="N588">
        <v>1</v>
      </c>
    </row>
    <row r="589" spans="1:14">
      <c r="A589">
        <v>38</v>
      </c>
      <c r="B589">
        <v>2</v>
      </c>
      <c r="C589">
        <v>41</v>
      </c>
      <c r="D589">
        <v>0.20021384101569864</v>
      </c>
      <c r="E589">
        <v>5</v>
      </c>
      <c r="F589">
        <v>0</v>
      </c>
      <c r="G589">
        <v>6.709366942403365E-2</v>
      </c>
      <c r="H589">
        <v>9989.3193689999753</v>
      </c>
      <c r="I589">
        <v>63</v>
      </c>
      <c r="J589">
        <v>8020</v>
      </c>
      <c r="K589">
        <v>2</v>
      </c>
      <c r="L589">
        <v>1</v>
      </c>
      <c r="M589">
        <v>1</v>
      </c>
      <c r="N589">
        <v>1</v>
      </c>
    </row>
    <row r="590" spans="1:14">
      <c r="A590">
        <v>39</v>
      </c>
      <c r="B590">
        <v>1</v>
      </c>
      <c r="C590">
        <v>152</v>
      </c>
      <c r="D590">
        <v>0.22994178482319289</v>
      </c>
      <c r="E590">
        <v>7</v>
      </c>
      <c r="F590">
        <v>0</v>
      </c>
      <c r="G590">
        <v>8.6322776496281103E-2</v>
      </c>
      <c r="H590">
        <v>8697.8536829999921</v>
      </c>
      <c r="I590">
        <v>63</v>
      </c>
      <c r="J590">
        <v>8020</v>
      </c>
      <c r="K590">
        <v>2</v>
      </c>
      <c r="L590">
        <v>2</v>
      </c>
      <c r="M590">
        <v>2</v>
      </c>
      <c r="N590">
        <v>1</v>
      </c>
    </row>
    <row r="591" spans="1:14">
      <c r="A591">
        <v>39</v>
      </c>
      <c r="B591">
        <v>2</v>
      </c>
      <c r="C591">
        <v>122</v>
      </c>
      <c r="D591">
        <v>0.19840560781355676</v>
      </c>
      <c r="E591">
        <v>5</v>
      </c>
      <c r="F591">
        <v>0</v>
      </c>
      <c r="G591">
        <v>6.7145442007106509E-2</v>
      </c>
      <c r="H591">
        <v>10080.360238000001</v>
      </c>
      <c r="I591">
        <v>63</v>
      </c>
      <c r="J591">
        <v>8020</v>
      </c>
      <c r="K591">
        <v>2</v>
      </c>
      <c r="L591">
        <v>1</v>
      </c>
      <c r="M591">
        <v>1</v>
      </c>
      <c r="N591">
        <v>1</v>
      </c>
    </row>
    <row r="592" spans="1:14">
      <c r="A592">
        <v>40</v>
      </c>
      <c r="B592">
        <v>1</v>
      </c>
      <c r="C592">
        <v>264</v>
      </c>
      <c r="D592">
        <v>0.23187691489847448</v>
      </c>
      <c r="E592">
        <v>7</v>
      </c>
      <c r="F592">
        <v>0</v>
      </c>
      <c r="G592">
        <v>8.6277242317971084E-2</v>
      </c>
      <c r="H592">
        <v>8625.2656969999989</v>
      </c>
      <c r="I592">
        <v>64</v>
      </c>
      <c r="J592">
        <v>8020</v>
      </c>
      <c r="K592">
        <v>2</v>
      </c>
      <c r="L592">
        <v>2</v>
      </c>
      <c r="M592">
        <v>2</v>
      </c>
      <c r="N592">
        <v>1</v>
      </c>
    </row>
    <row r="593" spans="1:14">
      <c r="A593">
        <v>40</v>
      </c>
      <c r="B593">
        <v>2</v>
      </c>
      <c r="C593">
        <v>41</v>
      </c>
      <c r="D593">
        <v>0.19907952751533251</v>
      </c>
      <c r="E593">
        <v>5</v>
      </c>
      <c r="F593">
        <v>0</v>
      </c>
      <c r="G593">
        <v>6.7126073342283099E-2</v>
      </c>
      <c r="H593">
        <v>10046.236420999974</v>
      </c>
      <c r="I593">
        <v>63</v>
      </c>
      <c r="J593">
        <v>8020</v>
      </c>
      <c r="K593">
        <v>2</v>
      </c>
      <c r="L593">
        <v>1</v>
      </c>
      <c r="M593">
        <v>1</v>
      </c>
      <c r="N593">
        <v>1</v>
      </c>
    </row>
    <row r="594" spans="1:14">
      <c r="A594">
        <v>41</v>
      </c>
      <c r="B594">
        <v>1</v>
      </c>
      <c r="C594">
        <v>559</v>
      </c>
      <c r="D594">
        <v>0.22278379563798606</v>
      </c>
      <c r="E594">
        <v>35</v>
      </c>
      <c r="F594">
        <v>0</v>
      </c>
      <c r="G594">
        <v>0.36649575256879507</v>
      </c>
      <c r="H594">
        <v>8977.3136070000019</v>
      </c>
      <c r="I594">
        <v>64</v>
      </c>
      <c r="J594">
        <v>8020</v>
      </c>
      <c r="K594">
        <v>1</v>
      </c>
      <c r="L594">
        <v>15</v>
      </c>
      <c r="M594">
        <v>18</v>
      </c>
      <c r="N594">
        <v>1</v>
      </c>
    </row>
    <row r="595" spans="1:14">
      <c r="A595">
        <v>41</v>
      </c>
      <c r="B595">
        <v>2</v>
      </c>
      <c r="C595">
        <v>328</v>
      </c>
      <c r="D595">
        <v>0.17670574736035205</v>
      </c>
      <c r="E595">
        <v>9</v>
      </c>
      <c r="F595">
        <v>0</v>
      </c>
      <c r="G595">
        <v>0.10782035870208237</v>
      </c>
      <c r="H595">
        <v>11318.250990000031</v>
      </c>
      <c r="I595">
        <v>64</v>
      </c>
      <c r="J595">
        <v>8020</v>
      </c>
      <c r="K595">
        <v>1</v>
      </c>
      <c r="L595">
        <v>3</v>
      </c>
      <c r="M595">
        <v>4</v>
      </c>
      <c r="N595">
        <v>1</v>
      </c>
    </row>
    <row r="596" spans="1:14">
      <c r="A596">
        <v>42</v>
      </c>
      <c r="B596">
        <v>1</v>
      </c>
      <c r="C596">
        <v>606</v>
      </c>
      <c r="D596">
        <v>0.20883682174678883</v>
      </c>
      <c r="E596">
        <v>20</v>
      </c>
      <c r="F596">
        <v>0</v>
      </c>
      <c r="G596">
        <v>0.21685508608479187</v>
      </c>
      <c r="H596">
        <v>9576.8551889999871</v>
      </c>
      <c r="I596">
        <v>70</v>
      </c>
      <c r="J596">
        <v>8020</v>
      </c>
      <c r="K596">
        <v>3</v>
      </c>
      <c r="L596">
        <v>5</v>
      </c>
      <c r="M596">
        <v>11</v>
      </c>
      <c r="N596">
        <v>1</v>
      </c>
    </row>
    <row r="597" spans="1:14">
      <c r="A597">
        <v>42</v>
      </c>
      <c r="B597">
        <v>2</v>
      </c>
      <c r="C597">
        <v>464</v>
      </c>
      <c r="D597">
        <v>0.17280399386194217</v>
      </c>
      <c r="E597">
        <v>9</v>
      </c>
      <c r="F597">
        <v>0</v>
      </c>
      <c r="G597">
        <v>0.1079534841006043</v>
      </c>
      <c r="H597">
        <v>11573.806573000011</v>
      </c>
      <c r="I597">
        <v>69</v>
      </c>
      <c r="J597">
        <v>8020</v>
      </c>
      <c r="K597">
        <v>2</v>
      </c>
      <c r="L597">
        <v>3</v>
      </c>
      <c r="M597">
        <v>3</v>
      </c>
      <c r="N597">
        <v>1</v>
      </c>
    </row>
    <row r="598" spans="1:14">
      <c r="A598">
        <v>43</v>
      </c>
      <c r="B598">
        <v>1</v>
      </c>
      <c r="C598">
        <v>849</v>
      </c>
      <c r="D598">
        <v>0.23878322461440996</v>
      </c>
      <c r="E598">
        <v>36</v>
      </c>
      <c r="F598">
        <v>0</v>
      </c>
      <c r="G598">
        <v>0.37611877608904648</v>
      </c>
      <c r="H598">
        <v>8375.7977689999971</v>
      </c>
      <c r="I598">
        <v>60</v>
      </c>
      <c r="J598">
        <v>8020</v>
      </c>
      <c r="K598">
        <v>1</v>
      </c>
      <c r="L598">
        <v>24</v>
      </c>
      <c r="M598">
        <v>8</v>
      </c>
      <c r="N598">
        <v>3</v>
      </c>
    </row>
    <row r="599" spans="1:14">
      <c r="A599">
        <v>43</v>
      </c>
      <c r="B599">
        <v>2</v>
      </c>
      <c r="C599">
        <v>372</v>
      </c>
      <c r="D599">
        <v>0.18873299886257522</v>
      </c>
      <c r="E599">
        <v>10</v>
      </c>
      <c r="F599">
        <v>0</v>
      </c>
      <c r="G599">
        <v>0.11743347860552664</v>
      </c>
      <c r="H599">
        <v>10596.980983999983</v>
      </c>
      <c r="I599">
        <v>64</v>
      </c>
      <c r="J599">
        <v>8020</v>
      </c>
      <c r="K599">
        <v>1</v>
      </c>
      <c r="L599">
        <v>4</v>
      </c>
      <c r="M599">
        <v>4</v>
      </c>
      <c r="N599">
        <v>1</v>
      </c>
    </row>
    <row r="600" spans="1:14">
      <c r="A600">
        <v>44</v>
      </c>
      <c r="B600">
        <v>1</v>
      </c>
      <c r="C600">
        <v>708</v>
      </c>
      <c r="D600">
        <v>0.21918571744517923</v>
      </c>
      <c r="E600">
        <v>20</v>
      </c>
      <c r="F600">
        <v>0</v>
      </c>
      <c r="G600">
        <v>0.21658552600414158</v>
      </c>
      <c r="H600">
        <v>9124.6821340000042</v>
      </c>
      <c r="I600">
        <v>70</v>
      </c>
      <c r="J600">
        <v>8020</v>
      </c>
      <c r="K600">
        <v>4</v>
      </c>
      <c r="L600">
        <v>6</v>
      </c>
      <c r="M600">
        <v>9</v>
      </c>
      <c r="N600">
        <v>1</v>
      </c>
    </row>
    <row r="601" spans="1:14">
      <c r="A601">
        <v>44</v>
      </c>
      <c r="B601">
        <v>2</v>
      </c>
      <c r="C601">
        <v>340</v>
      </c>
      <c r="D601">
        <v>0.17157427595579447</v>
      </c>
      <c r="E601">
        <v>8</v>
      </c>
      <c r="F601">
        <v>0</v>
      </c>
      <c r="G601">
        <v>9.799627447845484E-2</v>
      </c>
      <c r="H601">
        <v>11656.759084999976</v>
      </c>
      <c r="I601">
        <v>64</v>
      </c>
      <c r="J601">
        <v>8020</v>
      </c>
      <c r="K601">
        <v>1</v>
      </c>
      <c r="L601">
        <v>3</v>
      </c>
      <c r="M601">
        <v>3</v>
      </c>
      <c r="N601">
        <v>1</v>
      </c>
    </row>
    <row r="602" spans="1:14">
      <c r="A602">
        <v>45</v>
      </c>
      <c r="B602">
        <v>1</v>
      </c>
      <c r="C602">
        <v>805</v>
      </c>
      <c r="D602">
        <v>0.23455735951447187</v>
      </c>
      <c r="E602">
        <v>21</v>
      </c>
      <c r="F602">
        <v>0</v>
      </c>
      <c r="G602">
        <v>0.22621500095796829</v>
      </c>
      <c r="H602">
        <v>8526.6989880000019</v>
      </c>
      <c r="I602">
        <v>65</v>
      </c>
      <c r="J602">
        <v>8020</v>
      </c>
      <c r="K602">
        <v>3</v>
      </c>
      <c r="L602">
        <v>7</v>
      </c>
      <c r="M602">
        <v>8</v>
      </c>
      <c r="N602">
        <v>3</v>
      </c>
    </row>
    <row r="603" spans="1:14">
      <c r="A603">
        <v>45</v>
      </c>
      <c r="B603">
        <v>2</v>
      </c>
      <c r="C603">
        <v>634</v>
      </c>
      <c r="D603">
        <v>0.18334179017966509</v>
      </c>
      <c r="E603">
        <v>10</v>
      </c>
      <c r="F603">
        <v>0</v>
      </c>
      <c r="G603">
        <v>0.11760270905430251</v>
      </c>
      <c r="H603">
        <v>10908.587714999987</v>
      </c>
      <c r="I603">
        <v>63</v>
      </c>
      <c r="J603">
        <v>8020</v>
      </c>
      <c r="K603">
        <v>1</v>
      </c>
      <c r="L603">
        <v>4</v>
      </c>
      <c r="M603">
        <v>4</v>
      </c>
      <c r="N603">
        <v>1</v>
      </c>
    </row>
    <row r="604" spans="1:14">
      <c r="A604">
        <v>46</v>
      </c>
      <c r="B604">
        <v>1</v>
      </c>
      <c r="C604">
        <v>454</v>
      </c>
      <c r="D604">
        <v>0.22240306220477893</v>
      </c>
      <c r="E604">
        <v>48</v>
      </c>
      <c r="F604">
        <v>0</v>
      </c>
      <c r="G604">
        <v>0.49650516026906388</v>
      </c>
      <c r="H604">
        <v>8992.6819360000009</v>
      </c>
      <c r="I604">
        <v>66</v>
      </c>
      <c r="J604">
        <v>8020</v>
      </c>
      <c r="K604">
        <v>1</v>
      </c>
      <c r="L604">
        <v>19</v>
      </c>
      <c r="M604">
        <v>27</v>
      </c>
      <c r="N604">
        <v>1</v>
      </c>
    </row>
    <row r="605" spans="1:14">
      <c r="A605">
        <v>46</v>
      </c>
      <c r="B605">
        <v>2</v>
      </c>
      <c r="C605">
        <v>467</v>
      </c>
      <c r="D605">
        <v>0.1697958680412377</v>
      </c>
      <c r="E605">
        <v>9</v>
      </c>
      <c r="F605">
        <v>0</v>
      </c>
      <c r="G605">
        <v>0.108058886181951</v>
      </c>
      <c r="H605">
        <v>11778.849645000004</v>
      </c>
      <c r="I605">
        <v>64</v>
      </c>
      <c r="J605">
        <v>8020</v>
      </c>
      <c r="K605">
        <v>1</v>
      </c>
      <c r="L605">
        <v>3</v>
      </c>
      <c r="M605">
        <v>4</v>
      </c>
      <c r="N605">
        <v>1</v>
      </c>
    </row>
    <row r="606" spans="1:14">
      <c r="A606">
        <v>47</v>
      </c>
      <c r="B606">
        <v>1</v>
      </c>
      <c r="C606">
        <v>670</v>
      </c>
      <c r="D606">
        <v>0.22236589406174151</v>
      </c>
      <c r="E606">
        <v>19</v>
      </c>
      <c r="F606">
        <v>0</v>
      </c>
      <c r="G606">
        <v>0.20650607982252253</v>
      </c>
      <c r="H606">
        <v>8994.1850500000037</v>
      </c>
      <c r="I606">
        <v>61</v>
      </c>
      <c r="J606">
        <v>8020</v>
      </c>
      <c r="K606">
        <v>1</v>
      </c>
      <c r="L606">
        <v>10</v>
      </c>
      <c r="M606">
        <v>6</v>
      </c>
      <c r="N606">
        <v>2</v>
      </c>
    </row>
    <row r="607" spans="1:14">
      <c r="A607">
        <v>47</v>
      </c>
      <c r="B607">
        <v>2</v>
      </c>
      <c r="C607">
        <v>378</v>
      </c>
      <c r="D607">
        <v>0.17884914456498824</v>
      </c>
      <c r="E607">
        <v>8</v>
      </c>
      <c r="F607">
        <v>0</v>
      </c>
      <c r="G607">
        <v>9.7748883722698313E-2</v>
      </c>
      <c r="H607">
        <v>11182.608700000026</v>
      </c>
      <c r="I607">
        <v>63</v>
      </c>
      <c r="J607">
        <v>8020</v>
      </c>
      <c r="K607">
        <v>1</v>
      </c>
      <c r="L607">
        <v>3</v>
      </c>
      <c r="M607">
        <v>3</v>
      </c>
      <c r="N607">
        <v>1</v>
      </c>
    </row>
    <row r="608" spans="1:14">
      <c r="A608">
        <v>48</v>
      </c>
      <c r="B608">
        <v>1</v>
      </c>
      <c r="C608">
        <v>888</v>
      </c>
      <c r="D608">
        <v>0.21864973118264033</v>
      </c>
      <c r="E608">
        <v>19</v>
      </c>
      <c r="F608">
        <v>0</v>
      </c>
      <c r="G608">
        <v>0.20659906723601926</v>
      </c>
      <c r="H608">
        <v>9147.0498920000027</v>
      </c>
      <c r="I608">
        <v>64</v>
      </c>
      <c r="J608">
        <v>8020</v>
      </c>
      <c r="K608">
        <v>2</v>
      </c>
      <c r="L608">
        <v>6</v>
      </c>
      <c r="M608">
        <v>10</v>
      </c>
      <c r="N608">
        <v>1</v>
      </c>
    </row>
    <row r="609" spans="1:14">
      <c r="A609">
        <v>48</v>
      </c>
      <c r="B609">
        <v>2</v>
      </c>
      <c r="C609">
        <v>725</v>
      </c>
      <c r="D609">
        <v>0.16966881189077576</v>
      </c>
      <c r="E609">
        <v>15</v>
      </c>
      <c r="F609">
        <v>0</v>
      </c>
      <c r="G609">
        <v>0.16806339284413688</v>
      </c>
      <c r="H609">
        <v>11787.670213000014</v>
      </c>
      <c r="I609">
        <v>63</v>
      </c>
      <c r="J609">
        <v>8020</v>
      </c>
      <c r="K609">
        <v>2</v>
      </c>
      <c r="L609">
        <v>6</v>
      </c>
      <c r="M609">
        <v>1</v>
      </c>
      <c r="N609">
        <v>6</v>
      </c>
    </row>
    <row r="610" spans="1:14">
      <c r="A610">
        <v>49</v>
      </c>
      <c r="B610">
        <v>1</v>
      </c>
      <c r="C610">
        <v>503</v>
      </c>
      <c r="D610">
        <v>0.22742392963300204</v>
      </c>
      <c r="E610">
        <v>21</v>
      </c>
      <c r="F610">
        <v>0</v>
      </c>
      <c r="G610">
        <v>0.22638279311249165</v>
      </c>
      <c r="H610">
        <v>8794.1493370000026</v>
      </c>
      <c r="I610">
        <v>56</v>
      </c>
      <c r="J610">
        <v>8020</v>
      </c>
      <c r="K610">
        <v>1</v>
      </c>
      <c r="L610">
        <v>11</v>
      </c>
      <c r="M610">
        <v>7</v>
      </c>
      <c r="N610">
        <v>2</v>
      </c>
    </row>
    <row r="611" spans="1:14">
      <c r="A611">
        <v>49</v>
      </c>
      <c r="B611">
        <v>2</v>
      </c>
      <c r="C611">
        <v>392</v>
      </c>
      <c r="D611">
        <v>0.18399148197745191</v>
      </c>
      <c r="E611">
        <v>9</v>
      </c>
      <c r="F611">
        <v>0</v>
      </c>
      <c r="G611">
        <v>0.10758196566086795</v>
      </c>
      <c r="H611">
        <v>10870.068432000016</v>
      </c>
      <c r="I611">
        <v>60</v>
      </c>
      <c r="J611">
        <v>8020</v>
      </c>
      <c r="K611">
        <v>1</v>
      </c>
      <c r="L611">
        <v>3</v>
      </c>
      <c r="M611">
        <v>4</v>
      </c>
      <c r="N611">
        <v>1</v>
      </c>
    </row>
    <row r="612" spans="1:14">
      <c r="A612">
        <v>50</v>
      </c>
      <c r="B612">
        <v>1</v>
      </c>
      <c r="C612">
        <v>722</v>
      </c>
      <c r="D612">
        <v>0.23832847712447811</v>
      </c>
      <c r="E612">
        <v>34</v>
      </c>
      <c r="F612">
        <v>0</v>
      </c>
      <c r="G612">
        <v>0.35612902149482251</v>
      </c>
      <c r="H612">
        <v>8391.7793800000127</v>
      </c>
      <c r="I612">
        <v>65</v>
      </c>
      <c r="J612">
        <v>8020</v>
      </c>
      <c r="K612">
        <v>5</v>
      </c>
      <c r="L612">
        <v>10</v>
      </c>
      <c r="M612">
        <v>18</v>
      </c>
      <c r="N612">
        <v>1</v>
      </c>
    </row>
    <row r="613" spans="1:14">
      <c r="A613">
        <v>50</v>
      </c>
      <c r="B613">
        <v>2</v>
      </c>
      <c r="C613">
        <v>418</v>
      </c>
      <c r="D613">
        <v>0.18087165743125744</v>
      </c>
      <c r="E613">
        <v>9</v>
      </c>
      <c r="F613">
        <v>0</v>
      </c>
      <c r="G613">
        <v>0.10768247939042409</v>
      </c>
      <c r="H613">
        <v>11057.564399000023</v>
      </c>
      <c r="I613">
        <v>60</v>
      </c>
      <c r="J613">
        <v>8020</v>
      </c>
      <c r="K613">
        <v>1</v>
      </c>
      <c r="L613">
        <v>3</v>
      </c>
      <c r="M613">
        <v>4</v>
      </c>
      <c r="N613">
        <v>1</v>
      </c>
    </row>
    <row r="614" spans="1:14">
      <c r="A614">
        <v>51</v>
      </c>
      <c r="B614">
        <v>1</v>
      </c>
      <c r="C614">
        <v>578</v>
      </c>
      <c r="D614">
        <v>0.2286198928010878</v>
      </c>
      <c r="E614">
        <v>8</v>
      </c>
      <c r="F614">
        <v>0</v>
      </c>
      <c r="G614">
        <v>9.6354175768519609E-2</v>
      </c>
      <c r="H614">
        <v>8748.1451220000035</v>
      </c>
      <c r="I614">
        <v>66</v>
      </c>
      <c r="J614">
        <v>8020</v>
      </c>
      <c r="K614">
        <v>2</v>
      </c>
      <c r="L614">
        <v>2</v>
      </c>
      <c r="M614">
        <v>3</v>
      </c>
      <c r="N614">
        <v>1</v>
      </c>
    </row>
    <row r="615" spans="1:14">
      <c r="A615">
        <v>51</v>
      </c>
      <c r="B615">
        <v>2</v>
      </c>
      <c r="C615">
        <v>537</v>
      </c>
      <c r="D615">
        <v>0.20955195349072714</v>
      </c>
      <c r="E615">
        <v>6</v>
      </c>
      <c r="F615">
        <v>0</v>
      </c>
      <c r="G615">
        <v>7.6835890614610089E-2</v>
      </c>
      <c r="H615">
        <v>9544.1725389999847</v>
      </c>
      <c r="I615">
        <v>61</v>
      </c>
      <c r="J615">
        <v>8020</v>
      </c>
      <c r="K615">
        <v>1</v>
      </c>
      <c r="L615">
        <v>2</v>
      </c>
      <c r="M615">
        <v>2</v>
      </c>
      <c r="N615">
        <v>1</v>
      </c>
    </row>
    <row r="616" spans="1:14">
      <c r="A616">
        <v>52</v>
      </c>
      <c r="B616">
        <v>1</v>
      </c>
      <c r="C616">
        <v>433</v>
      </c>
      <c r="D616">
        <v>0.22755757564867984</v>
      </c>
      <c r="E616">
        <v>8</v>
      </c>
      <c r="F616">
        <v>0</v>
      </c>
      <c r="G616">
        <v>9.6379585244777827E-2</v>
      </c>
      <c r="H616">
        <v>8788.9844769999982</v>
      </c>
      <c r="I616">
        <v>60</v>
      </c>
      <c r="J616">
        <v>8020</v>
      </c>
      <c r="K616">
        <v>1</v>
      </c>
      <c r="L616">
        <v>3</v>
      </c>
      <c r="M616">
        <v>3</v>
      </c>
      <c r="N616">
        <v>1</v>
      </c>
    </row>
    <row r="617" spans="1:14">
      <c r="A617">
        <v>52</v>
      </c>
      <c r="B617">
        <v>2</v>
      </c>
      <c r="C617">
        <v>324</v>
      </c>
      <c r="D617">
        <v>0.21021181598860336</v>
      </c>
      <c r="E617">
        <v>6</v>
      </c>
      <c r="F617">
        <v>0</v>
      </c>
      <c r="G617">
        <v>7.6818255993172199E-2</v>
      </c>
      <c r="H617">
        <v>9514.2130359999846</v>
      </c>
      <c r="I617">
        <v>61</v>
      </c>
      <c r="J617">
        <v>8020</v>
      </c>
      <c r="K617">
        <v>1</v>
      </c>
      <c r="L617">
        <v>2</v>
      </c>
      <c r="M617">
        <v>2</v>
      </c>
      <c r="N617">
        <v>1</v>
      </c>
    </row>
    <row r="618" spans="1:14">
      <c r="A618">
        <v>53</v>
      </c>
      <c r="B618">
        <v>1</v>
      </c>
      <c r="C618">
        <v>402</v>
      </c>
      <c r="D618">
        <v>0.23071656759186096</v>
      </c>
      <c r="E618">
        <v>8</v>
      </c>
      <c r="F618">
        <v>0</v>
      </c>
      <c r="G618">
        <v>9.6304484515773614E-2</v>
      </c>
      <c r="H618">
        <v>8668.6449129999728</v>
      </c>
      <c r="I618">
        <v>66</v>
      </c>
      <c r="J618">
        <v>8020</v>
      </c>
      <c r="K618">
        <v>2</v>
      </c>
      <c r="L618">
        <v>2</v>
      </c>
      <c r="M618">
        <v>3</v>
      </c>
      <c r="N618">
        <v>1</v>
      </c>
    </row>
    <row r="619" spans="1:14">
      <c r="A619">
        <v>53</v>
      </c>
      <c r="B619">
        <v>2</v>
      </c>
      <c r="C619">
        <v>362</v>
      </c>
      <c r="D619">
        <v>0.21034698988798295</v>
      </c>
      <c r="E619">
        <v>6</v>
      </c>
      <c r="F619">
        <v>0</v>
      </c>
      <c r="G619">
        <v>7.6814652619533519E-2</v>
      </c>
      <c r="H619">
        <v>9508.0989799999952</v>
      </c>
      <c r="I619">
        <v>61</v>
      </c>
      <c r="J619">
        <v>8020</v>
      </c>
      <c r="K619">
        <v>1</v>
      </c>
      <c r="L619">
        <v>2</v>
      </c>
      <c r="M619">
        <v>2</v>
      </c>
      <c r="N619">
        <v>1</v>
      </c>
    </row>
    <row r="620" spans="1:14">
      <c r="A620">
        <v>54</v>
      </c>
      <c r="B620">
        <v>1</v>
      </c>
      <c r="C620">
        <v>1202</v>
      </c>
      <c r="D620">
        <v>0.23190701133380712</v>
      </c>
      <c r="E620">
        <v>8</v>
      </c>
      <c r="F620">
        <v>0</v>
      </c>
      <c r="G620">
        <v>9.6276538144688131E-2</v>
      </c>
      <c r="H620">
        <v>8624.1463270000004</v>
      </c>
      <c r="I620">
        <v>63</v>
      </c>
      <c r="J620">
        <v>8020</v>
      </c>
      <c r="K620">
        <v>2</v>
      </c>
      <c r="L620">
        <v>2</v>
      </c>
      <c r="M620">
        <v>2</v>
      </c>
      <c r="N620">
        <v>2</v>
      </c>
    </row>
    <row r="621" spans="1:14">
      <c r="A621">
        <v>54</v>
      </c>
      <c r="B621">
        <v>2</v>
      </c>
      <c r="C621">
        <v>459</v>
      </c>
      <c r="D621">
        <v>0.20729752852015443</v>
      </c>
      <c r="E621">
        <v>6</v>
      </c>
      <c r="F621">
        <v>0</v>
      </c>
      <c r="G621">
        <v>7.6896702540483655E-2</v>
      </c>
      <c r="H621">
        <v>9647.968377999985</v>
      </c>
      <c r="I621">
        <v>60</v>
      </c>
      <c r="J621">
        <v>8020</v>
      </c>
      <c r="K621">
        <v>1</v>
      </c>
      <c r="L621">
        <v>2</v>
      </c>
      <c r="M621">
        <v>2</v>
      </c>
      <c r="N621">
        <v>1</v>
      </c>
    </row>
    <row r="622" spans="1:14">
      <c r="A622">
        <v>55</v>
      </c>
      <c r="B622">
        <v>1</v>
      </c>
      <c r="C622">
        <v>465</v>
      </c>
      <c r="D622">
        <v>0.23264774427347623</v>
      </c>
      <c r="E622">
        <v>9</v>
      </c>
      <c r="F622">
        <v>0</v>
      </c>
      <c r="G622">
        <v>0.10625924535381723</v>
      </c>
      <c r="H622">
        <v>8596.6876929999817</v>
      </c>
      <c r="I622">
        <v>61</v>
      </c>
      <c r="J622">
        <v>8020</v>
      </c>
      <c r="K622">
        <v>1</v>
      </c>
      <c r="L622">
        <v>4</v>
      </c>
      <c r="M622">
        <v>3</v>
      </c>
      <c r="N622">
        <v>1</v>
      </c>
    </row>
    <row r="623" spans="1:14">
      <c r="A623">
        <v>55</v>
      </c>
      <c r="B623">
        <v>2</v>
      </c>
      <c r="C623">
        <v>416</v>
      </c>
      <c r="D623">
        <v>0.21236227066419056</v>
      </c>
      <c r="E623">
        <v>6</v>
      </c>
      <c r="F623">
        <v>0</v>
      </c>
      <c r="G623">
        <v>7.6761294104202182E-2</v>
      </c>
      <c r="H623">
        <v>9417.8687849999933</v>
      </c>
      <c r="I623">
        <v>59</v>
      </c>
      <c r="J623">
        <v>8020</v>
      </c>
      <c r="K623">
        <v>1</v>
      </c>
      <c r="L623">
        <v>2</v>
      </c>
      <c r="M623">
        <v>2</v>
      </c>
      <c r="N623">
        <v>1</v>
      </c>
    </row>
    <row r="624" spans="1:14">
      <c r="A624">
        <v>56</v>
      </c>
      <c r="B624">
        <v>1</v>
      </c>
      <c r="C624">
        <v>308</v>
      </c>
      <c r="D624">
        <v>0.2303752348288631</v>
      </c>
      <c r="E624">
        <v>9</v>
      </c>
      <c r="F624">
        <v>0</v>
      </c>
      <c r="G624">
        <v>0.10631253299148263</v>
      </c>
      <c r="H624">
        <v>8681.4887090000066</v>
      </c>
      <c r="I624">
        <v>60</v>
      </c>
      <c r="J624">
        <v>8020</v>
      </c>
      <c r="K624">
        <v>1</v>
      </c>
      <c r="L624">
        <v>3</v>
      </c>
      <c r="M624">
        <v>4</v>
      </c>
      <c r="N624">
        <v>1</v>
      </c>
    </row>
    <row r="625" spans="1:14">
      <c r="A625">
        <v>56</v>
      </c>
      <c r="B625">
        <v>2</v>
      </c>
      <c r="C625">
        <v>399</v>
      </c>
      <c r="D625">
        <v>0.20939637341567077</v>
      </c>
      <c r="E625">
        <v>6</v>
      </c>
      <c r="F625">
        <v>0</v>
      </c>
      <c r="G625">
        <v>7.6840059232935604E-2</v>
      </c>
      <c r="H625">
        <v>9551.2637939999986</v>
      </c>
      <c r="I625">
        <v>60</v>
      </c>
      <c r="J625">
        <v>8020</v>
      </c>
      <c r="K625">
        <v>1</v>
      </c>
      <c r="L625">
        <v>2</v>
      </c>
      <c r="M625">
        <v>2</v>
      </c>
      <c r="N625">
        <v>1</v>
      </c>
    </row>
    <row r="626" spans="1:14">
      <c r="A626">
        <v>57</v>
      </c>
      <c r="B626">
        <v>1</v>
      </c>
      <c r="C626">
        <v>625</v>
      </c>
      <c r="D626">
        <v>0.23550418799228787</v>
      </c>
      <c r="E626">
        <v>8</v>
      </c>
      <c r="F626">
        <v>0</v>
      </c>
      <c r="G626">
        <v>9.6193241336792745E-2</v>
      </c>
      <c r="H626">
        <v>8492.4179780000122</v>
      </c>
      <c r="I626">
        <v>63</v>
      </c>
      <c r="J626">
        <v>8020</v>
      </c>
      <c r="K626">
        <v>2</v>
      </c>
      <c r="L626">
        <v>2</v>
      </c>
      <c r="M626">
        <v>2</v>
      </c>
      <c r="N626">
        <v>2</v>
      </c>
    </row>
    <row r="627" spans="1:14">
      <c r="A627">
        <v>57</v>
      </c>
      <c r="B627">
        <v>2</v>
      </c>
      <c r="C627">
        <v>406</v>
      </c>
      <c r="D627">
        <v>0.20974601169993243</v>
      </c>
      <c r="E627">
        <v>6</v>
      </c>
      <c r="F627">
        <v>0</v>
      </c>
      <c r="G627">
        <v>7.683069679174491E-2</v>
      </c>
      <c r="H627">
        <v>9535.3422160000209</v>
      </c>
      <c r="I627">
        <v>61</v>
      </c>
      <c r="J627">
        <v>8020</v>
      </c>
      <c r="K627">
        <v>1</v>
      </c>
      <c r="L627">
        <v>2</v>
      </c>
      <c r="M627">
        <v>2</v>
      </c>
      <c r="N627">
        <v>1</v>
      </c>
    </row>
    <row r="628" spans="1:14">
      <c r="A628">
        <v>58</v>
      </c>
      <c r="B628">
        <v>1</v>
      </c>
      <c r="C628">
        <v>449</v>
      </c>
      <c r="D628">
        <v>0.22884008699047406</v>
      </c>
      <c r="E628">
        <v>9</v>
      </c>
      <c r="F628">
        <v>0</v>
      </c>
      <c r="G628">
        <v>0.10634892865446861</v>
      </c>
      <c r="H628">
        <v>8739.7274940000098</v>
      </c>
      <c r="I628">
        <v>60</v>
      </c>
      <c r="J628">
        <v>8020</v>
      </c>
      <c r="K628">
        <v>1</v>
      </c>
      <c r="L628">
        <v>4</v>
      </c>
      <c r="M628">
        <v>3</v>
      </c>
      <c r="N628">
        <v>1</v>
      </c>
    </row>
    <row r="629" spans="1:14">
      <c r="A629">
        <v>58</v>
      </c>
      <c r="B629">
        <v>2</v>
      </c>
      <c r="C629">
        <v>347</v>
      </c>
      <c r="D629">
        <v>0.20973055507977548</v>
      </c>
      <c r="E629">
        <v>6</v>
      </c>
      <c r="F629">
        <v>0</v>
      </c>
      <c r="G629">
        <v>7.6831110241749462E-2</v>
      </c>
      <c r="H629">
        <v>9536.0449470000094</v>
      </c>
      <c r="I629">
        <v>60</v>
      </c>
      <c r="J629">
        <v>8020</v>
      </c>
      <c r="K629">
        <v>1</v>
      </c>
      <c r="L629">
        <v>2</v>
      </c>
      <c r="M629">
        <v>2</v>
      </c>
      <c r="N629">
        <v>1</v>
      </c>
    </row>
    <row r="630" spans="1:14">
      <c r="A630">
        <v>59</v>
      </c>
      <c r="B630">
        <v>1</v>
      </c>
      <c r="C630">
        <v>335</v>
      </c>
      <c r="D630">
        <v>0.22771179587876755</v>
      </c>
      <c r="E630">
        <v>8</v>
      </c>
      <c r="F630">
        <v>0</v>
      </c>
      <c r="G630">
        <v>9.6375886660378121E-2</v>
      </c>
      <c r="H630">
        <v>8783.0320439999887</v>
      </c>
      <c r="I630">
        <v>61</v>
      </c>
      <c r="J630">
        <v>8020</v>
      </c>
      <c r="K630">
        <v>1</v>
      </c>
      <c r="L630">
        <v>3</v>
      </c>
      <c r="M630">
        <v>3</v>
      </c>
      <c r="N630">
        <v>1</v>
      </c>
    </row>
    <row r="631" spans="1:14">
      <c r="A631">
        <v>59</v>
      </c>
      <c r="B631">
        <v>2</v>
      </c>
      <c r="C631">
        <v>387</v>
      </c>
      <c r="D631">
        <v>0.21122829244133617</v>
      </c>
      <c r="E631">
        <v>6</v>
      </c>
      <c r="F631">
        <v>0</v>
      </c>
      <c r="G631">
        <v>7.6791234901851052E-2</v>
      </c>
      <c r="H631">
        <v>9468.4285749999817</v>
      </c>
      <c r="I631">
        <v>60</v>
      </c>
      <c r="J631">
        <v>8020</v>
      </c>
      <c r="K631">
        <v>1</v>
      </c>
      <c r="L631">
        <v>2</v>
      </c>
      <c r="M631">
        <v>2</v>
      </c>
      <c r="N631">
        <v>1</v>
      </c>
    </row>
    <row r="632" spans="1:14">
      <c r="A632">
        <v>60</v>
      </c>
      <c r="B632">
        <v>1</v>
      </c>
      <c r="C632">
        <v>575</v>
      </c>
      <c r="D632">
        <v>0.23149553092917716</v>
      </c>
      <c r="E632">
        <v>10</v>
      </c>
      <c r="F632">
        <v>0</v>
      </c>
      <c r="G632">
        <v>0.11628617621727062</v>
      </c>
      <c r="H632">
        <v>8639.475639000013</v>
      </c>
      <c r="I632">
        <v>60</v>
      </c>
      <c r="J632">
        <v>8020</v>
      </c>
      <c r="K632">
        <v>1</v>
      </c>
      <c r="L632">
        <v>4</v>
      </c>
      <c r="M632">
        <v>4</v>
      </c>
      <c r="N632">
        <v>1</v>
      </c>
    </row>
    <row r="633" spans="1:14">
      <c r="A633">
        <v>60</v>
      </c>
      <c r="B633">
        <v>2</v>
      </c>
      <c r="C633">
        <v>532</v>
      </c>
      <c r="D633">
        <v>0.20748587250272651</v>
      </c>
      <c r="E633">
        <v>6</v>
      </c>
      <c r="F633">
        <v>0</v>
      </c>
      <c r="G633">
        <v>7.6891588367924299E-2</v>
      </c>
      <c r="H633">
        <v>9639.2104960000033</v>
      </c>
      <c r="I633">
        <v>60</v>
      </c>
      <c r="J633">
        <v>8020</v>
      </c>
      <c r="K633">
        <v>1</v>
      </c>
      <c r="L633">
        <v>2</v>
      </c>
      <c r="M633">
        <v>2</v>
      </c>
      <c r="N633">
        <v>1</v>
      </c>
    </row>
    <row r="634" spans="1:14">
      <c r="A634">
        <v>61</v>
      </c>
      <c r="B634">
        <v>1</v>
      </c>
      <c r="C634">
        <v>529</v>
      </c>
      <c r="D634">
        <v>0.22745273996209386</v>
      </c>
      <c r="E634">
        <v>13</v>
      </c>
      <c r="F634">
        <v>0</v>
      </c>
      <c r="G634">
        <v>0.14638210137378749</v>
      </c>
      <c r="H634">
        <v>8793.03542499998</v>
      </c>
      <c r="I634">
        <v>62</v>
      </c>
      <c r="J634">
        <v>8020</v>
      </c>
      <c r="K634">
        <v>2</v>
      </c>
      <c r="L634">
        <v>3</v>
      </c>
      <c r="M634">
        <v>3</v>
      </c>
      <c r="N634">
        <v>5</v>
      </c>
    </row>
    <row r="635" spans="1:14">
      <c r="A635">
        <v>61</v>
      </c>
      <c r="B635">
        <v>2</v>
      </c>
      <c r="C635">
        <v>395</v>
      </c>
      <c r="D635">
        <v>0.17918926246103484</v>
      </c>
      <c r="E635">
        <v>7</v>
      </c>
      <c r="F635">
        <v>0</v>
      </c>
      <c r="G635">
        <v>8.7737646932515331E-2</v>
      </c>
      <c r="H635">
        <v>11161.383067999988</v>
      </c>
      <c r="I635">
        <v>60</v>
      </c>
      <c r="J635">
        <v>8020</v>
      </c>
      <c r="K635">
        <v>1</v>
      </c>
      <c r="L635">
        <v>2</v>
      </c>
      <c r="M635">
        <v>2</v>
      </c>
      <c r="N635">
        <v>2</v>
      </c>
    </row>
    <row r="636" spans="1:14">
      <c r="A636">
        <v>62</v>
      </c>
      <c r="B636">
        <v>1</v>
      </c>
      <c r="C636">
        <v>933</v>
      </c>
      <c r="D636">
        <v>0.20976764900084777</v>
      </c>
      <c r="E636">
        <v>16</v>
      </c>
      <c r="F636">
        <v>0</v>
      </c>
      <c r="G636">
        <v>0.17683011808259563</v>
      </c>
      <c r="H636">
        <v>9534.3586559999876</v>
      </c>
      <c r="I636">
        <v>62</v>
      </c>
      <c r="J636">
        <v>8020</v>
      </c>
      <c r="K636">
        <v>3</v>
      </c>
      <c r="L636">
        <v>1</v>
      </c>
      <c r="M636">
        <v>5</v>
      </c>
      <c r="N636">
        <v>7</v>
      </c>
    </row>
    <row r="637" spans="1:14">
      <c r="A637">
        <v>62</v>
      </c>
      <c r="B637">
        <v>2</v>
      </c>
      <c r="C637">
        <v>427</v>
      </c>
      <c r="D637">
        <v>0.16698968975522188</v>
      </c>
      <c r="E637">
        <v>7</v>
      </c>
      <c r="F637">
        <v>0</v>
      </c>
      <c r="G637">
        <v>8.8159481635807502E-2</v>
      </c>
      <c r="H637">
        <v>11976.787326999982</v>
      </c>
      <c r="I637">
        <v>58</v>
      </c>
      <c r="J637">
        <v>8020</v>
      </c>
      <c r="K637">
        <v>1</v>
      </c>
      <c r="L637">
        <v>1</v>
      </c>
      <c r="M637">
        <v>2</v>
      </c>
      <c r="N637">
        <v>3</v>
      </c>
    </row>
    <row r="638" spans="1:14">
      <c r="A638">
        <v>63</v>
      </c>
      <c r="B638">
        <v>1</v>
      </c>
      <c r="C638">
        <v>793</v>
      </c>
      <c r="D638">
        <v>0.20876282239260938</v>
      </c>
      <c r="E638">
        <v>15</v>
      </c>
      <c r="F638">
        <v>0</v>
      </c>
      <c r="G638">
        <v>0.16685707736869404</v>
      </c>
      <c r="H638">
        <v>9580.2498599999963</v>
      </c>
      <c r="I638">
        <v>60</v>
      </c>
      <c r="J638">
        <v>8020</v>
      </c>
      <c r="K638">
        <v>3</v>
      </c>
      <c r="L638">
        <v>1</v>
      </c>
      <c r="M638">
        <v>5</v>
      </c>
      <c r="N638">
        <v>6</v>
      </c>
    </row>
    <row r="639" spans="1:14">
      <c r="A639">
        <v>63</v>
      </c>
      <c r="B639">
        <v>2</v>
      </c>
      <c r="C639">
        <v>492</v>
      </c>
      <c r="D639">
        <v>0.16397787876792511</v>
      </c>
      <c r="E639">
        <v>14</v>
      </c>
      <c r="F639">
        <v>0</v>
      </c>
      <c r="G639">
        <v>0.1582699872940089</v>
      </c>
      <c r="H639">
        <v>12196.767119000016</v>
      </c>
      <c r="I639">
        <v>66</v>
      </c>
      <c r="J639">
        <v>8020</v>
      </c>
      <c r="K639">
        <v>3</v>
      </c>
      <c r="L639">
        <v>1</v>
      </c>
      <c r="M639">
        <v>9</v>
      </c>
      <c r="N639">
        <v>1</v>
      </c>
    </row>
    <row r="640" spans="1:14">
      <c r="A640">
        <v>64</v>
      </c>
      <c r="B640">
        <v>1</v>
      </c>
      <c r="C640">
        <v>673</v>
      </c>
      <c r="D640">
        <v>0.22932439012486755</v>
      </c>
      <c r="E640">
        <v>20</v>
      </c>
      <c r="F640">
        <v>0</v>
      </c>
      <c r="G640">
        <v>0.21633741160977299</v>
      </c>
      <c r="H640">
        <v>8721.2703319999946</v>
      </c>
      <c r="I640">
        <v>55</v>
      </c>
      <c r="J640">
        <v>8020</v>
      </c>
      <c r="K640">
        <v>1</v>
      </c>
      <c r="L640">
        <v>7</v>
      </c>
      <c r="M640">
        <v>4</v>
      </c>
      <c r="N640">
        <v>8</v>
      </c>
    </row>
    <row r="641" spans="1:14">
      <c r="A641">
        <v>64</v>
      </c>
      <c r="B641">
        <v>2</v>
      </c>
      <c r="C641">
        <v>458</v>
      </c>
      <c r="D641">
        <v>0.18373662978792699</v>
      </c>
      <c r="E641">
        <v>8</v>
      </c>
      <c r="F641">
        <v>0</v>
      </c>
      <c r="G641">
        <v>9.7590090936601856E-2</v>
      </c>
      <c r="H641">
        <v>10885.145777999987</v>
      </c>
      <c r="I641">
        <v>58</v>
      </c>
      <c r="J641">
        <v>8020</v>
      </c>
      <c r="K641">
        <v>1</v>
      </c>
      <c r="L641">
        <v>2</v>
      </c>
      <c r="M641">
        <v>2</v>
      </c>
      <c r="N641">
        <v>3</v>
      </c>
    </row>
    <row r="642" spans="1:14">
      <c r="A642">
        <v>65</v>
      </c>
      <c r="B642">
        <v>1</v>
      </c>
      <c r="C642">
        <v>768</v>
      </c>
      <c r="D642">
        <v>0.21607257597969973</v>
      </c>
      <c r="E642">
        <v>14</v>
      </c>
      <c r="F642">
        <v>0</v>
      </c>
      <c r="G642">
        <v>0.15666480041854597</v>
      </c>
      <c r="H642">
        <v>9256.1491939999942</v>
      </c>
      <c r="I642">
        <v>62</v>
      </c>
      <c r="J642">
        <v>8020</v>
      </c>
      <c r="K642">
        <v>2</v>
      </c>
      <c r="L642">
        <v>3</v>
      </c>
      <c r="M642">
        <v>3</v>
      </c>
      <c r="N642">
        <v>6</v>
      </c>
    </row>
    <row r="643" spans="1:14">
      <c r="A643">
        <v>65</v>
      </c>
      <c r="B643">
        <v>2</v>
      </c>
      <c r="C643">
        <v>527</v>
      </c>
      <c r="D643">
        <v>0.16813854999202685</v>
      </c>
      <c r="E643">
        <v>7</v>
      </c>
      <c r="F643">
        <v>0</v>
      </c>
      <c r="G643">
        <v>8.8118026925580517E-2</v>
      </c>
      <c r="H643">
        <v>11894.952109999998</v>
      </c>
      <c r="I643">
        <v>60</v>
      </c>
      <c r="J643">
        <v>8020</v>
      </c>
      <c r="K643">
        <v>1</v>
      </c>
      <c r="L643">
        <v>2</v>
      </c>
      <c r="M643">
        <v>2</v>
      </c>
      <c r="N643">
        <v>2</v>
      </c>
    </row>
    <row r="644" spans="1:14">
      <c r="A644">
        <v>66</v>
      </c>
      <c r="B644">
        <v>1</v>
      </c>
      <c r="C644">
        <v>556</v>
      </c>
      <c r="D644">
        <v>0.22780320088582953</v>
      </c>
      <c r="E644">
        <v>25</v>
      </c>
      <c r="F644">
        <v>0</v>
      </c>
      <c r="G644">
        <v>0.26637369611714534</v>
      </c>
      <c r="H644">
        <v>8779.5078919999924</v>
      </c>
      <c r="I644">
        <v>62</v>
      </c>
      <c r="J644">
        <v>8020</v>
      </c>
      <c r="K644">
        <v>5</v>
      </c>
      <c r="L644">
        <v>1</v>
      </c>
      <c r="M644">
        <v>9</v>
      </c>
      <c r="N644">
        <v>10</v>
      </c>
    </row>
    <row r="645" spans="1:14">
      <c r="A645">
        <v>66</v>
      </c>
      <c r="B645">
        <v>2</v>
      </c>
      <c r="C645">
        <v>448</v>
      </c>
      <c r="D645">
        <v>0.17896637572395274</v>
      </c>
      <c r="E645">
        <v>8</v>
      </c>
      <c r="F645">
        <v>0</v>
      </c>
      <c r="G645">
        <v>9.7745007432736286E-2</v>
      </c>
      <c r="H645">
        <v>11175.283580000001</v>
      </c>
      <c r="I645">
        <v>60</v>
      </c>
      <c r="J645">
        <v>8020</v>
      </c>
      <c r="K645">
        <v>2</v>
      </c>
      <c r="L645">
        <v>1</v>
      </c>
      <c r="M645">
        <v>2</v>
      </c>
      <c r="N645">
        <v>3</v>
      </c>
    </row>
    <row r="646" spans="1:14">
      <c r="A646">
        <v>67</v>
      </c>
      <c r="B646">
        <v>1</v>
      </c>
      <c r="C646">
        <v>630</v>
      </c>
      <c r="D646">
        <v>0.20955309340908621</v>
      </c>
      <c r="E646">
        <v>18</v>
      </c>
      <c r="F646">
        <v>0</v>
      </c>
      <c r="G646">
        <v>0.19683586008682469</v>
      </c>
      <c r="H646">
        <v>9544.1206210000055</v>
      </c>
      <c r="I646">
        <v>62</v>
      </c>
      <c r="J646">
        <v>8020</v>
      </c>
      <c r="K646">
        <v>2</v>
      </c>
      <c r="L646">
        <v>4</v>
      </c>
      <c r="M646">
        <v>1</v>
      </c>
      <c r="N646">
        <v>11</v>
      </c>
    </row>
    <row r="647" spans="1:14">
      <c r="A647">
        <v>67</v>
      </c>
      <c r="B647">
        <v>2</v>
      </c>
      <c r="C647">
        <v>401</v>
      </c>
      <c r="D647">
        <v>0.16486692160577907</v>
      </c>
      <c r="E647">
        <v>12</v>
      </c>
      <c r="F647">
        <v>0</v>
      </c>
      <c r="G647">
        <v>0.13823708785943381</v>
      </c>
      <c r="H647">
        <v>12130.996202999973</v>
      </c>
      <c r="I647">
        <v>56</v>
      </c>
      <c r="J647">
        <v>8020</v>
      </c>
      <c r="K647">
        <v>1</v>
      </c>
      <c r="L647">
        <v>1</v>
      </c>
      <c r="M647">
        <v>1</v>
      </c>
      <c r="N647">
        <v>9</v>
      </c>
    </row>
    <row r="648" spans="1:14">
      <c r="A648">
        <v>68</v>
      </c>
      <c r="B648">
        <v>1</v>
      </c>
      <c r="C648">
        <v>652</v>
      </c>
      <c r="D648">
        <v>0.2222582965959122</v>
      </c>
      <c r="E648">
        <v>34</v>
      </c>
      <c r="F648">
        <v>0</v>
      </c>
      <c r="G648">
        <v>0.35650874297896229</v>
      </c>
      <c r="H648">
        <v>8998.5392250000004</v>
      </c>
      <c r="I648">
        <v>57</v>
      </c>
      <c r="J648">
        <v>8020</v>
      </c>
      <c r="K648">
        <v>1</v>
      </c>
      <c r="L648">
        <v>11</v>
      </c>
      <c r="M648">
        <v>1</v>
      </c>
      <c r="N648">
        <v>21</v>
      </c>
    </row>
    <row r="649" spans="1:14">
      <c r="A649">
        <v>68</v>
      </c>
      <c r="B649">
        <v>2</v>
      </c>
      <c r="C649">
        <v>432</v>
      </c>
      <c r="D649">
        <v>0.17645989150136068</v>
      </c>
      <c r="E649">
        <v>8</v>
      </c>
      <c r="F649">
        <v>0</v>
      </c>
      <c r="G649">
        <v>9.7828631037863628E-2</v>
      </c>
      <c r="H649">
        <v>11334.020343000029</v>
      </c>
      <c r="I649">
        <v>60</v>
      </c>
      <c r="J649">
        <v>8020</v>
      </c>
      <c r="K649">
        <v>1</v>
      </c>
      <c r="L649">
        <v>3</v>
      </c>
      <c r="M649">
        <v>1</v>
      </c>
      <c r="N649">
        <v>3</v>
      </c>
    </row>
    <row r="650" spans="1:14">
      <c r="A650">
        <v>69</v>
      </c>
      <c r="B650">
        <v>1</v>
      </c>
      <c r="C650">
        <v>839</v>
      </c>
      <c r="D650">
        <v>0.22229815270103959</v>
      </c>
      <c r="E650">
        <v>20</v>
      </c>
      <c r="F650">
        <v>0</v>
      </c>
      <c r="G650">
        <v>0.2165077562958154</v>
      </c>
      <c r="H650">
        <v>8996.9258659999959</v>
      </c>
      <c r="I650">
        <v>56</v>
      </c>
      <c r="J650">
        <v>8020</v>
      </c>
      <c r="K650">
        <v>1</v>
      </c>
      <c r="L650">
        <v>7</v>
      </c>
      <c r="M650">
        <v>5</v>
      </c>
      <c r="N650">
        <v>7</v>
      </c>
    </row>
    <row r="651" spans="1:14">
      <c r="A651">
        <v>69</v>
      </c>
      <c r="B651">
        <v>2</v>
      </c>
      <c r="C651">
        <v>463</v>
      </c>
      <c r="D651">
        <v>0.17554920479409186</v>
      </c>
      <c r="E651">
        <v>8</v>
      </c>
      <c r="F651">
        <v>0</v>
      </c>
      <c r="G651">
        <v>9.7859407407960439E-2</v>
      </c>
      <c r="H651">
        <v>11392.817200999993</v>
      </c>
      <c r="I651">
        <v>57</v>
      </c>
      <c r="J651">
        <v>8020</v>
      </c>
      <c r="K651">
        <v>1</v>
      </c>
      <c r="L651">
        <v>1</v>
      </c>
      <c r="M651">
        <v>3</v>
      </c>
      <c r="N651">
        <v>3</v>
      </c>
    </row>
    <row r="652" spans="1:14">
      <c r="A652">
        <v>70</v>
      </c>
      <c r="B652">
        <v>1</v>
      </c>
      <c r="C652">
        <v>741</v>
      </c>
      <c r="D652">
        <v>0.23286317136246665</v>
      </c>
      <c r="E652">
        <v>22</v>
      </c>
      <c r="F652">
        <v>0</v>
      </c>
      <c r="G652">
        <v>0.23625422987259706</v>
      </c>
      <c r="H652">
        <v>8588.7346989999987</v>
      </c>
      <c r="I652">
        <v>57</v>
      </c>
      <c r="J652">
        <v>8020</v>
      </c>
      <c r="K652">
        <v>1</v>
      </c>
      <c r="L652">
        <v>8</v>
      </c>
      <c r="M652">
        <v>5</v>
      </c>
      <c r="N652">
        <v>8</v>
      </c>
    </row>
    <row r="653" spans="1:14">
      <c r="A653">
        <v>70</v>
      </c>
      <c r="B653">
        <v>2</v>
      </c>
      <c r="C653">
        <v>540</v>
      </c>
      <c r="D653">
        <v>0.18531982200918781</v>
      </c>
      <c r="E653">
        <v>9</v>
      </c>
      <c r="F653">
        <v>0</v>
      </c>
      <c r="G653">
        <v>0.10753985673991842</v>
      </c>
      <c r="H653">
        <v>10792.153684999997</v>
      </c>
      <c r="I653">
        <v>62</v>
      </c>
      <c r="J653">
        <v>8020</v>
      </c>
      <c r="K653">
        <v>2</v>
      </c>
      <c r="L653">
        <v>2</v>
      </c>
      <c r="M653">
        <v>1</v>
      </c>
      <c r="N653">
        <v>4</v>
      </c>
    </row>
    <row r="654" spans="1:14">
      <c r="A654">
        <v>71</v>
      </c>
      <c r="B654">
        <v>1</v>
      </c>
      <c r="C654">
        <v>422</v>
      </c>
      <c r="D654">
        <v>0.22284661578357537</v>
      </c>
      <c r="E654">
        <v>7</v>
      </c>
      <c r="F654">
        <v>0</v>
      </c>
      <c r="G654">
        <v>8.6494202380019841E-2</v>
      </c>
      <c r="H654">
        <v>8974.7829149999925</v>
      </c>
      <c r="I654">
        <v>58</v>
      </c>
      <c r="J654">
        <v>8020</v>
      </c>
      <c r="K654">
        <v>1</v>
      </c>
      <c r="L654">
        <v>2</v>
      </c>
      <c r="M654">
        <v>1</v>
      </c>
      <c r="N654">
        <v>3</v>
      </c>
    </row>
    <row r="655" spans="1:14">
      <c r="A655">
        <v>71</v>
      </c>
      <c r="B655">
        <v>2</v>
      </c>
      <c r="C655">
        <v>290</v>
      </c>
      <c r="D655">
        <v>0.19778012759600211</v>
      </c>
      <c r="E655">
        <v>5</v>
      </c>
      <c r="F655">
        <v>0</v>
      </c>
      <c r="G655">
        <v>6.7163497157054775E-2</v>
      </c>
      <c r="H655">
        <v>10112.239405999997</v>
      </c>
      <c r="I655">
        <v>61</v>
      </c>
      <c r="J655">
        <v>8020</v>
      </c>
      <c r="K655">
        <v>1</v>
      </c>
      <c r="L655">
        <v>1</v>
      </c>
      <c r="M655">
        <v>1</v>
      </c>
      <c r="N655">
        <v>2</v>
      </c>
    </row>
    <row r="656" spans="1:14">
      <c r="A656">
        <v>72</v>
      </c>
      <c r="B656">
        <v>1</v>
      </c>
      <c r="C656">
        <v>503</v>
      </c>
      <c r="D656">
        <v>0.23345399998630331</v>
      </c>
      <c r="E656">
        <v>7</v>
      </c>
      <c r="F656">
        <v>0</v>
      </c>
      <c r="G656">
        <v>8.6240506145146584E-2</v>
      </c>
      <c r="H656">
        <v>8566.9982099999979</v>
      </c>
      <c r="I656">
        <v>60</v>
      </c>
      <c r="J656">
        <v>8020</v>
      </c>
      <c r="K656">
        <v>1</v>
      </c>
      <c r="L656">
        <v>2</v>
      </c>
      <c r="M656">
        <v>2</v>
      </c>
      <c r="N656">
        <v>2</v>
      </c>
    </row>
    <row r="657" spans="1:14">
      <c r="A657">
        <v>72</v>
      </c>
      <c r="B657">
        <v>2</v>
      </c>
      <c r="C657">
        <v>281</v>
      </c>
      <c r="D657">
        <v>0.19986146979958963</v>
      </c>
      <c r="E657">
        <v>5</v>
      </c>
      <c r="F657">
        <v>0</v>
      </c>
      <c r="G657">
        <v>6.7103709346009094E-2</v>
      </c>
      <c r="H657">
        <v>10006.931311000028</v>
      </c>
      <c r="I657">
        <v>60</v>
      </c>
      <c r="J657">
        <v>8020</v>
      </c>
      <c r="K657">
        <v>1</v>
      </c>
      <c r="L657">
        <v>1</v>
      </c>
      <c r="M657">
        <v>1</v>
      </c>
      <c r="N657">
        <v>2</v>
      </c>
    </row>
    <row r="658" spans="1:14">
      <c r="A658">
        <v>73</v>
      </c>
      <c r="B658">
        <v>1</v>
      </c>
      <c r="C658">
        <v>472</v>
      </c>
      <c r="D658">
        <v>0.22870910980882733</v>
      </c>
      <c r="E658">
        <v>7</v>
      </c>
      <c r="F658">
        <v>0</v>
      </c>
      <c r="G658">
        <v>8.6352048961544664E-2</v>
      </c>
      <c r="H658">
        <v>8744.7325630000214</v>
      </c>
      <c r="I658">
        <v>60</v>
      </c>
      <c r="J658">
        <v>8020</v>
      </c>
      <c r="K658">
        <v>1</v>
      </c>
      <c r="L658">
        <v>2</v>
      </c>
      <c r="M658">
        <v>2</v>
      </c>
      <c r="N658">
        <v>2</v>
      </c>
    </row>
    <row r="659" spans="1:14">
      <c r="A659">
        <v>73</v>
      </c>
      <c r="B659">
        <v>2</v>
      </c>
      <c r="C659">
        <v>272</v>
      </c>
      <c r="D659">
        <v>0.19728840423107552</v>
      </c>
      <c r="E659">
        <v>5</v>
      </c>
      <c r="F659">
        <v>0</v>
      </c>
      <c r="G659">
        <v>6.7177744810686835E-2</v>
      </c>
      <c r="H659">
        <v>10137.443241000039</v>
      </c>
      <c r="I659">
        <v>61</v>
      </c>
      <c r="J659">
        <v>8020</v>
      </c>
      <c r="K659">
        <v>1</v>
      </c>
      <c r="L659">
        <v>1</v>
      </c>
      <c r="M659">
        <v>1</v>
      </c>
      <c r="N659">
        <v>2</v>
      </c>
    </row>
    <row r="660" spans="1:14">
      <c r="A660">
        <v>74</v>
      </c>
      <c r="B660">
        <v>1</v>
      </c>
      <c r="C660">
        <v>350</v>
      </c>
      <c r="D660">
        <v>0.21781846420778142</v>
      </c>
      <c r="E660">
        <v>7</v>
      </c>
      <c r="F660">
        <v>0</v>
      </c>
      <c r="G660">
        <v>8.6620156266405693E-2</v>
      </c>
      <c r="H660">
        <v>9181.9580459999925</v>
      </c>
      <c r="I660">
        <v>55</v>
      </c>
      <c r="J660">
        <v>8020</v>
      </c>
      <c r="K660">
        <v>1</v>
      </c>
      <c r="L660">
        <v>1</v>
      </c>
      <c r="M660">
        <v>2</v>
      </c>
      <c r="N660">
        <v>3</v>
      </c>
    </row>
    <row r="661" spans="1:14">
      <c r="A661">
        <v>74</v>
      </c>
      <c r="B661">
        <v>2</v>
      </c>
      <c r="C661">
        <v>307</v>
      </c>
      <c r="D661">
        <v>0.19793621698454861</v>
      </c>
      <c r="E661">
        <v>5</v>
      </c>
      <c r="F661">
        <v>0</v>
      </c>
      <c r="G661">
        <v>6.7158984349272088E-2</v>
      </c>
      <c r="H661">
        <v>10104.265053000003</v>
      </c>
      <c r="I661">
        <v>61</v>
      </c>
      <c r="J661">
        <v>8020</v>
      </c>
      <c r="K661">
        <v>1</v>
      </c>
      <c r="L661">
        <v>1</v>
      </c>
      <c r="M661">
        <v>1</v>
      </c>
      <c r="N661">
        <v>2</v>
      </c>
    </row>
    <row r="662" spans="1:14">
      <c r="A662">
        <v>75</v>
      </c>
      <c r="B662">
        <v>1</v>
      </c>
      <c r="C662">
        <v>468</v>
      </c>
      <c r="D662">
        <v>0.2295468789039237</v>
      </c>
      <c r="E662">
        <v>8</v>
      </c>
      <c r="F662">
        <v>0</v>
      </c>
      <c r="G662">
        <v>9.6332131547029048E-2</v>
      </c>
      <c r="H662">
        <v>8712.8172229999927</v>
      </c>
      <c r="I662">
        <v>60</v>
      </c>
      <c r="J662">
        <v>8020</v>
      </c>
      <c r="K662">
        <v>1</v>
      </c>
      <c r="L662">
        <v>3</v>
      </c>
      <c r="M662">
        <v>1</v>
      </c>
      <c r="N662">
        <v>3</v>
      </c>
    </row>
    <row r="663" spans="1:14">
      <c r="A663">
        <v>75</v>
      </c>
      <c r="B663">
        <v>2</v>
      </c>
      <c r="C663">
        <v>352</v>
      </c>
      <c r="D663">
        <v>0.1999626168488064</v>
      </c>
      <c r="E663">
        <v>5</v>
      </c>
      <c r="F663">
        <v>0</v>
      </c>
      <c r="G663">
        <v>6.7100825004369438E-2</v>
      </c>
      <c r="H663">
        <v>10001.869506999994</v>
      </c>
      <c r="I663">
        <v>61</v>
      </c>
      <c r="J663">
        <v>8020</v>
      </c>
      <c r="K663">
        <v>1</v>
      </c>
      <c r="L663">
        <v>1</v>
      </c>
      <c r="M663">
        <v>1</v>
      </c>
      <c r="N663">
        <v>2</v>
      </c>
    </row>
    <row r="664" spans="1:14">
      <c r="A664">
        <v>76</v>
      </c>
      <c r="B664">
        <v>1</v>
      </c>
      <c r="C664">
        <v>346</v>
      </c>
      <c r="D664">
        <v>0.22886862091015803</v>
      </c>
      <c r="E664">
        <v>7</v>
      </c>
      <c r="F664">
        <v>0</v>
      </c>
      <c r="G664">
        <v>8.6348249198567442E-2</v>
      </c>
      <c r="H664">
        <v>8738.6378790000072</v>
      </c>
      <c r="I664">
        <v>62</v>
      </c>
      <c r="J664">
        <v>8020</v>
      </c>
      <c r="K664">
        <v>1</v>
      </c>
      <c r="L664">
        <v>2</v>
      </c>
      <c r="M664">
        <v>2</v>
      </c>
      <c r="N664">
        <v>2</v>
      </c>
    </row>
    <row r="665" spans="1:14">
      <c r="A665">
        <v>76</v>
      </c>
      <c r="B665">
        <v>2</v>
      </c>
      <c r="C665">
        <v>211</v>
      </c>
      <c r="D665">
        <v>0.19806233490572267</v>
      </c>
      <c r="E665">
        <v>5</v>
      </c>
      <c r="F665">
        <v>0</v>
      </c>
      <c r="G665">
        <v>6.7155341531593429E-2</v>
      </c>
      <c r="H665">
        <v>10097.831073999994</v>
      </c>
      <c r="I665">
        <v>61</v>
      </c>
      <c r="J665">
        <v>8020</v>
      </c>
      <c r="K665">
        <v>1</v>
      </c>
      <c r="L665">
        <v>1</v>
      </c>
      <c r="M665">
        <v>1</v>
      </c>
      <c r="N665">
        <v>2</v>
      </c>
    </row>
    <row r="666" spans="1:14">
      <c r="A666">
        <v>77</v>
      </c>
      <c r="B666">
        <v>1</v>
      </c>
      <c r="C666">
        <v>389</v>
      </c>
      <c r="D666">
        <v>0.22408787667035504</v>
      </c>
      <c r="E666">
        <v>7</v>
      </c>
      <c r="F666">
        <v>0</v>
      </c>
      <c r="G666">
        <v>8.6463691243636662E-2</v>
      </c>
      <c r="H666">
        <v>8925.0700650000108</v>
      </c>
      <c r="I666">
        <v>59</v>
      </c>
      <c r="J666">
        <v>8020</v>
      </c>
      <c r="K666">
        <v>1</v>
      </c>
      <c r="L666">
        <v>2</v>
      </c>
      <c r="M666">
        <v>1</v>
      </c>
      <c r="N666">
        <v>3</v>
      </c>
    </row>
    <row r="667" spans="1:14">
      <c r="A667">
        <v>77</v>
      </c>
      <c r="B667">
        <v>2</v>
      </c>
      <c r="C667">
        <v>338</v>
      </c>
      <c r="D667">
        <v>0.19900480051499173</v>
      </c>
      <c r="E667">
        <v>5</v>
      </c>
      <c r="F667">
        <v>0</v>
      </c>
      <c r="G667">
        <v>6.7128216707554159E-2</v>
      </c>
      <c r="H667">
        <v>10050.008818000011</v>
      </c>
      <c r="I667">
        <v>61</v>
      </c>
      <c r="J667">
        <v>8020</v>
      </c>
      <c r="K667">
        <v>1</v>
      </c>
      <c r="L667">
        <v>1</v>
      </c>
      <c r="M667">
        <v>1</v>
      </c>
      <c r="N667">
        <v>2</v>
      </c>
    </row>
    <row r="668" spans="1:14">
      <c r="A668">
        <v>78</v>
      </c>
      <c r="B668">
        <v>1</v>
      </c>
      <c r="C668">
        <v>540</v>
      </c>
      <c r="D668">
        <v>0.2313261961417698</v>
      </c>
      <c r="E668">
        <v>7</v>
      </c>
      <c r="F668">
        <v>0</v>
      </c>
      <c r="G668">
        <v>8.6290149169151065E-2</v>
      </c>
      <c r="H668">
        <v>8645.7998849999967</v>
      </c>
      <c r="I668">
        <v>59</v>
      </c>
      <c r="J668">
        <v>8020</v>
      </c>
      <c r="K668">
        <v>1</v>
      </c>
      <c r="L668">
        <v>2</v>
      </c>
      <c r="M668">
        <v>2</v>
      </c>
      <c r="N668">
        <v>2</v>
      </c>
    </row>
    <row r="669" spans="1:14">
      <c r="A669">
        <v>78</v>
      </c>
      <c r="B669">
        <v>2</v>
      </c>
      <c r="C669">
        <v>268</v>
      </c>
      <c r="D669">
        <v>0.19913207996198365</v>
      </c>
      <c r="E669">
        <v>5</v>
      </c>
      <c r="F669">
        <v>0</v>
      </c>
      <c r="G669">
        <v>6.7124566643410682E-2</v>
      </c>
      <c r="H669">
        <v>10043.585144000004</v>
      </c>
      <c r="I669">
        <v>60</v>
      </c>
      <c r="J669">
        <v>8020</v>
      </c>
      <c r="K669">
        <v>1</v>
      </c>
      <c r="L669">
        <v>1</v>
      </c>
      <c r="M669">
        <v>1</v>
      </c>
      <c r="N669">
        <v>2</v>
      </c>
    </row>
    <row r="670" spans="1:14">
      <c r="A670">
        <v>79</v>
      </c>
      <c r="B670">
        <v>1</v>
      </c>
      <c r="C670">
        <v>483</v>
      </c>
      <c r="D670">
        <v>0.22375961754539847</v>
      </c>
      <c r="E670">
        <v>7</v>
      </c>
      <c r="F670">
        <v>0</v>
      </c>
      <c r="G670">
        <v>8.647173814732044E-2</v>
      </c>
      <c r="H670">
        <v>8938.1632930000033</v>
      </c>
      <c r="I670">
        <v>59</v>
      </c>
      <c r="J670">
        <v>8020</v>
      </c>
      <c r="K670">
        <v>1</v>
      </c>
      <c r="L670">
        <v>2</v>
      </c>
      <c r="M670">
        <v>1</v>
      </c>
      <c r="N670">
        <v>3</v>
      </c>
    </row>
    <row r="671" spans="1:14">
      <c r="A671">
        <v>79</v>
      </c>
      <c r="B671">
        <v>2</v>
      </c>
      <c r="C671">
        <v>243</v>
      </c>
      <c r="D671">
        <v>0.19911811395747844</v>
      </c>
      <c r="E671">
        <v>5</v>
      </c>
      <c r="F671">
        <v>0</v>
      </c>
      <c r="G671">
        <v>6.7124967002405014E-2</v>
      </c>
      <c r="H671">
        <v>10044.289593999965</v>
      </c>
      <c r="I671">
        <v>61</v>
      </c>
      <c r="J671">
        <v>8020</v>
      </c>
      <c r="K671">
        <v>1</v>
      </c>
      <c r="L671">
        <v>1</v>
      </c>
      <c r="M671">
        <v>1</v>
      </c>
      <c r="N671">
        <v>2</v>
      </c>
    </row>
    <row r="672" spans="1:14">
      <c r="A672">
        <v>80</v>
      </c>
      <c r="B672">
        <v>1</v>
      </c>
      <c r="C672">
        <v>495</v>
      </c>
      <c r="D672">
        <v>0.22430734358579618</v>
      </c>
      <c r="E672">
        <v>7</v>
      </c>
      <c r="F672">
        <v>0</v>
      </c>
      <c r="G672">
        <v>8.6458320020179724E-2</v>
      </c>
      <c r="H672">
        <v>8916.3375929999911</v>
      </c>
      <c r="I672">
        <v>60</v>
      </c>
      <c r="J672">
        <v>8020</v>
      </c>
      <c r="K672">
        <v>1</v>
      </c>
      <c r="L672">
        <v>2</v>
      </c>
      <c r="M672">
        <v>1</v>
      </c>
      <c r="N672">
        <v>3</v>
      </c>
    </row>
    <row r="673" spans="1:14">
      <c r="A673">
        <v>80</v>
      </c>
      <c r="B673">
        <v>2</v>
      </c>
      <c r="C673">
        <v>399</v>
      </c>
      <c r="D673">
        <v>0.19945357260451421</v>
      </c>
      <c r="E673">
        <v>5</v>
      </c>
      <c r="F673">
        <v>0</v>
      </c>
      <c r="G673">
        <v>6.7115360853871098E-2</v>
      </c>
      <c r="H673">
        <v>10027.396219999993</v>
      </c>
      <c r="I673">
        <v>62</v>
      </c>
      <c r="J673">
        <v>8020</v>
      </c>
      <c r="K673">
        <v>1</v>
      </c>
      <c r="L673">
        <v>1</v>
      </c>
      <c r="M673">
        <v>1</v>
      </c>
      <c r="N673">
        <v>2</v>
      </c>
    </row>
    <row r="684" spans="1:14">
      <c r="A684">
        <v>1</v>
      </c>
      <c r="B684">
        <v>1</v>
      </c>
      <c r="C684">
        <v>794</v>
      </c>
      <c r="D684">
        <v>0.38492230945105993</v>
      </c>
      <c r="E684">
        <v>61</v>
      </c>
      <c r="F684">
        <v>0</v>
      </c>
      <c r="G684">
        <v>0.62374703291129829</v>
      </c>
      <c r="H684">
        <v>5195.853685</v>
      </c>
      <c r="I684">
        <v>65</v>
      </c>
      <c r="J684">
        <v>8020</v>
      </c>
      <c r="K684">
        <v>14</v>
      </c>
      <c r="L684">
        <v>19</v>
      </c>
      <c r="M684">
        <v>13</v>
      </c>
      <c r="N684">
        <v>15</v>
      </c>
    </row>
    <row r="685" spans="1:14">
      <c r="A685">
        <v>1</v>
      </c>
      <c r="B685">
        <v>2</v>
      </c>
      <c r="C685">
        <v>1252</v>
      </c>
      <c r="D685">
        <v>0.32438839382009033</v>
      </c>
      <c r="E685">
        <v>28</v>
      </c>
      <c r="F685">
        <v>0</v>
      </c>
      <c r="G685">
        <v>0.29455386127174732</v>
      </c>
      <c r="H685">
        <v>6165.4486970000034</v>
      </c>
      <c r="I685">
        <v>64</v>
      </c>
      <c r="J685">
        <v>8020</v>
      </c>
      <c r="K685">
        <v>7</v>
      </c>
      <c r="L685">
        <v>7</v>
      </c>
      <c r="M685">
        <v>8</v>
      </c>
      <c r="N685">
        <v>6</v>
      </c>
    </row>
    <row r="686" spans="1:14">
      <c r="A686">
        <v>2</v>
      </c>
      <c r="B686">
        <v>1</v>
      </c>
      <c r="C686">
        <v>694</v>
      </c>
      <c r="D686">
        <v>0.37062734305417494</v>
      </c>
      <c r="E686">
        <v>40</v>
      </c>
      <c r="F686">
        <v>0</v>
      </c>
      <c r="G686">
        <v>0.41392154753350247</v>
      </c>
      <c r="H686">
        <v>5396.2559360000005</v>
      </c>
      <c r="I686">
        <v>64</v>
      </c>
      <c r="J686">
        <v>8020</v>
      </c>
      <c r="K686">
        <v>11</v>
      </c>
      <c r="L686">
        <v>10</v>
      </c>
      <c r="M686">
        <v>11</v>
      </c>
      <c r="N686">
        <v>8</v>
      </c>
    </row>
    <row r="687" spans="1:14">
      <c r="A687">
        <v>2</v>
      </c>
      <c r="B687">
        <v>2</v>
      </c>
      <c r="C687">
        <v>776</v>
      </c>
      <c r="D687">
        <v>0.31583053998236077</v>
      </c>
      <c r="E687">
        <v>21</v>
      </c>
      <c r="F687">
        <v>0</v>
      </c>
      <c r="G687">
        <v>0.22468414369438286</v>
      </c>
      <c r="H687">
        <v>6332.5098330000028</v>
      </c>
      <c r="I687">
        <v>65</v>
      </c>
      <c r="J687">
        <v>8020</v>
      </c>
      <c r="K687">
        <v>5</v>
      </c>
      <c r="L687">
        <v>6</v>
      </c>
      <c r="M687">
        <v>5</v>
      </c>
      <c r="N687">
        <v>5</v>
      </c>
    </row>
    <row r="688" spans="1:14">
      <c r="A688">
        <v>3</v>
      </c>
      <c r="B688">
        <v>1</v>
      </c>
      <c r="C688">
        <v>647</v>
      </c>
      <c r="D688">
        <v>0.40838763072007378</v>
      </c>
      <c r="E688">
        <v>66</v>
      </c>
      <c r="F688">
        <v>0</v>
      </c>
      <c r="G688">
        <v>0.67347852825688392</v>
      </c>
      <c r="H688">
        <v>4897.3079730000072</v>
      </c>
      <c r="I688">
        <v>66</v>
      </c>
      <c r="J688">
        <v>8020</v>
      </c>
      <c r="K688">
        <v>14</v>
      </c>
      <c r="L688">
        <v>17</v>
      </c>
      <c r="M688">
        <v>24</v>
      </c>
      <c r="N688">
        <v>11</v>
      </c>
    </row>
    <row r="689" spans="1:14">
      <c r="A689">
        <v>3</v>
      </c>
      <c r="B689">
        <v>2</v>
      </c>
      <c r="C689">
        <v>1218</v>
      </c>
      <c r="D689">
        <v>0.3355229111148807</v>
      </c>
      <c r="E689">
        <v>23</v>
      </c>
      <c r="F689">
        <v>0</v>
      </c>
      <c r="G689">
        <v>0.24439105411437237</v>
      </c>
      <c r="H689">
        <v>5960.8448000000035</v>
      </c>
      <c r="I689">
        <v>63</v>
      </c>
      <c r="J689">
        <v>8020</v>
      </c>
      <c r="K689">
        <v>4</v>
      </c>
      <c r="L689">
        <v>6</v>
      </c>
      <c r="M689">
        <v>8</v>
      </c>
      <c r="N689">
        <v>5</v>
      </c>
    </row>
    <row r="690" spans="1:14">
      <c r="A690">
        <v>4</v>
      </c>
      <c r="B690">
        <v>1</v>
      </c>
      <c r="C690">
        <v>1032</v>
      </c>
      <c r="D690">
        <v>0.41671891071650291</v>
      </c>
      <c r="E690">
        <v>89</v>
      </c>
      <c r="F690">
        <v>0</v>
      </c>
      <c r="G690">
        <v>0.90338809946620002</v>
      </c>
      <c r="H690">
        <v>4799.3982240000032</v>
      </c>
      <c r="I690">
        <v>65</v>
      </c>
      <c r="J690">
        <v>8020</v>
      </c>
      <c r="K690">
        <v>34</v>
      </c>
      <c r="L690">
        <v>19</v>
      </c>
      <c r="M690">
        <v>22</v>
      </c>
      <c r="N690">
        <v>14</v>
      </c>
    </row>
    <row r="691" spans="1:14">
      <c r="A691">
        <v>4</v>
      </c>
      <c r="B691">
        <v>2</v>
      </c>
      <c r="C691">
        <v>891</v>
      </c>
      <c r="D691">
        <v>0.34531488606030697</v>
      </c>
      <c r="E691">
        <v>29</v>
      </c>
      <c r="F691">
        <v>0</v>
      </c>
      <c r="G691">
        <v>0.30425372032379838</v>
      </c>
      <c r="H691">
        <v>5791.815182999997</v>
      </c>
      <c r="I691">
        <v>64</v>
      </c>
      <c r="J691">
        <v>8020</v>
      </c>
      <c r="K691">
        <v>7</v>
      </c>
      <c r="L691">
        <v>7</v>
      </c>
      <c r="M691">
        <v>8</v>
      </c>
      <c r="N691">
        <v>7</v>
      </c>
    </row>
    <row r="692" spans="1:14">
      <c r="A692">
        <v>5</v>
      </c>
      <c r="B692">
        <v>1</v>
      </c>
      <c r="C692">
        <v>1048</v>
      </c>
      <c r="D692">
        <v>0.40072614912262555</v>
      </c>
      <c r="E692">
        <v>66</v>
      </c>
      <c r="F692">
        <v>0</v>
      </c>
      <c r="G692">
        <v>0.67356388520861254</v>
      </c>
      <c r="H692">
        <v>4990.9395840000034</v>
      </c>
      <c r="I692">
        <v>64</v>
      </c>
      <c r="J692">
        <v>8020</v>
      </c>
      <c r="K692">
        <v>22</v>
      </c>
      <c r="L692">
        <v>15</v>
      </c>
      <c r="M692">
        <v>16</v>
      </c>
      <c r="N692">
        <v>13</v>
      </c>
    </row>
    <row r="693" spans="1:14">
      <c r="A693">
        <v>5</v>
      </c>
      <c r="B693">
        <v>2</v>
      </c>
      <c r="C693">
        <v>655</v>
      </c>
      <c r="D693">
        <v>0.31383591150313989</v>
      </c>
      <c r="E693">
        <v>20</v>
      </c>
      <c r="F693">
        <v>0</v>
      </c>
      <c r="G693">
        <v>0.21471518707014062</v>
      </c>
      <c r="H693">
        <v>6372.7569940000003</v>
      </c>
      <c r="I693">
        <v>65</v>
      </c>
      <c r="J693">
        <v>8020</v>
      </c>
      <c r="K693">
        <v>5</v>
      </c>
      <c r="L693">
        <v>5</v>
      </c>
      <c r="M693">
        <v>6</v>
      </c>
      <c r="N693">
        <v>4</v>
      </c>
    </row>
    <row r="694" spans="1:14">
      <c r="A694">
        <v>6</v>
      </c>
      <c r="B694">
        <v>1</v>
      </c>
      <c r="C694">
        <v>1027</v>
      </c>
      <c r="D694">
        <v>0.42622201476651883</v>
      </c>
      <c r="E694">
        <v>61</v>
      </c>
      <c r="F694">
        <v>0</v>
      </c>
      <c r="G694">
        <v>0.62328784970956408</v>
      </c>
      <c r="H694">
        <v>4692.3901879999903</v>
      </c>
      <c r="I694">
        <v>64</v>
      </c>
      <c r="J694">
        <v>8020</v>
      </c>
      <c r="K694">
        <v>14</v>
      </c>
      <c r="L694">
        <v>19</v>
      </c>
      <c r="M694">
        <v>16</v>
      </c>
      <c r="N694">
        <v>12</v>
      </c>
    </row>
    <row r="695" spans="1:14">
      <c r="A695">
        <v>6</v>
      </c>
      <c r="B695">
        <v>2</v>
      </c>
      <c r="C695">
        <v>833</v>
      </c>
      <c r="D695">
        <v>0.33463340256289903</v>
      </c>
      <c r="E695">
        <v>21</v>
      </c>
      <c r="F695">
        <v>0</v>
      </c>
      <c r="G695">
        <v>0.22440379406601099</v>
      </c>
      <c r="H695">
        <v>5976.6896690000094</v>
      </c>
      <c r="I695">
        <v>65</v>
      </c>
      <c r="J695">
        <v>8020</v>
      </c>
      <c r="K695">
        <v>5</v>
      </c>
      <c r="L695">
        <v>7</v>
      </c>
      <c r="M695">
        <v>5</v>
      </c>
      <c r="N695">
        <v>4</v>
      </c>
    </row>
    <row r="696" spans="1:14">
      <c r="A696">
        <v>7</v>
      </c>
      <c r="B696">
        <v>1</v>
      </c>
      <c r="C696">
        <v>794</v>
      </c>
      <c r="D696">
        <v>0.42558171945455464</v>
      </c>
      <c r="E696">
        <v>154</v>
      </c>
      <c r="F696">
        <v>0</v>
      </c>
      <c r="G696">
        <v>1.5532945103062348</v>
      </c>
      <c r="H696">
        <v>4699.4499729999989</v>
      </c>
      <c r="I696">
        <v>64</v>
      </c>
      <c r="J696">
        <v>8020</v>
      </c>
      <c r="K696">
        <v>31</v>
      </c>
      <c r="L696">
        <v>39</v>
      </c>
      <c r="M696">
        <v>57</v>
      </c>
      <c r="N696">
        <v>27</v>
      </c>
    </row>
    <row r="697" spans="1:14">
      <c r="A697">
        <v>7</v>
      </c>
      <c r="B697">
        <v>2</v>
      </c>
      <c r="C697">
        <v>929</v>
      </c>
      <c r="D697">
        <v>0.33486914621011538</v>
      </c>
      <c r="E697">
        <v>31</v>
      </c>
      <c r="F697">
        <v>0</v>
      </c>
      <c r="G697">
        <v>0.32440041324286695</v>
      </c>
      <c r="H697">
        <v>5972.4821549999997</v>
      </c>
      <c r="I697">
        <v>66</v>
      </c>
      <c r="J697">
        <v>8020</v>
      </c>
      <c r="K697">
        <v>7</v>
      </c>
      <c r="L697">
        <v>8</v>
      </c>
      <c r="M697">
        <v>9</v>
      </c>
      <c r="N697">
        <v>7</v>
      </c>
    </row>
    <row r="698" spans="1:14">
      <c r="A698">
        <v>8</v>
      </c>
      <c r="B698">
        <v>1</v>
      </c>
      <c r="C698">
        <v>907</v>
      </c>
      <c r="D698">
        <v>0.39245032339965075</v>
      </c>
      <c r="E698">
        <v>38</v>
      </c>
      <c r="F698">
        <v>0</v>
      </c>
      <c r="G698">
        <v>0.39365856591603021</v>
      </c>
      <c r="H698">
        <v>5096.1863979999971</v>
      </c>
      <c r="I698">
        <v>64</v>
      </c>
      <c r="J698">
        <v>8020</v>
      </c>
      <c r="K698">
        <v>10</v>
      </c>
      <c r="L698">
        <v>9</v>
      </c>
      <c r="M698">
        <v>10</v>
      </c>
      <c r="N698">
        <v>9</v>
      </c>
    </row>
    <row r="699" spans="1:14">
      <c r="A699">
        <v>8</v>
      </c>
      <c r="B699">
        <v>2</v>
      </c>
      <c r="C699">
        <v>557</v>
      </c>
      <c r="D699">
        <v>0.32307816724845967</v>
      </c>
      <c r="E699">
        <v>19</v>
      </c>
      <c r="F699">
        <v>0</v>
      </c>
      <c r="G699">
        <v>0.20457350887618481</v>
      </c>
      <c r="H699">
        <v>6190.4523510000054</v>
      </c>
      <c r="I699">
        <v>63</v>
      </c>
      <c r="J699">
        <v>8020</v>
      </c>
      <c r="K699">
        <v>4</v>
      </c>
      <c r="L699">
        <v>4</v>
      </c>
      <c r="M699">
        <v>6</v>
      </c>
      <c r="N699">
        <v>5</v>
      </c>
    </row>
    <row r="700" spans="1:14">
      <c r="A700">
        <v>9</v>
      </c>
      <c r="B700">
        <v>1</v>
      </c>
      <c r="C700">
        <v>769</v>
      </c>
      <c r="D700">
        <v>0.400647280297245</v>
      </c>
      <c r="E700">
        <v>62</v>
      </c>
      <c r="F700">
        <v>0</v>
      </c>
      <c r="G700">
        <v>0.63356477518304344</v>
      </c>
      <c r="H700">
        <v>4991.9220680000026</v>
      </c>
      <c r="I700">
        <v>64</v>
      </c>
      <c r="J700">
        <v>8020</v>
      </c>
      <c r="K700">
        <v>16</v>
      </c>
      <c r="L700">
        <v>18</v>
      </c>
      <c r="M700">
        <v>14</v>
      </c>
      <c r="N700">
        <v>14</v>
      </c>
    </row>
    <row r="701" spans="1:14">
      <c r="A701">
        <v>9</v>
      </c>
      <c r="B701">
        <v>2</v>
      </c>
      <c r="C701">
        <v>844</v>
      </c>
      <c r="D701">
        <v>0.33375563183112189</v>
      </c>
      <c r="E701">
        <v>26</v>
      </c>
      <c r="F701">
        <v>0</v>
      </c>
      <c r="G701">
        <v>0.27441641024384184</v>
      </c>
      <c r="H701">
        <v>5992.4082450000024</v>
      </c>
      <c r="I701">
        <v>65</v>
      </c>
      <c r="J701">
        <v>8020</v>
      </c>
      <c r="K701">
        <v>6</v>
      </c>
      <c r="L701">
        <v>7</v>
      </c>
      <c r="M701">
        <v>7</v>
      </c>
      <c r="N701">
        <v>6</v>
      </c>
    </row>
    <row r="702" spans="1:14">
      <c r="A702">
        <v>10</v>
      </c>
      <c r="B702">
        <v>1</v>
      </c>
      <c r="C702">
        <v>4006</v>
      </c>
      <c r="D702">
        <v>0.39250699938351952</v>
      </c>
      <c r="E702">
        <v>60</v>
      </c>
      <c r="F702">
        <v>0</v>
      </c>
      <c r="G702">
        <v>0.61365790847558965</v>
      </c>
      <c r="H702">
        <v>5095.4505350000018</v>
      </c>
      <c r="I702">
        <v>64</v>
      </c>
      <c r="J702">
        <v>8020</v>
      </c>
      <c r="K702">
        <v>13</v>
      </c>
      <c r="L702">
        <v>10</v>
      </c>
      <c r="M702">
        <v>21</v>
      </c>
      <c r="N702">
        <v>16</v>
      </c>
    </row>
    <row r="703" spans="1:14">
      <c r="A703">
        <v>10</v>
      </c>
      <c r="B703">
        <v>2</v>
      </c>
      <c r="C703">
        <v>645</v>
      </c>
      <c r="D703">
        <v>0.3129788558400256</v>
      </c>
      <c r="E703">
        <v>21</v>
      </c>
      <c r="F703">
        <v>0</v>
      </c>
      <c r="G703">
        <v>0.22472860676260342</v>
      </c>
      <c r="H703">
        <v>6390.2080370000131</v>
      </c>
      <c r="I703">
        <v>62</v>
      </c>
      <c r="J703">
        <v>8020</v>
      </c>
      <c r="K703">
        <v>6</v>
      </c>
      <c r="L703">
        <v>5</v>
      </c>
      <c r="M703">
        <v>6</v>
      </c>
      <c r="N703">
        <v>4</v>
      </c>
    </row>
    <row r="704" spans="1:14">
      <c r="A704">
        <v>11</v>
      </c>
      <c r="B704">
        <v>1</v>
      </c>
      <c r="C704">
        <v>548</v>
      </c>
      <c r="D704">
        <v>0.43855443395402866</v>
      </c>
      <c r="E704">
        <v>18</v>
      </c>
      <c r="F704">
        <v>0</v>
      </c>
      <c r="G704">
        <v>0.19316210945138834</v>
      </c>
      <c r="H704">
        <v>4560.4373029999952</v>
      </c>
      <c r="I704">
        <v>61</v>
      </c>
      <c r="J704">
        <v>8020</v>
      </c>
      <c r="K704">
        <v>4</v>
      </c>
      <c r="L704">
        <v>5</v>
      </c>
      <c r="M704">
        <v>5</v>
      </c>
      <c r="N704">
        <v>4</v>
      </c>
    </row>
    <row r="705" spans="1:14">
      <c r="A705">
        <v>11</v>
      </c>
      <c r="B705">
        <v>2</v>
      </c>
      <c r="C705">
        <v>574</v>
      </c>
      <c r="D705">
        <v>0.35586390482813435</v>
      </c>
      <c r="E705">
        <v>9</v>
      </c>
      <c r="F705">
        <v>0</v>
      </c>
      <c r="G705">
        <v>0.10411146230644165</v>
      </c>
      <c r="H705">
        <v>5620.1260450000027</v>
      </c>
      <c r="I705">
        <v>60</v>
      </c>
      <c r="J705">
        <v>8020</v>
      </c>
      <c r="K705">
        <v>2</v>
      </c>
      <c r="L705">
        <v>2</v>
      </c>
      <c r="M705">
        <v>3</v>
      </c>
      <c r="N705">
        <v>2</v>
      </c>
    </row>
    <row r="706" spans="1:14">
      <c r="A706">
        <v>12</v>
      </c>
      <c r="B706">
        <v>1</v>
      </c>
      <c r="C706">
        <v>479</v>
      </c>
      <c r="D706">
        <v>0.43827706721241511</v>
      </c>
      <c r="E706">
        <v>18</v>
      </c>
      <c r="F706">
        <v>0</v>
      </c>
      <c r="G706">
        <v>0.19316488544388613</v>
      </c>
      <c r="H706">
        <v>4563.3234079999929</v>
      </c>
      <c r="I706">
        <v>61</v>
      </c>
      <c r="J706">
        <v>8020</v>
      </c>
      <c r="K706">
        <v>4</v>
      </c>
      <c r="L706">
        <v>5</v>
      </c>
      <c r="M706">
        <v>4</v>
      </c>
      <c r="N706">
        <v>5</v>
      </c>
    </row>
    <row r="707" spans="1:14">
      <c r="A707">
        <v>12</v>
      </c>
      <c r="B707">
        <v>2</v>
      </c>
      <c r="C707">
        <v>399</v>
      </c>
      <c r="D707">
        <v>0.35212431308295472</v>
      </c>
      <c r="E707">
        <v>9</v>
      </c>
      <c r="F707">
        <v>0</v>
      </c>
      <c r="G707">
        <v>0.1041612414981974</v>
      </c>
      <c r="H707">
        <v>5679.812286999997</v>
      </c>
      <c r="I707">
        <v>60</v>
      </c>
      <c r="J707">
        <v>8020</v>
      </c>
      <c r="K707">
        <v>2</v>
      </c>
      <c r="L707">
        <v>2</v>
      </c>
      <c r="M707">
        <v>3</v>
      </c>
      <c r="N707">
        <v>2</v>
      </c>
    </row>
    <row r="708" spans="1:14">
      <c r="A708">
        <v>13</v>
      </c>
      <c r="B708">
        <v>1</v>
      </c>
      <c r="C708">
        <v>487</v>
      </c>
      <c r="D708">
        <v>0.43555677175201818</v>
      </c>
      <c r="E708">
        <v>17</v>
      </c>
      <c r="F708">
        <v>0</v>
      </c>
      <c r="G708">
        <v>0.18319223593865616</v>
      </c>
      <c r="H708">
        <v>4591.8239130000002</v>
      </c>
      <c r="I708">
        <v>60</v>
      </c>
      <c r="J708">
        <v>8020</v>
      </c>
      <c r="K708">
        <v>4</v>
      </c>
      <c r="L708">
        <v>5</v>
      </c>
      <c r="M708">
        <v>4</v>
      </c>
      <c r="N708">
        <v>4</v>
      </c>
    </row>
    <row r="709" spans="1:14">
      <c r="A709">
        <v>13</v>
      </c>
      <c r="B709">
        <v>2</v>
      </c>
      <c r="C709">
        <v>396</v>
      </c>
      <c r="D709">
        <v>0.35396976716007295</v>
      </c>
      <c r="E709">
        <v>9</v>
      </c>
      <c r="F709">
        <v>0</v>
      </c>
      <c r="G709">
        <v>0.1041365882909658</v>
      </c>
      <c r="H709">
        <v>5650.2000610000005</v>
      </c>
      <c r="I709">
        <v>61</v>
      </c>
      <c r="J709">
        <v>8020</v>
      </c>
      <c r="K709">
        <v>2</v>
      </c>
      <c r="L709">
        <v>3</v>
      </c>
      <c r="M709">
        <v>2</v>
      </c>
      <c r="N709">
        <v>2</v>
      </c>
    </row>
    <row r="710" spans="1:14">
      <c r="A710">
        <v>14</v>
      </c>
      <c r="B710">
        <v>1</v>
      </c>
      <c r="C710">
        <v>537</v>
      </c>
      <c r="D710">
        <v>0.4271842270368012</v>
      </c>
      <c r="E710">
        <v>16</v>
      </c>
      <c r="F710">
        <v>0</v>
      </c>
      <c r="G710">
        <v>0.17327786545842258</v>
      </c>
      <c r="H710">
        <v>4681.8208009999944</v>
      </c>
      <c r="I710">
        <v>61</v>
      </c>
      <c r="J710">
        <v>8020</v>
      </c>
      <c r="K710">
        <v>4</v>
      </c>
      <c r="L710">
        <v>4</v>
      </c>
      <c r="M710">
        <v>4</v>
      </c>
      <c r="N710">
        <v>4</v>
      </c>
    </row>
    <row r="711" spans="1:14">
      <c r="A711">
        <v>14</v>
      </c>
      <c r="B711">
        <v>2</v>
      </c>
      <c r="C711">
        <v>596</v>
      </c>
      <c r="D711">
        <v>0.33591993192555702</v>
      </c>
      <c r="E711">
        <v>8</v>
      </c>
      <c r="F711">
        <v>0</v>
      </c>
      <c r="G711">
        <v>9.4385382325911704E-2</v>
      </c>
      <c r="H711">
        <v>5953.7997300000006</v>
      </c>
      <c r="I711">
        <v>61</v>
      </c>
      <c r="J711">
        <v>8020</v>
      </c>
      <c r="K711">
        <v>2</v>
      </c>
      <c r="L711">
        <v>2</v>
      </c>
      <c r="M711">
        <v>2</v>
      </c>
      <c r="N711">
        <v>2</v>
      </c>
    </row>
    <row r="712" spans="1:14">
      <c r="A712">
        <v>15</v>
      </c>
      <c r="B712">
        <v>1</v>
      </c>
      <c r="C712">
        <v>541</v>
      </c>
      <c r="D712">
        <v>0.43710680573622418</v>
      </c>
      <c r="E712">
        <v>17</v>
      </c>
      <c r="F712">
        <v>0</v>
      </c>
      <c r="G712">
        <v>0.18317662371120147</v>
      </c>
      <c r="H712">
        <v>4575.5407459999997</v>
      </c>
      <c r="I712">
        <v>60</v>
      </c>
      <c r="J712">
        <v>8020</v>
      </c>
      <c r="K712">
        <v>4</v>
      </c>
      <c r="L712">
        <v>5</v>
      </c>
      <c r="M712">
        <v>4</v>
      </c>
      <c r="N712">
        <v>4</v>
      </c>
    </row>
    <row r="713" spans="1:14">
      <c r="A713">
        <v>15</v>
      </c>
      <c r="B713">
        <v>2</v>
      </c>
      <c r="C713">
        <v>299</v>
      </c>
      <c r="D713">
        <v>0.35252317048299159</v>
      </c>
      <c r="E713">
        <v>9</v>
      </c>
      <c r="F713">
        <v>0</v>
      </c>
      <c r="G713">
        <v>0.1041558986365887</v>
      </c>
      <c r="H713">
        <v>5673.3859430000084</v>
      </c>
      <c r="I713">
        <v>59</v>
      </c>
      <c r="J713">
        <v>8020</v>
      </c>
      <c r="K713">
        <v>2</v>
      </c>
      <c r="L713">
        <v>2</v>
      </c>
      <c r="M713">
        <v>3</v>
      </c>
      <c r="N713">
        <v>2</v>
      </c>
    </row>
    <row r="714" spans="1:14">
      <c r="A714">
        <v>16</v>
      </c>
      <c r="B714">
        <v>1</v>
      </c>
      <c r="C714">
        <v>616</v>
      </c>
      <c r="D714">
        <v>0.43521060038211756</v>
      </c>
      <c r="E714">
        <v>21</v>
      </c>
      <c r="F714">
        <v>0</v>
      </c>
      <c r="G714">
        <v>0.22319573276226032</v>
      </c>
      <c r="H714">
        <v>4595.4763009999933</v>
      </c>
      <c r="I714">
        <v>60</v>
      </c>
      <c r="J714">
        <v>8020</v>
      </c>
      <c r="K714">
        <v>5</v>
      </c>
      <c r="L714">
        <v>6</v>
      </c>
      <c r="M714">
        <v>5</v>
      </c>
      <c r="N714">
        <v>5</v>
      </c>
    </row>
    <row r="715" spans="1:14">
      <c r="A715">
        <v>16</v>
      </c>
      <c r="B715">
        <v>2</v>
      </c>
      <c r="C715">
        <v>592</v>
      </c>
      <c r="D715">
        <v>0.34770190434457238</v>
      </c>
      <c r="E715">
        <v>9</v>
      </c>
      <c r="F715">
        <v>0</v>
      </c>
      <c r="G715">
        <v>0.10422102752153795</v>
      </c>
      <c r="H715">
        <v>5752.0536269999866</v>
      </c>
      <c r="I715">
        <v>60</v>
      </c>
      <c r="J715">
        <v>8020</v>
      </c>
      <c r="K715">
        <v>2</v>
      </c>
      <c r="L715">
        <v>3</v>
      </c>
      <c r="M715">
        <v>2</v>
      </c>
      <c r="N715">
        <v>2</v>
      </c>
    </row>
    <row r="716" spans="1:14">
      <c r="A716">
        <v>17</v>
      </c>
      <c r="B716">
        <v>1</v>
      </c>
      <c r="C716">
        <v>476</v>
      </c>
      <c r="D716">
        <v>0.42963970532677065</v>
      </c>
      <c r="E716">
        <v>16</v>
      </c>
      <c r="F716">
        <v>0</v>
      </c>
      <c r="G716">
        <v>0.17325252188190987</v>
      </c>
      <c r="H716">
        <v>4655.0632429999969</v>
      </c>
      <c r="I716">
        <v>60</v>
      </c>
      <c r="J716">
        <v>8020</v>
      </c>
      <c r="K716">
        <v>4</v>
      </c>
      <c r="L716">
        <v>4</v>
      </c>
      <c r="M716">
        <v>4</v>
      </c>
      <c r="N716">
        <v>4</v>
      </c>
    </row>
    <row r="717" spans="1:14">
      <c r="A717">
        <v>17</v>
      </c>
      <c r="B717">
        <v>2</v>
      </c>
      <c r="C717">
        <v>402</v>
      </c>
      <c r="D717">
        <v>0.33975999384613115</v>
      </c>
      <c r="E717">
        <v>8</v>
      </c>
      <c r="F717">
        <v>0</v>
      </c>
      <c r="G717">
        <v>9.4330980991583699E-2</v>
      </c>
      <c r="H717">
        <v>5886.5082299999985</v>
      </c>
      <c r="I717">
        <v>59</v>
      </c>
      <c r="J717">
        <v>8020</v>
      </c>
      <c r="K717">
        <v>2</v>
      </c>
      <c r="L717">
        <v>2</v>
      </c>
      <c r="M717">
        <v>2</v>
      </c>
      <c r="N717">
        <v>2</v>
      </c>
    </row>
    <row r="718" spans="1:14">
      <c r="A718">
        <v>18</v>
      </c>
      <c r="B718">
        <v>1</v>
      </c>
      <c r="C718">
        <v>1240</v>
      </c>
      <c r="D718">
        <v>0.43766999203701956</v>
      </c>
      <c r="E718">
        <v>19</v>
      </c>
      <c r="F718">
        <v>0</v>
      </c>
      <c r="G718">
        <v>0.20317096946682853</v>
      </c>
      <c r="H718">
        <v>4569.6530179999945</v>
      </c>
      <c r="I718">
        <v>60</v>
      </c>
      <c r="J718">
        <v>8020</v>
      </c>
      <c r="K718">
        <v>5</v>
      </c>
      <c r="L718">
        <v>5</v>
      </c>
      <c r="M718">
        <v>5</v>
      </c>
      <c r="N718">
        <v>4</v>
      </c>
    </row>
    <row r="719" spans="1:14">
      <c r="A719">
        <v>18</v>
      </c>
      <c r="B719">
        <v>2</v>
      </c>
      <c r="C719">
        <v>408</v>
      </c>
      <c r="D719">
        <v>0.34887840074630927</v>
      </c>
      <c r="E719">
        <v>9</v>
      </c>
      <c r="F719">
        <v>0</v>
      </c>
      <c r="G719">
        <v>0.10420502401824512</v>
      </c>
      <c r="H719">
        <v>5732.6564089999993</v>
      </c>
      <c r="I719">
        <v>59</v>
      </c>
      <c r="J719">
        <v>8020</v>
      </c>
      <c r="K719">
        <v>2</v>
      </c>
      <c r="L719">
        <v>2</v>
      </c>
      <c r="M719">
        <v>3</v>
      </c>
      <c r="N719">
        <v>2</v>
      </c>
    </row>
    <row r="720" spans="1:14">
      <c r="A720">
        <v>19</v>
      </c>
      <c r="B720">
        <v>1</v>
      </c>
      <c r="C720">
        <v>509</v>
      </c>
      <c r="D720">
        <v>0.43618421317713918</v>
      </c>
      <c r="E720">
        <v>17</v>
      </c>
      <c r="F720">
        <v>0</v>
      </c>
      <c r="G720">
        <v>0.18318590732246304</v>
      </c>
      <c r="H720">
        <v>4585.218675000001</v>
      </c>
      <c r="I720">
        <v>61</v>
      </c>
      <c r="J720">
        <v>8020</v>
      </c>
      <c r="K720">
        <v>4</v>
      </c>
      <c r="L720">
        <v>4</v>
      </c>
      <c r="M720">
        <v>5</v>
      </c>
      <c r="N720">
        <v>4</v>
      </c>
    </row>
    <row r="721" spans="1:14">
      <c r="A721">
        <v>19</v>
      </c>
      <c r="B721">
        <v>2</v>
      </c>
      <c r="C721">
        <v>305</v>
      </c>
      <c r="D721">
        <v>0.35564741526805449</v>
      </c>
      <c r="E721">
        <v>9</v>
      </c>
      <c r="F721">
        <v>0</v>
      </c>
      <c r="G721">
        <v>0.10411432503365306</v>
      </c>
      <c r="H721">
        <v>5623.5471260000104</v>
      </c>
      <c r="I721">
        <v>61</v>
      </c>
      <c r="J721">
        <v>8020</v>
      </c>
      <c r="K721">
        <v>2</v>
      </c>
      <c r="L721">
        <v>2</v>
      </c>
      <c r="M721">
        <v>3</v>
      </c>
      <c r="N721">
        <v>2</v>
      </c>
    </row>
    <row r="722" spans="1:14">
      <c r="A722">
        <v>20</v>
      </c>
      <c r="B722">
        <v>1</v>
      </c>
      <c r="C722">
        <v>443</v>
      </c>
      <c r="D722">
        <v>0.43867010382327537</v>
      </c>
      <c r="E722">
        <v>18</v>
      </c>
      <c r="F722">
        <v>0</v>
      </c>
      <c r="G722">
        <v>0.19316095247465256</v>
      </c>
      <c r="H722">
        <v>4559.2347930000014</v>
      </c>
      <c r="I722">
        <v>59</v>
      </c>
      <c r="J722">
        <v>8020</v>
      </c>
      <c r="K722">
        <v>4</v>
      </c>
      <c r="L722">
        <v>4</v>
      </c>
      <c r="M722">
        <v>5</v>
      </c>
      <c r="N722">
        <v>5</v>
      </c>
    </row>
    <row r="723" spans="1:14">
      <c r="A723">
        <v>20</v>
      </c>
      <c r="B723">
        <v>2</v>
      </c>
      <c r="C723">
        <v>675</v>
      </c>
      <c r="D723">
        <v>0.35324743992307522</v>
      </c>
      <c r="E723">
        <v>9</v>
      </c>
      <c r="F723">
        <v>0</v>
      </c>
      <c r="G723">
        <v>0.10414621732098288</v>
      </c>
      <c r="H723">
        <v>5661.7537000000029</v>
      </c>
      <c r="I723">
        <v>60</v>
      </c>
      <c r="J723">
        <v>8020</v>
      </c>
      <c r="K723">
        <v>2</v>
      </c>
      <c r="L723">
        <v>3</v>
      </c>
      <c r="M723">
        <v>2</v>
      </c>
      <c r="N723">
        <v>2</v>
      </c>
    </row>
    <row r="724" spans="1:14">
      <c r="A724">
        <v>21</v>
      </c>
      <c r="B724">
        <v>1</v>
      </c>
      <c r="C724">
        <v>400</v>
      </c>
      <c r="D724">
        <v>0.23626968348128671</v>
      </c>
      <c r="E724">
        <v>15</v>
      </c>
      <c r="F724">
        <v>0</v>
      </c>
      <c r="G724">
        <v>0.16617573413293008</v>
      </c>
      <c r="H724">
        <v>8464.9032009999974</v>
      </c>
      <c r="I724">
        <v>58</v>
      </c>
      <c r="J724">
        <v>8020</v>
      </c>
      <c r="K724">
        <v>5</v>
      </c>
      <c r="L724">
        <v>4</v>
      </c>
      <c r="M724">
        <v>4</v>
      </c>
      <c r="N724">
        <v>2</v>
      </c>
    </row>
    <row r="725" spans="1:14">
      <c r="A725">
        <v>21</v>
      </c>
      <c r="B725">
        <v>2</v>
      </c>
      <c r="C725">
        <v>307</v>
      </c>
      <c r="D725">
        <v>0.18230140606706396</v>
      </c>
      <c r="E725">
        <v>7</v>
      </c>
      <c r="F725">
        <v>0</v>
      </c>
      <c r="G725">
        <v>8.7636131452724697E-2</v>
      </c>
      <c r="H725">
        <v>10970.842426000005</v>
      </c>
      <c r="I725">
        <v>60</v>
      </c>
      <c r="J725">
        <v>8020</v>
      </c>
      <c r="K725">
        <v>2</v>
      </c>
      <c r="L725">
        <v>2</v>
      </c>
      <c r="M725">
        <v>2</v>
      </c>
      <c r="N725">
        <v>1</v>
      </c>
    </row>
    <row r="726" spans="1:14">
      <c r="A726">
        <v>22</v>
      </c>
      <c r="B726">
        <v>1</v>
      </c>
      <c r="C726">
        <v>456</v>
      </c>
      <c r="D726">
        <v>0.21049087776686207</v>
      </c>
      <c r="E726">
        <v>13</v>
      </c>
      <c r="F726">
        <v>0</v>
      </c>
      <c r="G726">
        <v>0.14681082034545942</v>
      </c>
      <c r="H726">
        <v>9501.5994100000062</v>
      </c>
      <c r="I726">
        <v>58</v>
      </c>
      <c r="J726">
        <v>8020</v>
      </c>
      <c r="K726">
        <v>5</v>
      </c>
      <c r="L726">
        <v>3</v>
      </c>
      <c r="M726">
        <v>3</v>
      </c>
      <c r="N726">
        <v>2</v>
      </c>
    </row>
    <row r="727" spans="1:14">
      <c r="A727">
        <v>22</v>
      </c>
      <c r="B727">
        <v>2</v>
      </c>
      <c r="C727">
        <v>187</v>
      </c>
      <c r="D727">
        <v>0.1672147547733869</v>
      </c>
      <c r="E727">
        <v>8</v>
      </c>
      <c r="F727">
        <v>0</v>
      </c>
      <c r="G727">
        <v>9.8151330642349349E-2</v>
      </c>
      <c r="H727">
        <v>11960.667003999999</v>
      </c>
      <c r="I727">
        <v>59</v>
      </c>
      <c r="J727">
        <v>8020</v>
      </c>
      <c r="K727">
        <v>4</v>
      </c>
      <c r="L727">
        <v>1</v>
      </c>
      <c r="M727">
        <v>1</v>
      </c>
      <c r="N727">
        <v>2</v>
      </c>
    </row>
    <row r="728" spans="1:14">
      <c r="A728">
        <v>23</v>
      </c>
      <c r="B728">
        <v>1</v>
      </c>
      <c r="C728">
        <v>683</v>
      </c>
      <c r="D728">
        <v>0.230605536573252</v>
      </c>
      <c r="E728">
        <v>15</v>
      </c>
      <c r="F728">
        <v>0</v>
      </c>
      <c r="G728">
        <v>0.16630710083494946</v>
      </c>
      <c r="H728">
        <v>8672.818657000018</v>
      </c>
      <c r="I728">
        <v>58</v>
      </c>
      <c r="J728">
        <v>8020</v>
      </c>
      <c r="K728">
        <v>6</v>
      </c>
      <c r="L728">
        <v>3</v>
      </c>
      <c r="M728">
        <v>3</v>
      </c>
      <c r="N728">
        <v>3</v>
      </c>
    </row>
    <row r="729" spans="1:14">
      <c r="A729">
        <v>23</v>
      </c>
      <c r="B729">
        <v>2</v>
      </c>
      <c r="C729">
        <v>329</v>
      </c>
      <c r="D729">
        <v>0.18734886333009063</v>
      </c>
      <c r="E729">
        <v>8</v>
      </c>
      <c r="F729">
        <v>0</v>
      </c>
      <c r="G729">
        <v>9.7476306220467143E-2</v>
      </c>
      <c r="H729">
        <v>10675.271600000011</v>
      </c>
      <c r="I729">
        <v>61</v>
      </c>
      <c r="J729">
        <v>8020</v>
      </c>
      <c r="K729">
        <v>3</v>
      </c>
      <c r="L729">
        <v>2</v>
      </c>
      <c r="M729">
        <v>2</v>
      </c>
      <c r="N729">
        <v>1</v>
      </c>
    </row>
    <row r="730" spans="1:14">
      <c r="A730">
        <v>24</v>
      </c>
      <c r="B730">
        <v>1</v>
      </c>
      <c r="C730">
        <v>575</v>
      </c>
      <c r="D730">
        <v>0.23095618009685998</v>
      </c>
      <c r="E730">
        <v>17</v>
      </c>
      <c r="F730">
        <v>0</v>
      </c>
      <c r="G730">
        <v>0.18629884403710953</v>
      </c>
      <c r="H730">
        <v>8659.6513639999866</v>
      </c>
      <c r="I730">
        <v>58</v>
      </c>
      <c r="J730">
        <v>8020</v>
      </c>
      <c r="K730">
        <v>7</v>
      </c>
      <c r="L730">
        <v>4</v>
      </c>
      <c r="M730">
        <v>3</v>
      </c>
      <c r="N730">
        <v>3</v>
      </c>
    </row>
    <row r="731" spans="1:14">
      <c r="A731">
        <v>24</v>
      </c>
      <c r="B731">
        <v>2</v>
      </c>
      <c r="C731">
        <v>222</v>
      </c>
      <c r="D731">
        <v>0.17862631010171492</v>
      </c>
      <c r="E731">
        <v>9</v>
      </c>
      <c r="F731">
        <v>0</v>
      </c>
      <c r="G731">
        <v>0.10775626117170783</v>
      </c>
      <c r="H731">
        <v>11196.558887999998</v>
      </c>
      <c r="I731">
        <v>62</v>
      </c>
      <c r="J731">
        <v>8020</v>
      </c>
      <c r="K731">
        <v>4</v>
      </c>
      <c r="L731">
        <v>1</v>
      </c>
      <c r="M731">
        <v>3</v>
      </c>
      <c r="N731">
        <v>1</v>
      </c>
    </row>
    <row r="732" spans="1:14">
      <c r="A732">
        <v>25</v>
      </c>
      <c r="B732">
        <v>1</v>
      </c>
      <c r="C732">
        <v>320</v>
      </c>
      <c r="D732">
        <v>0.20114698421553065</v>
      </c>
      <c r="E732">
        <v>12</v>
      </c>
      <c r="F732">
        <v>0</v>
      </c>
      <c r="G732">
        <v>0.13706719529928338</v>
      </c>
      <c r="H732">
        <v>9942.9778069999975</v>
      </c>
      <c r="I732">
        <v>60</v>
      </c>
      <c r="J732">
        <v>8020</v>
      </c>
      <c r="K732">
        <v>5</v>
      </c>
      <c r="L732">
        <v>3</v>
      </c>
      <c r="M732">
        <v>2</v>
      </c>
      <c r="N732">
        <v>2</v>
      </c>
    </row>
    <row r="733" spans="1:14">
      <c r="A733">
        <v>25</v>
      </c>
      <c r="B733">
        <v>2</v>
      </c>
      <c r="C733">
        <v>229</v>
      </c>
      <c r="D733">
        <v>0.16589857441917483</v>
      </c>
      <c r="E733">
        <v>7</v>
      </c>
      <c r="F733">
        <v>0</v>
      </c>
      <c r="G733">
        <v>8.8199206324826779E-2</v>
      </c>
      <c r="H733">
        <v>12055.558687000006</v>
      </c>
      <c r="I733">
        <v>59</v>
      </c>
      <c r="J733">
        <v>8020</v>
      </c>
      <c r="K733">
        <v>2</v>
      </c>
      <c r="L733">
        <v>2</v>
      </c>
      <c r="M733">
        <v>2</v>
      </c>
      <c r="N733">
        <v>1</v>
      </c>
    </row>
    <row r="734" spans="1:14">
      <c r="A734">
        <v>26</v>
      </c>
      <c r="B734">
        <v>1</v>
      </c>
      <c r="C734">
        <v>345</v>
      </c>
      <c r="D734">
        <v>0.20429968080596841</v>
      </c>
      <c r="E734">
        <v>12</v>
      </c>
      <c r="F734">
        <v>0</v>
      </c>
      <c r="G734">
        <v>0.13697894770203997</v>
      </c>
      <c r="H734">
        <v>9789.540503000002</v>
      </c>
      <c r="I734">
        <v>59</v>
      </c>
      <c r="J734">
        <v>8020</v>
      </c>
      <c r="K734">
        <v>4</v>
      </c>
      <c r="L734">
        <v>3</v>
      </c>
      <c r="M734">
        <v>3</v>
      </c>
      <c r="N734">
        <v>2</v>
      </c>
    </row>
    <row r="735" spans="1:14">
      <c r="A735">
        <v>26</v>
      </c>
      <c r="B735">
        <v>2</v>
      </c>
      <c r="C735">
        <v>228</v>
      </c>
      <c r="D735">
        <v>0.16304524972535511</v>
      </c>
      <c r="E735">
        <v>7</v>
      </c>
      <c r="F735">
        <v>0</v>
      </c>
      <c r="G735">
        <v>8.8304756241804366E-2</v>
      </c>
      <c r="H735">
        <v>12266.533390999986</v>
      </c>
      <c r="I735">
        <v>60</v>
      </c>
      <c r="J735">
        <v>8020</v>
      </c>
      <c r="K735">
        <v>3</v>
      </c>
      <c r="L735">
        <v>1</v>
      </c>
      <c r="M735">
        <v>2</v>
      </c>
      <c r="N735">
        <v>1</v>
      </c>
    </row>
    <row r="736" spans="1:14">
      <c r="A736">
        <v>27</v>
      </c>
      <c r="B736">
        <v>1</v>
      </c>
      <c r="C736">
        <v>408</v>
      </c>
      <c r="D736">
        <v>0.21857826914338788</v>
      </c>
      <c r="E736">
        <v>13</v>
      </c>
      <c r="F736">
        <v>0</v>
      </c>
      <c r="G736">
        <v>0.14660087600677821</v>
      </c>
      <c r="H736">
        <v>9150.0404310000049</v>
      </c>
      <c r="I736">
        <v>58</v>
      </c>
      <c r="J736">
        <v>8020</v>
      </c>
      <c r="K736">
        <v>5</v>
      </c>
      <c r="L736">
        <v>3</v>
      </c>
      <c r="M736">
        <v>3</v>
      </c>
      <c r="N736">
        <v>2</v>
      </c>
    </row>
    <row r="737" spans="1:14">
      <c r="A737">
        <v>27</v>
      </c>
      <c r="B737">
        <v>2</v>
      </c>
      <c r="C737">
        <v>223</v>
      </c>
      <c r="D737">
        <v>0.17277017661722488</v>
      </c>
      <c r="E737">
        <v>7</v>
      </c>
      <c r="F737">
        <v>0</v>
      </c>
      <c r="G737">
        <v>8.7954655401826135E-2</v>
      </c>
      <c r="H737">
        <v>11576.071977000014</v>
      </c>
      <c r="I737">
        <v>60</v>
      </c>
      <c r="J737">
        <v>8020</v>
      </c>
      <c r="K737">
        <v>2</v>
      </c>
      <c r="L737">
        <v>2</v>
      </c>
      <c r="M737">
        <v>2</v>
      </c>
      <c r="N737">
        <v>1</v>
      </c>
    </row>
    <row r="738" spans="1:14">
      <c r="A738">
        <v>28</v>
      </c>
      <c r="B738">
        <v>1</v>
      </c>
      <c r="C738">
        <v>549</v>
      </c>
      <c r="D738">
        <v>0.22260986455295678</v>
      </c>
      <c r="E738">
        <v>17</v>
      </c>
      <c r="F738">
        <v>0</v>
      </c>
      <c r="G738">
        <v>0.1865000476423479</v>
      </c>
      <c r="H738">
        <v>8984.3278239999963</v>
      </c>
      <c r="I738">
        <v>57</v>
      </c>
      <c r="J738">
        <v>8020</v>
      </c>
      <c r="K738">
        <v>7</v>
      </c>
      <c r="L738">
        <v>4</v>
      </c>
      <c r="M738">
        <v>3</v>
      </c>
      <c r="N738">
        <v>3</v>
      </c>
    </row>
    <row r="739" spans="1:14">
      <c r="A739">
        <v>28</v>
      </c>
      <c r="B739">
        <v>2</v>
      </c>
      <c r="C739">
        <v>123</v>
      </c>
      <c r="D739">
        <v>0.12747337937263933</v>
      </c>
      <c r="E739">
        <v>4</v>
      </c>
      <c r="F739">
        <v>0</v>
      </c>
      <c r="G739">
        <v>5.9869800206222609E-2</v>
      </c>
      <c r="H739">
        <v>15689.550318999989</v>
      </c>
      <c r="I739">
        <v>55</v>
      </c>
      <c r="J739">
        <v>8020</v>
      </c>
      <c r="K739">
        <v>1</v>
      </c>
      <c r="L739">
        <v>1</v>
      </c>
      <c r="M739">
        <v>1</v>
      </c>
      <c r="N739">
        <v>1</v>
      </c>
    </row>
    <row r="740" spans="1:14">
      <c r="A740">
        <v>29</v>
      </c>
      <c r="B740">
        <v>1</v>
      </c>
      <c r="C740">
        <v>290</v>
      </c>
      <c r="D740">
        <v>0.22101488081931875</v>
      </c>
      <c r="E740">
        <v>14</v>
      </c>
      <c r="F740">
        <v>0</v>
      </c>
      <c r="G740">
        <v>0.15653964415070465</v>
      </c>
      <c r="H740">
        <v>9049.1644389999892</v>
      </c>
      <c r="I740">
        <v>58</v>
      </c>
      <c r="J740">
        <v>8020</v>
      </c>
      <c r="K740">
        <v>5</v>
      </c>
      <c r="L740">
        <v>3</v>
      </c>
      <c r="M740">
        <v>4</v>
      </c>
      <c r="N740">
        <v>2</v>
      </c>
    </row>
    <row r="741" spans="1:14">
      <c r="A741">
        <v>29</v>
      </c>
      <c r="B741">
        <v>2</v>
      </c>
      <c r="C741">
        <v>207</v>
      </c>
      <c r="D741">
        <v>0.17399598962089632</v>
      </c>
      <c r="E741">
        <v>7</v>
      </c>
      <c r="F741">
        <v>0</v>
      </c>
      <c r="G741">
        <v>8.7912392093683067E-2</v>
      </c>
      <c r="H741">
        <v>11494.517800999976</v>
      </c>
      <c r="I741">
        <v>58</v>
      </c>
      <c r="J741">
        <v>8020</v>
      </c>
      <c r="K741">
        <v>2</v>
      </c>
      <c r="L741">
        <v>2</v>
      </c>
      <c r="M741">
        <v>2</v>
      </c>
      <c r="N741">
        <v>1</v>
      </c>
    </row>
    <row r="742" spans="1:14">
      <c r="A742">
        <v>30</v>
      </c>
      <c r="B742">
        <v>1</v>
      </c>
      <c r="C742">
        <v>151</v>
      </c>
      <c r="D742">
        <v>0.20196646470093585</v>
      </c>
      <c r="E742">
        <v>12</v>
      </c>
      <c r="F742">
        <v>0</v>
      </c>
      <c r="G742">
        <v>0.13704408058288345</v>
      </c>
      <c r="H742">
        <v>9902.6340979999968</v>
      </c>
      <c r="I742">
        <v>59</v>
      </c>
      <c r="J742">
        <v>8020</v>
      </c>
      <c r="K742">
        <v>4</v>
      </c>
      <c r="L742">
        <v>3</v>
      </c>
      <c r="M742">
        <v>3</v>
      </c>
      <c r="N742">
        <v>2</v>
      </c>
    </row>
    <row r="743" spans="1:14">
      <c r="A743">
        <v>30</v>
      </c>
      <c r="B743">
        <v>2</v>
      </c>
      <c r="C743">
        <v>159</v>
      </c>
      <c r="D743">
        <v>0.15997031011193114</v>
      </c>
      <c r="E743">
        <v>7</v>
      </c>
      <c r="F743">
        <v>0</v>
      </c>
      <c r="G743">
        <v>8.8421296993366191E-2</v>
      </c>
      <c r="H743">
        <v>12502.319953000035</v>
      </c>
      <c r="I743">
        <v>60</v>
      </c>
      <c r="J743">
        <v>8020</v>
      </c>
      <c r="K743">
        <v>3</v>
      </c>
      <c r="L743">
        <v>1</v>
      </c>
      <c r="M743">
        <v>2</v>
      </c>
      <c r="N743">
        <v>1</v>
      </c>
    </row>
    <row r="744" spans="1:14">
      <c r="A744">
        <v>31</v>
      </c>
      <c r="B744">
        <v>1</v>
      </c>
      <c r="C744">
        <v>68</v>
      </c>
      <c r="D744">
        <v>0.22789715213240713</v>
      </c>
      <c r="E744">
        <v>7</v>
      </c>
      <c r="F744">
        <v>0</v>
      </c>
      <c r="G744">
        <v>8.6371445773677044E-2</v>
      </c>
      <c r="H744">
        <v>8775.8885150000024</v>
      </c>
      <c r="I744">
        <v>58</v>
      </c>
      <c r="J744">
        <v>8020</v>
      </c>
      <c r="K744">
        <v>2</v>
      </c>
      <c r="L744">
        <v>2</v>
      </c>
      <c r="M744">
        <v>2</v>
      </c>
      <c r="N744">
        <v>1</v>
      </c>
    </row>
    <row r="745" spans="1:14">
      <c r="A745">
        <v>31</v>
      </c>
      <c r="B745">
        <v>2</v>
      </c>
      <c r="C745">
        <v>67</v>
      </c>
      <c r="D745">
        <v>0.19611461011514986</v>
      </c>
      <c r="E745">
        <v>5</v>
      </c>
      <c r="F745">
        <v>0</v>
      </c>
      <c r="G745">
        <v>6.7211947671102987E-2</v>
      </c>
      <c r="H745">
        <v>10198.118329000008</v>
      </c>
      <c r="I745">
        <v>59</v>
      </c>
      <c r="J745">
        <v>8020</v>
      </c>
      <c r="K745">
        <v>2</v>
      </c>
      <c r="L745">
        <v>1</v>
      </c>
      <c r="M745">
        <v>1</v>
      </c>
      <c r="N745">
        <v>1</v>
      </c>
    </row>
    <row r="746" spans="1:14">
      <c r="A746">
        <v>32</v>
      </c>
      <c r="B746">
        <v>1</v>
      </c>
      <c r="C746">
        <v>73</v>
      </c>
      <c r="D746">
        <v>0.22974135789607322</v>
      </c>
      <c r="E746">
        <v>7</v>
      </c>
      <c r="F746">
        <v>0</v>
      </c>
      <c r="G746">
        <v>8.6327521793433434E-2</v>
      </c>
      <c r="H746">
        <v>8705.4417120000162</v>
      </c>
      <c r="I746">
        <v>58</v>
      </c>
      <c r="J746">
        <v>8020</v>
      </c>
      <c r="K746">
        <v>2</v>
      </c>
      <c r="L746">
        <v>2</v>
      </c>
      <c r="M746">
        <v>2</v>
      </c>
      <c r="N746">
        <v>1</v>
      </c>
    </row>
    <row r="747" spans="1:14">
      <c r="A747">
        <v>32</v>
      </c>
      <c r="B747">
        <v>2</v>
      </c>
      <c r="C747">
        <v>67</v>
      </c>
      <c r="D747">
        <v>0.19676080670443652</v>
      </c>
      <c r="E747">
        <v>5</v>
      </c>
      <c r="F747">
        <v>0</v>
      </c>
      <c r="G747">
        <v>6.7193084666513317E-2</v>
      </c>
      <c r="H747">
        <v>10164.625940999989</v>
      </c>
      <c r="I747">
        <v>57</v>
      </c>
      <c r="J747">
        <v>8020</v>
      </c>
      <c r="K747">
        <v>2</v>
      </c>
      <c r="L747">
        <v>1</v>
      </c>
      <c r="M747">
        <v>1</v>
      </c>
      <c r="N747">
        <v>1</v>
      </c>
    </row>
    <row r="748" spans="1:14">
      <c r="A748">
        <v>33</v>
      </c>
      <c r="B748">
        <v>1</v>
      </c>
      <c r="C748">
        <v>77</v>
      </c>
      <c r="D748">
        <v>0.23247996574050636</v>
      </c>
      <c r="E748">
        <v>7</v>
      </c>
      <c r="F748">
        <v>0</v>
      </c>
      <c r="G748">
        <v>8.6263155793069327E-2</v>
      </c>
      <c r="H748">
        <v>8602.8918389999926</v>
      </c>
      <c r="I748">
        <v>59</v>
      </c>
      <c r="J748">
        <v>8020</v>
      </c>
      <c r="K748">
        <v>2</v>
      </c>
      <c r="L748">
        <v>2</v>
      </c>
      <c r="M748">
        <v>2</v>
      </c>
      <c r="N748">
        <v>1</v>
      </c>
    </row>
    <row r="749" spans="1:14">
      <c r="A749">
        <v>33</v>
      </c>
      <c r="B749">
        <v>2</v>
      </c>
      <c r="C749">
        <v>46</v>
      </c>
      <c r="D749">
        <v>0.19944760468852724</v>
      </c>
      <c r="E749">
        <v>5</v>
      </c>
      <c r="F749">
        <v>0</v>
      </c>
      <c r="G749">
        <v>6.7115531562057948E-2</v>
      </c>
      <c r="H749">
        <v>10027.696262000009</v>
      </c>
      <c r="I749">
        <v>58</v>
      </c>
      <c r="J749">
        <v>8020</v>
      </c>
      <c r="K749">
        <v>2</v>
      </c>
      <c r="L749">
        <v>1</v>
      </c>
      <c r="M749">
        <v>1</v>
      </c>
      <c r="N749">
        <v>1</v>
      </c>
    </row>
    <row r="750" spans="1:14">
      <c r="A750">
        <v>34</v>
      </c>
      <c r="B750">
        <v>1</v>
      </c>
      <c r="C750">
        <v>122</v>
      </c>
      <c r="D750">
        <v>0.22679830897212255</v>
      </c>
      <c r="E750">
        <v>7</v>
      </c>
      <c r="F750">
        <v>0</v>
      </c>
      <c r="G750">
        <v>8.6397843201148114E-2</v>
      </c>
      <c r="H750">
        <v>8818.4079019999863</v>
      </c>
      <c r="I750">
        <v>59</v>
      </c>
      <c r="J750">
        <v>8020</v>
      </c>
      <c r="K750">
        <v>2</v>
      </c>
      <c r="L750">
        <v>2</v>
      </c>
      <c r="M750">
        <v>2</v>
      </c>
      <c r="N750">
        <v>1</v>
      </c>
    </row>
    <row r="751" spans="1:14">
      <c r="A751">
        <v>34</v>
      </c>
      <c r="B751">
        <v>2</v>
      </c>
      <c r="C751">
        <v>63</v>
      </c>
      <c r="D751">
        <v>0.1967365447989749</v>
      </c>
      <c r="E751">
        <v>5</v>
      </c>
      <c r="F751">
        <v>0</v>
      </c>
      <c r="G751">
        <v>6.7193791398196895E-2</v>
      </c>
      <c r="H751">
        <v>10165.879460999973</v>
      </c>
      <c r="I751">
        <v>59</v>
      </c>
      <c r="J751">
        <v>8020</v>
      </c>
      <c r="K751">
        <v>2</v>
      </c>
      <c r="L751">
        <v>1</v>
      </c>
      <c r="M751">
        <v>1</v>
      </c>
      <c r="N751">
        <v>1</v>
      </c>
    </row>
    <row r="752" spans="1:14">
      <c r="A752">
        <v>35</v>
      </c>
      <c r="B752">
        <v>1</v>
      </c>
      <c r="C752">
        <v>159</v>
      </c>
      <c r="D752">
        <v>0.23152862853506134</v>
      </c>
      <c r="E752">
        <v>7</v>
      </c>
      <c r="F752">
        <v>0</v>
      </c>
      <c r="G752">
        <v>8.6285400130194284E-2</v>
      </c>
      <c r="H752">
        <v>8638.2406040000005</v>
      </c>
      <c r="I752">
        <v>59</v>
      </c>
      <c r="J752">
        <v>8020</v>
      </c>
      <c r="K752">
        <v>2</v>
      </c>
      <c r="L752">
        <v>2</v>
      </c>
      <c r="M752">
        <v>2</v>
      </c>
      <c r="N752">
        <v>1</v>
      </c>
    </row>
    <row r="753" spans="1:14">
      <c r="A753">
        <v>35</v>
      </c>
      <c r="B753">
        <v>2</v>
      </c>
      <c r="C753">
        <v>73</v>
      </c>
      <c r="D753">
        <v>0.19876609609187842</v>
      </c>
      <c r="E753">
        <v>5</v>
      </c>
      <c r="F753">
        <v>0</v>
      </c>
      <c r="G753">
        <v>6.7135070568378433E-2</v>
      </c>
      <c r="H753">
        <v>10062.07818799999</v>
      </c>
      <c r="I753">
        <v>58</v>
      </c>
      <c r="J753">
        <v>8020</v>
      </c>
      <c r="K753">
        <v>2</v>
      </c>
      <c r="L753">
        <v>1</v>
      </c>
      <c r="M753">
        <v>1</v>
      </c>
      <c r="N753">
        <v>1</v>
      </c>
    </row>
    <row r="754" spans="1:14">
      <c r="A754">
        <v>36</v>
      </c>
      <c r="B754">
        <v>1</v>
      </c>
      <c r="C754">
        <v>69</v>
      </c>
      <c r="D754">
        <v>0.23147507230108855</v>
      </c>
      <c r="E754">
        <v>7</v>
      </c>
      <c r="F754">
        <v>0</v>
      </c>
      <c r="G754">
        <v>8.6286656014084334E-2</v>
      </c>
      <c r="H754">
        <v>8640.2392279999931</v>
      </c>
      <c r="I754">
        <v>58</v>
      </c>
      <c r="J754">
        <v>8020</v>
      </c>
      <c r="K754">
        <v>2</v>
      </c>
      <c r="L754">
        <v>2</v>
      </c>
      <c r="M754">
        <v>2</v>
      </c>
      <c r="N754">
        <v>1</v>
      </c>
    </row>
    <row r="755" spans="1:14">
      <c r="A755">
        <v>36</v>
      </c>
      <c r="B755">
        <v>2</v>
      </c>
      <c r="C755">
        <v>30</v>
      </c>
      <c r="D755">
        <v>0.19754102268365309</v>
      </c>
      <c r="E755">
        <v>5</v>
      </c>
      <c r="F755">
        <v>0</v>
      </c>
      <c r="G755">
        <v>6.7170419300371431E-2</v>
      </c>
      <c r="H755">
        <v>10124.479324999991</v>
      </c>
      <c r="I755">
        <v>59</v>
      </c>
      <c r="J755">
        <v>8020</v>
      </c>
      <c r="K755">
        <v>2</v>
      </c>
      <c r="L755">
        <v>1</v>
      </c>
      <c r="M755">
        <v>1</v>
      </c>
      <c r="N755">
        <v>1</v>
      </c>
    </row>
    <row r="756" spans="1:14">
      <c r="A756">
        <v>37</v>
      </c>
      <c r="B756">
        <v>1</v>
      </c>
      <c r="C756">
        <v>86</v>
      </c>
      <c r="D756">
        <v>0.23274032674119607</v>
      </c>
      <c r="E756">
        <v>7</v>
      </c>
      <c r="F756">
        <v>0</v>
      </c>
      <c r="G756">
        <v>8.6257089130004239E-2</v>
      </c>
      <c r="H756">
        <v>8593.2679909999933</v>
      </c>
      <c r="I756">
        <v>59</v>
      </c>
      <c r="J756">
        <v>8020</v>
      </c>
      <c r="K756">
        <v>2</v>
      </c>
      <c r="L756">
        <v>2</v>
      </c>
      <c r="M756">
        <v>2</v>
      </c>
      <c r="N756">
        <v>1</v>
      </c>
    </row>
    <row r="757" spans="1:14">
      <c r="A757">
        <v>37</v>
      </c>
      <c r="B757">
        <v>2</v>
      </c>
      <c r="C757">
        <v>72</v>
      </c>
      <c r="D757">
        <v>0.20126735227949458</v>
      </c>
      <c r="E757">
        <v>5</v>
      </c>
      <c r="F757">
        <v>0</v>
      </c>
      <c r="G757">
        <v>6.7063792271912961E-2</v>
      </c>
      <c r="H757">
        <v>9937.0314029999936</v>
      </c>
      <c r="I757">
        <v>59</v>
      </c>
      <c r="J757">
        <v>8020</v>
      </c>
      <c r="K757">
        <v>2</v>
      </c>
      <c r="L757">
        <v>1</v>
      </c>
      <c r="M757">
        <v>1</v>
      </c>
      <c r="N757">
        <v>1</v>
      </c>
    </row>
    <row r="758" spans="1:14">
      <c r="A758">
        <v>38</v>
      </c>
      <c r="B758">
        <v>1</v>
      </c>
      <c r="C758">
        <v>71</v>
      </c>
      <c r="D758">
        <v>0.23239101472597712</v>
      </c>
      <c r="E758">
        <v>7</v>
      </c>
      <c r="F758">
        <v>0</v>
      </c>
      <c r="G758">
        <v>8.6265230514239996E-2</v>
      </c>
      <c r="H758">
        <v>8606.1847200000029</v>
      </c>
      <c r="I758">
        <v>58</v>
      </c>
      <c r="J758">
        <v>8020</v>
      </c>
      <c r="K758">
        <v>2</v>
      </c>
      <c r="L758">
        <v>2</v>
      </c>
      <c r="M758">
        <v>2</v>
      </c>
      <c r="N758">
        <v>1</v>
      </c>
    </row>
    <row r="759" spans="1:14">
      <c r="A759">
        <v>38</v>
      </c>
      <c r="B759">
        <v>2</v>
      </c>
      <c r="C759">
        <v>46</v>
      </c>
      <c r="D759">
        <v>0.20021384101569864</v>
      </c>
      <c r="E759">
        <v>5</v>
      </c>
      <c r="F759">
        <v>0</v>
      </c>
      <c r="G759">
        <v>6.709366942403365E-2</v>
      </c>
      <c r="H759">
        <v>9989.3193689999753</v>
      </c>
      <c r="I759">
        <v>58</v>
      </c>
      <c r="J759">
        <v>8020</v>
      </c>
      <c r="K759">
        <v>2</v>
      </c>
      <c r="L759">
        <v>1</v>
      </c>
      <c r="M759">
        <v>1</v>
      </c>
      <c r="N759">
        <v>1</v>
      </c>
    </row>
    <row r="760" spans="1:14">
      <c r="A760">
        <v>39</v>
      </c>
      <c r="B760">
        <v>1</v>
      </c>
      <c r="C760">
        <v>120</v>
      </c>
      <c r="D760">
        <v>0.22994178482319289</v>
      </c>
      <c r="E760">
        <v>7</v>
      </c>
      <c r="F760">
        <v>0</v>
      </c>
      <c r="G760">
        <v>8.6322776496281103E-2</v>
      </c>
      <c r="H760">
        <v>8697.8536829999921</v>
      </c>
      <c r="I760">
        <v>58</v>
      </c>
      <c r="J760">
        <v>8020</v>
      </c>
      <c r="K760">
        <v>2</v>
      </c>
      <c r="L760">
        <v>2</v>
      </c>
      <c r="M760">
        <v>2</v>
      </c>
      <c r="N760">
        <v>1</v>
      </c>
    </row>
    <row r="761" spans="1:14">
      <c r="A761">
        <v>39</v>
      </c>
      <c r="B761">
        <v>2</v>
      </c>
      <c r="C761">
        <v>63</v>
      </c>
      <c r="D761">
        <v>0.19840560781355676</v>
      </c>
      <c r="E761">
        <v>5</v>
      </c>
      <c r="F761">
        <v>0</v>
      </c>
      <c r="G761">
        <v>6.7145442007106509E-2</v>
      </c>
      <c r="H761">
        <v>10080.360238000001</v>
      </c>
      <c r="I761">
        <v>59</v>
      </c>
      <c r="J761">
        <v>8020</v>
      </c>
      <c r="K761">
        <v>2</v>
      </c>
      <c r="L761">
        <v>1</v>
      </c>
      <c r="M761">
        <v>1</v>
      </c>
      <c r="N761">
        <v>1</v>
      </c>
    </row>
    <row r="762" spans="1:14">
      <c r="A762">
        <v>40</v>
      </c>
      <c r="B762">
        <v>1</v>
      </c>
      <c r="C762">
        <v>133</v>
      </c>
      <c r="D762">
        <v>0.23187691489847448</v>
      </c>
      <c r="E762">
        <v>7</v>
      </c>
      <c r="F762">
        <v>0</v>
      </c>
      <c r="G762">
        <v>8.6277242317971084E-2</v>
      </c>
      <c r="H762">
        <v>8625.2656969999989</v>
      </c>
      <c r="I762">
        <v>59</v>
      </c>
      <c r="J762">
        <v>8020</v>
      </c>
      <c r="K762">
        <v>2</v>
      </c>
      <c r="L762">
        <v>2</v>
      </c>
      <c r="M762">
        <v>2</v>
      </c>
      <c r="N762">
        <v>1</v>
      </c>
    </row>
    <row r="763" spans="1:14">
      <c r="A763">
        <v>40</v>
      </c>
      <c r="B763">
        <v>2</v>
      </c>
      <c r="C763">
        <v>41</v>
      </c>
      <c r="D763">
        <v>0.19907952751533251</v>
      </c>
      <c r="E763">
        <v>5</v>
      </c>
      <c r="F763">
        <v>0</v>
      </c>
      <c r="G763">
        <v>6.7126073342283099E-2</v>
      </c>
      <c r="H763">
        <v>10046.236420999974</v>
      </c>
      <c r="I763">
        <v>60</v>
      </c>
      <c r="J763">
        <v>8020</v>
      </c>
      <c r="K763">
        <v>2</v>
      </c>
      <c r="L763">
        <v>1</v>
      </c>
      <c r="M763">
        <v>1</v>
      </c>
      <c r="N763">
        <v>1</v>
      </c>
    </row>
    <row r="764" spans="1:14">
      <c r="A764">
        <v>41</v>
      </c>
      <c r="B764">
        <v>1</v>
      </c>
      <c r="C764">
        <v>897</v>
      </c>
      <c r="D764">
        <v>0.22228891509614174</v>
      </c>
      <c r="E764">
        <v>24</v>
      </c>
      <c r="F764">
        <v>0</v>
      </c>
      <c r="G764">
        <v>0.25650798496221561</v>
      </c>
      <c r="H764">
        <v>8997.2997490000071</v>
      </c>
      <c r="I764">
        <v>64</v>
      </c>
      <c r="J764">
        <v>8020</v>
      </c>
      <c r="K764">
        <v>3</v>
      </c>
      <c r="L764">
        <v>6</v>
      </c>
      <c r="M764">
        <v>14</v>
      </c>
      <c r="N764">
        <v>1</v>
      </c>
    </row>
    <row r="765" spans="1:14">
      <c r="A765">
        <v>41</v>
      </c>
      <c r="B765">
        <v>2</v>
      </c>
      <c r="C765">
        <v>332</v>
      </c>
      <c r="D765">
        <v>0.17670574736035205</v>
      </c>
      <c r="E765">
        <v>9</v>
      </c>
      <c r="F765">
        <v>0</v>
      </c>
      <c r="G765">
        <v>0.10782035870208237</v>
      </c>
      <c r="H765">
        <v>11318.250990000031</v>
      </c>
      <c r="I765">
        <v>59</v>
      </c>
      <c r="J765">
        <v>8020</v>
      </c>
      <c r="K765">
        <v>1</v>
      </c>
      <c r="L765">
        <v>3</v>
      </c>
      <c r="M765">
        <v>4</v>
      </c>
      <c r="N765">
        <v>1</v>
      </c>
    </row>
    <row r="766" spans="1:14">
      <c r="A766">
        <v>42</v>
      </c>
      <c r="B766">
        <v>1</v>
      </c>
      <c r="C766">
        <v>787</v>
      </c>
      <c r="D766">
        <v>0.2093517377060056</v>
      </c>
      <c r="E766">
        <v>22</v>
      </c>
      <c r="F766">
        <v>0</v>
      </c>
      <c r="G766">
        <v>0.23684125596622349</v>
      </c>
      <c r="H766">
        <v>9553.3002109999998</v>
      </c>
      <c r="I766">
        <v>57</v>
      </c>
      <c r="J766">
        <v>8020</v>
      </c>
      <c r="K766">
        <v>1</v>
      </c>
      <c r="L766">
        <v>11</v>
      </c>
      <c r="M766">
        <v>8</v>
      </c>
      <c r="N766">
        <v>2</v>
      </c>
    </row>
    <row r="767" spans="1:14">
      <c r="A767">
        <v>42</v>
      </c>
      <c r="B767">
        <v>2</v>
      </c>
      <c r="C767">
        <v>451</v>
      </c>
      <c r="D767">
        <v>0.17280399386194217</v>
      </c>
      <c r="E767">
        <v>9</v>
      </c>
      <c r="F767">
        <v>0</v>
      </c>
      <c r="G767">
        <v>0.1079534841006043</v>
      </c>
      <c r="H767">
        <v>11573.806573000011</v>
      </c>
      <c r="I767">
        <v>63</v>
      </c>
      <c r="J767">
        <v>8020</v>
      </c>
      <c r="K767">
        <v>2</v>
      </c>
      <c r="L767">
        <v>3</v>
      </c>
      <c r="M767">
        <v>3</v>
      </c>
      <c r="N767">
        <v>1</v>
      </c>
    </row>
    <row r="768" spans="1:14">
      <c r="A768">
        <v>43</v>
      </c>
      <c r="B768">
        <v>1</v>
      </c>
      <c r="C768">
        <v>1268</v>
      </c>
      <c r="D768">
        <v>0.23845502866585308</v>
      </c>
      <c r="E768">
        <v>20</v>
      </c>
      <c r="F768">
        <v>0</v>
      </c>
      <c r="G768">
        <v>0.2161261676880499</v>
      </c>
      <c r="H768">
        <v>8387.3257409999896</v>
      </c>
      <c r="I768">
        <v>61</v>
      </c>
      <c r="J768">
        <v>8020</v>
      </c>
      <c r="K768">
        <v>4</v>
      </c>
      <c r="L768">
        <v>6</v>
      </c>
      <c r="M768">
        <v>7</v>
      </c>
      <c r="N768">
        <v>3</v>
      </c>
    </row>
    <row r="769" spans="1:14">
      <c r="A769">
        <v>43</v>
      </c>
      <c r="B769">
        <v>2</v>
      </c>
      <c r="C769">
        <v>589</v>
      </c>
      <c r="D769">
        <v>0.19225257680288543</v>
      </c>
      <c r="E769">
        <v>10</v>
      </c>
      <c r="F769">
        <v>0</v>
      </c>
      <c r="G769">
        <v>0.11732643752091651</v>
      </c>
      <c r="H769">
        <v>10402.981501000006</v>
      </c>
      <c r="I769">
        <v>56</v>
      </c>
      <c r="J769">
        <v>8020</v>
      </c>
      <c r="K769">
        <v>1</v>
      </c>
      <c r="L769">
        <v>4</v>
      </c>
      <c r="M769">
        <v>3</v>
      </c>
      <c r="N769">
        <v>2</v>
      </c>
    </row>
    <row r="770" spans="1:14">
      <c r="A770">
        <v>44</v>
      </c>
      <c r="B770">
        <v>1</v>
      </c>
      <c r="C770">
        <v>713</v>
      </c>
      <c r="D770">
        <v>0.22116802311982575</v>
      </c>
      <c r="E770">
        <v>16</v>
      </c>
      <c r="F770">
        <v>0</v>
      </c>
      <c r="G770">
        <v>0.17653582578075672</v>
      </c>
      <c r="H770">
        <v>9042.898570000003</v>
      </c>
      <c r="I770">
        <v>61</v>
      </c>
      <c r="J770">
        <v>8020</v>
      </c>
      <c r="K770">
        <v>3</v>
      </c>
      <c r="L770">
        <v>5</v>
      </c>
      <c r="M770">
        <v>6</v>
      </c>
      <c r="N770">
        <v>2</v>
      </c>
    </row>
    <row r="771" spans="1:14">
      <c r="A771">
        <v>44</v>
      </c>
      <c r="B771">
        <v>2</v>
      </c>
      <c r="C771">
        <v>421</v>
      </c>
      <c r="D771">
        <v>0.17157427595579447</v>
      </c>
      <c r="E771">
        <v>8</v>
      </c>
      <c r="F771">
        <v>0</v>
      </c>
      <c r="G771">
        <v>9.799627447845484E-2</v>
      </c>
      <c r="H771">
        <v>11656.759084999976</v>
      </c>
      <c r="I771">
        <v>59</v>
      </c>
      <c r="J771">
        <v>8020</v>
      </c>
      <c r="K771">
        <v>1</v>
      </c>
      <c r="L771">
        <v>3</v>
      </c>
      <c r="M771">
        <v>3</v>
      </c>
      <c r="N771">
        <v>1</v>
      </c>
    </row>
    <row r="772" spans="1:14">
      <c r="A772">
        <v>45</v>
      </c>
      <c r="B772">
        <v>1</v>
      </c>
      <c r="C772">
        <v>810</v>
      </c>
      <c r="D772">
        <v>0.23455735951447187</v>
      </c>
      <c r="E772">
        <v>21</v>
      </c>
      <c r="F772">
        <v>0</v>
      </c>
      <c r="G772">
        <v>0.22621500095796829</v>
      </c>
      <c r="H772">
        <v>8526.6989880000019</v>
      </c>
      <c r="I772">
        <v>60</v>
      </c>
      <c r="J772">
        <v>8020</v>
      </c>
      <c r="K772">
        <v>3</v>
      </c>
      <c r="L772">
        <v>7</v>
      </c>
      <c r="M772">
        <v>8</v>
      </c>
      <c r="N772">
        <v>3</v>
      </c>
    </row>
    <row r="773" spans="1:14">
      <c r="A773">
        <v>45</v>
      </c>
      <c r="B773">
        <v>2</v>
      </c>
      <c r="C773">
        <v>610</v>
      </c>
      <c r="D773">
        <v>0.18020943934192388</v>
      </c>
      <c r="E773">
        <v>9</v>
      </c>
      <c r="F773">
        <v>0</v>
      </c>
      <c r="G773">
        <v>0.10770411226336807</v>
      </c>
      <c r="H773">
        <v>11098.197781999983</v>
      </c>
      <c r="I773">
        <v>56</v>
      </c>
      <c r="J773">
        <v>8020</v>
      </c>
      <c r="K773">
        <v>1</v>
      </c>
      <c r="L773">
        <v>3</v>
      </c>
      <c r="M773">
        <v>3</v>
      </c>
      <c r="N773">
        <v>2</v>
      </c>
    </row>
    <row r="774" spans="1:14">
      <c r="A774">
        <v>46</v>
      </c>
      <c r="B774">
        <v>1</v>
      </c>
      <c r="C774">
        <v>782</v>
      </c>
      <c r="D774">
        <v>0.22358589582897323</v>
      </c>
      <c r="E774">
        <v>24</v>
      </c>
      <c r="F774">
        <v>0</v>
      </c>
      <c r="G774">
        <v>0.25647600311198315</v>
      </c>
      <c r="H774">
        <v>8945.1080650000076</v>
      </c>
      <c r="I774">
        <v>60</v>
      </c>
      <c r="J774">
        <v>8020</v>
      </c>
      <c r="K774">
        <v>3</v>
      </c>
      <c r="L774">
        <v>8</v>
      </c>
      <c r="M774">
        <v>9</v>
      </c>
      <c r="N774">
        <v>4</v>
      </c>
    </row>
    <row r="775" spans="1:14">
      <c r="A775">
        <v>46</v>
      </c>
      <c r="B775">
        <v>2</v>
      </c>
      <c r="C775">
        <v>503</v>
      </c>
      <c r="D775">
        <v>0.1697958680412377</v>
      </c>
      <c r="E775">
        <v>9</v>
      </c>
      <c r="F775">
        <v>0</v>
      </c>
      <c r="G775">
        <v>0.108058886181951</v>
      </c>
      <c r="H775">
        <v>11778.849645000004</v>
      </c>
      <c r="I775">
        <v>59</v>
      </c>
      <c r="J775">
        <v>8020</v>
      </c>
      <c r="K775">
        <v>1</v>
      </c>
      <c r="L775">
        <v>3</v>
      </c>
      <c r="M775">
        <v>4</v>
      </c>
      <c r="N775">
        <v>1</v>
      </c>
    </row>
    <row r="776" spans="1:14">
      <c r="A776">
        <v>47</v>
      </c>
      <c r="B776">
        <v>1</v>
      </c>
      <c r="C776">
        <v>929</v>
      </c>
      <c r="D776">
        <v>0.22405849767295344</v>
      </c>
      <c r="E776">
        <v>18</v>
      </c>
      <c r="F776">
        <v>0</v>
      </c>
      <c r="G776">
        <v>0.19646441079620616</v>
      </c>
      <c r="H776">
        <v>8926.2403380000178</v>
      </c>
      <c r="I776">
        <v>63</v>
      </c>
      <c r="J776">
        <v>8020</v>
      </c>
      <c r="K776">
        <v>2</v>
      </c>
      <c r="L776">
        <v>7</v>
      </c>
      <c r="M776">
        <v>8</v>
      </c>
      <c r="N776">
        <v>1</v>
      </c>
    </row>
    <row r="777" spans="1:14">
      <c r="A777">
        <v>47</v>
      </c>
      <c r="B777">
        <v>2</v>
      </c>
      <c r="C777">
        <v>759</v>
      </c>
      <c r="D777">
        <v>0.17932048612206775</v>
      </c>
      <c r="E777">
        <v>8</v>
      </c>
      <c r="F777">
        <v>0</v>
      </c>
      <c r="G777">
        <v>9.7733319174589536E-2</v>
      </c>
      <c r="H777">
        <v>11153.215359000043</v>
      </c>
      <c r="I777">
        <v>63</v>
      </c>
      <c r="J777">
        <v>8020</v>
      </c>
      <c r="K777">
        <v>2</v>
      </c>
      <c r="L777">
        <v>2</v>
      </c>
      <c r="M777">
        <v>3</v>
      </c>
      <c r="N777">
        <v>1</v>
      </c>
    </row>
    <row r="778" spans="1:14">
      <c r="A778">
        <v>48</v>
      </c>
      <c r="B778">
        <v>1</v>
      </c>
      <c r="C778">
        <v>569</v>
      </c>
      <c r="D778">
        <v>0.21739749519047422</v>
      </c>
      <c r="E778">
        <v>18</v>
      </c>
      <c r="F778">
        <v>0</v>
      </c>
      <c r="G778">
        <v>0.19663087711921978</v>
      </c>
      <c r="H778">
        <v>9199.7380110000213</v>
      </c>
      <c r="I778">
        <v>62</v>
      </c>
      <c r="J778">
        <v>8020</v>
      </c>
      <c r="K778">
        <v>1</v>
      </c>
      <c r="L778">
        <v>9</v>
      </c>
      <c r="M778">
        <v>5</v>
      </c>
      <c r="N778">
        <v>3</v>
      </c>
    </row>
    <row r="779" spans="1:14">
      <c r="A779">
        <v>48</v>
      </c>
      <c r="B779">
        <v>2</v>
      </c>
      <c r="C779">
        <v>374</v>
      </c>
      <c r="D779">
        <v>0.17903053372081337</v>
      </c>
      <c r="E779">
        <v>8</v>
      </c>
      <c r="F779">
        <v>0</v>
      </c>
      <c r="G779">
        <v>9.7742887458875577E-2</v>
      </c>
      <c r="H779">
        <v>11171.278767</v>
      </c>
      <c r="I779">
        <v>65</v>
      </c>
      <c r="J779">
        <v>8020</v>
      </c>
      <c r="K779">
        <v>1</v>
      </c>
      <c r="L779">
        <v>3</v>
      </c>
      <c r="M779">
        <v>2</v>
      </c>
      <c r="N779">
        <v>2</v>
      </c>
    </row>
    <row r="780" spans="1:14">
      <c r="A780">
        <v>49</v>
      </c>
      <c r="B780">
        <v>1</v>
      </c>
      <c r="C780">
        <v>733</v>
      </c>
      <c r="D780">
        <v>0.22792388519598034</v>
      </c>
      <c r="E780">
        <v>15</v>
      </c>
      <c r="F780">
        <v>0</v>
      </c>
      <c r="G780">
        <v>0.16637080568277959</v>
      </c>
      <c r="H780">
        <v>8774.8591960000158</v>
      </c>
      <c r="I780">
        <v>69</v>
      </c>
      <c r="J780">
        <v>8020</v>
      </c>
      <c r="K780">
        <v>3</v>
      </c>
      <c r="L780">
        <v>5</v>
      </c>
      <c r="M780">
        <v>5</v>
      </c>
      <c r="N780">
        <v>2</v>
      </c>
    </row>
    <row r="781" spans="1:14">
      <c r="A781">
        <v>49</v>
      </c>
      <c r="B781">
        <v>2</v>
      </c>
      <c r="C781">
        <v>662</v>
      </c>
      <c r="D781">
        <v>0.18629726044454428</v>
      </c>
      <c r="E781">
        <v>9</v>
      </c>
      <c r="F781">
        <v>0</v>
      </c>
      <c r="G781">
        <v>0.1075091277123212</v>
      </c>
      <c r="H781">
        <v>10735.530921000025</v>
      </c>
      <c r="I781">
        <v>72</v>
      </c>
      <c r="J781">
        <v>8020</v>
      </c>
      <c r="K781">
        <v>2</v>
      </c>
      <c r="L781">
        <v>3</v>
      </c>
      <c r="M781">
        <v>3</v>
      </c>
      <c r="N781">
        <v>1</v>
      </c>
    </row>
    <row r="782" spans="1:14">
      <c r="A782">
        <v>50</v>
      </c>
      <c r="B782">
        <v>1</v>
      </c>
      <c r="C782">
        <v>484</v>
      </c>
      <c r="D782">
        <v>0.23912773549053548</v>
      </c>
      <c r="E782">
        <v>25</v>
      </c>
      <c r="F782">
        <v>0</v>
      </c>
      <c r="G782">
        <v>0.26611103160529487</v>
      </c>
      <c r="H782">
        <v>8363.7307730000175</v>
      </c>
      <c r="I782">
        <v>69</v>
      </c>
      <c r="J782">
        <v>8020</v>
      </c>
      <c r="K782">
        <v>5</v>
      </c>
      <c r="L782">
        <v>8</v>
      </c>
      <c r="M782">
        <v>9</v>
      </c>
      <c r="N782">
        <v>3</v>
      </c>
    </row>
    <row r="783" spans="1:14">
      <c r="A783">
        <v>50</v>
      </c>
      <c r="B783">
        <v>2</v>
      </c>
      <c r="C783">
        <v>547</v>
      </c>
      <c r="D783">
        <v>0.18087165743125744</v>
      </c>
      <c r="E783">
        <v>9</v>
      </c>
      <c r="F783">
        <v>0</v>
      </c>
      <c r="G783">
        <v>0.10768247939042409</v>
      </c>
      <c r="H783">
        <v>11057.564399000023</v>
      </c>
      <c r="I783">
        <v>68</v>
      </c>
      <c r="J783">
        <v>8020</v>
      </c>
      <c r="K783">
        <v>1</v>
      </c>
      <c r="L783">
        <v>3</v>
      </c>
      <c r="M783">
        <v>4</v>
      </c>
      <c r="N783">
        <v>1</v>
      </c>
    </row>
    <row r="784" spans="1:14">
      <c r="A784">
        <v>51</v>
      </c>
      <c r="B784">
        <v>1</v>
      </c>
      <c r="C784">
        <v>424</v>
      </c>
      <c r="D784">
        <v>0.22932260905785165</v>
      </c>
      <c r="E784">
        <v>9</v>
      </c>
      <c r="F784">
        <v>0</v>
      </c>
      <c r="G784">
        <v>0.10633745390528226</v>
      </c>
      <c r="H784">
        <v>8721.338066999997</v>
      </c>
      <c r="I784">
        <v>63</v>
      </c>
      <c r="J784">
        <v>8020</v>
      </c>
      <c r="K784">
        <v>1</v>
      </c>
      <c r="L784">
        <v>3</v>
      </c>
      <c r="M784">
        <v>4</v>
      </c>
      <c r="N784">
        <v>1</v>
      </c>
    </row>
    <row r="785" spans="1:14">
      <c r="A785">
        <v>51</v>
      </c>
      <c r="B785">
        <v>2</v>
      </c>
      <c r="C785">
        <v>364</v>
      </c>
      <c r="D785">
        <v>0.20955195349072714</v>
      </c>
      <c r="E785">
        <v>6</v>
      </c>
      <c r="F785">
        <v>0</v>
      </c>
      <c r="G785">
        <v>7.6835890614610089E-2</v>
      </c>
      <c r="H785">
        <v>9544.1725389999847</v>
      </c>
      <c r="I785">
        <v>65</v>
      </c>
      <c r="J785">
        <v>8020</v>
      </c>
      <c r="K785">
        <v>1</v>
      </c>
      <c r="L785">
        <v>2</v>
      </c>
      <c r="M785">
        <v>2</v>
      </c>
      <c r="N785">
        <v>1</v>
      </c>
    </row>
    <row r="786" spans="1:14">
      <c r="A786">
        <v>52</v>
      </c>
      <c r="B786">
        <v>1</v>
      </c>
      <c r="C786">
        <v>448</v>
      </c>
      <c r="D786">
        <v>0.22755757564867984</v>
      </c>
      <c r="E786">
        <v>8</v>
      </c>
      <c r="F786">
        <v>0</v>
      </c>
      <c r="G786">
        <v>9.6379585244777827E-2</v>
      </c>
      <c r="H786">
        <v>8788.9844769999982</v>
      </c>
      <c r="I786">
        <v>64</v>
      </c>
      <c r="J786">
        <v>8020</v>
      </c>
      <c r="K786">
        <v>1</v>
      </c>
      <c r="L786">
        <v>3</v>
      </c>
      <c r="M786">
        <v>3</v>
      </c>
      <c r="N786">
        <v>1</v>
      </c>
    </row>
    <row r="787" spans="1:14">
      <c r="A787">
        <v>52</v>
      </c>
      <c r="B787">
        <v>2</v>
      </c>
      <c r="C787">
        <v>419</v>
      </c>
      <c r="D787">
        <v>0.21021181598860336</v>
      </c>
      <c r="E787">
        <v>6</v>
      </c>
      <c r="F787">
        <v>0</v>
      </c>
      <c r="G787">
        <v>7.6818255993172199E-2</v>
      </c>
      <c r="H787">
        <v>9514.2130359999846</v>
      </c>
      <c r="I787">
        <v>64</v>
      </c>
      <c r="J787">
        <v>8020</v>
      </c>
      <c r="K787">
        <v>1</v>
      </c>
      <c r="L787">
        <v>2</v>
      </c>
      <c r="M787">
        <v>2</v>
      </c>
      <c r="N787">
        <v>1</v>
      </c>
    </row>
    <row r="788" spans="1:14">
      <c r="A788">
        <v>53</v>
      </c>
      <c r="B788">
        <v>1</v>
      </c>
      <c r="C788">
        <v>481</v>
      </c>
      <c r="D788">
        <v>0.22756676297710812</v>
      </c>
      <c r="E788">
        <v>8</v>
      </c>
      <c r="F788">
        <v>0</v>
      </c>
      <c r="G788">
        <v>9.6379364816199187E-2</v>
      </c>
      <c r="H788">
        <v>8788.6296479999946</v>
      </c>
      <c r="I788">
        <v>63</v>
      </c>
      <c r="J788">
        <v>8020</v>
      </c>
      <c r="K788">
        <v>1</v>
      </c>
      <c r="L788">
        <v>3</v>
      </c>
      <c r="M788">
        <v>3</v>
      </c>
      <c r="N788">
        <v>1</v>
      </c>
    </row>
    <row r="789" spans="1:14">
      <c r="A789">
        <v>53</v>
      </c>
      <c r="B789">
        <v>2</v>
      </c>
      <c r="C789">
        <v>501</v>
      </c>
      <c r="D789">
        <v>0.21034698988798295</v>
      </c>
      <c r="E789">
        <v>6</v>
      </c>
      <c r="F789">
        <v>0</v>
      </c>
      <c r="G789">
        <v>7.6814652619533519E-2</v>
      </c>
      <c r="H789">
        <v>9508.0989799999952</v>
      </c>
      <c r="I789">
        <v>64</v>
      </c>
      <c r="J789">
        <v>8020</v>
      </c>
      <c r="K789">
        <v>1</v>
      </c>
      <c r="L789">
        <v>2</v>
      </c>
      <c r="M789">
        <v>2</v>
      </c>
      <c r="N789">
        <v>1</v>
      </c>
    </row>
    <row r="790" spans="1:14">
      <c r="A790">
        <v>54</v>
      </c>
      <c r="B790">
        <v>1</v>
      </c>
      <c r="C790">
        <v>401</v>
      </c>
      <c r="D790">
        <v>0.22340124997105529</v>
      </c>
      <c r="E790">
        <v>8</v>
      </c>
      <c r="F790">
        <v>0</v>
      </c>
      <c r="G790">
        <v>9.6480541116970533E-2</v>
      </c>
      <c r="H790">
        <v>8952.5013859999781</v>
      </c>
      <c r="I790">
        <v>63</v>
      </c>
      <c r="J790">
        <v>8020</v>
      </c>
      <c r="K790">
        <v>1</v>
      </c>
      <c r="L790">
        <v>3</v>
      </c>
      <c r="M790">
        <v>3</v>
      </c>
      <c r="N790">
        <v>1</v>
      </c>
    </row>
    <row r="791" spans="1:14">
      <c r="A791">
        <v>54</v>
      </c>
      <c r="B791">
        <v>2</v>
      </c>
      <c r="C791">
        <v>428</v>
      </c>
      <c r="D791">
        <v>0.20729752852015443</v>
      </c>
      <c r="E791">
        <v>6</v>
      </c>
      <c r="F791">
        <v>0</v>
      </c>
      <c r="G791">
        <v>7.6896702540483655E-2</v>
      </c>
      <c r="H791">
        <v>9647.968377999985</v>
      </c>
      <c r="I791">
        <v>63</v>
      </c>
      <c r="J791">
        <v>8020</v>
      </c>
      <c r="K791">
        <v>1</v>
      </c>
      <c r="L791">
        <v>2</v>
      </c>
      <c r="M791">
        <v>2</v>
      </c>
      <c r="N791">
        <v>1</v>
      </c>
    </row>
    <row r="792" spans="1:14">
      <c r="A792">
        <v>55</v>
      </c>
      <c r="B792">
        <v>1</v>
      </c>
      <c r="C792">
        <v>640</v>
      </c>
      <c r="D792">
        <v>0.23264774427347623</v>
      </c>
      <c r="E792">
        <v>9</v>
      </c>
      <c r="F792">
        <v>0</v>
      </c>
      <c r="G792">
        <v>0.10625924535381723</v>
      </c>
      <c r="H792">
        <v>8596.6876929999817</v>
      </c>
      <c r="I792">
        <v>65</v>
      </c>
      <c r="J792">
        <v>8020</v>
      </c>
      <c r="K792">
        <v>1</v>
      </c>
      <c r="L792">
        <v>4</v>
      </c>
      <c r="M792">
        <v>3</v>
      </c>
      <c r="N792">
        <v>1</v>
      </c>
    </row>
    <row r="793" spans="1:14">
      <c r="A793">
        <v>55</v>
      </c>
      <c r="B793">
        <v>2</v>
      </c>
      <c r="C793">
        <v>465</v>
      </c>
      <c r="D793">
        <v>0.21236227066419056</v>
      </c>
      <c r="E793">
        <v>6</v>
      </c>
      <c r="F793">
        <v>0</v>
      </c>
      <c r="G793">
        <v>7.6761294104202182E-2</v>
      </c>
      <c r="H793">
        <v>9417.8687849999933</v>
      </c>
      <c r="I793">
        <v>64</v>
      </c>
      <c r="J793">
        <v>8020</v>
      </c>
      <c r="K793">
        <v>1</v>
      </c>
      <c r="L793">
        <v>2</v>
      </c>
      <c r="M793">
        <v>2</v>
      </c>
      <c r="N793">
        <v>1</v>
      </c>
    </row>
    <row r="794" spans="1:14">
      <c r="A794">
        <v>56</v>
      </c>
      <c r="B794">
        <v>1</v>
      </c>
      <c r="C794">
        <v>649</v>
      </c>
      <c r="D794">
        <v>0.23671293919129663</v>
      </c>
      <c r="E794">
        <v>8</v>
      </c>
      <c r="F794">
        <v>0</v>
      </c>
      <c r="G794">
        <v>9.6165631225756207E-2</v>
      </c>
      <c r="H794">
        <v>8449.0522859999837</v>
      </c>
      <c r="I794">
        <v>67</v>
      </c>
      <c r="J794">
        <v>8020</v>
      </c>
      <c r="K794">
        <v>2</v>
      </c>
      <c r="L794">
        <v>2</v>
      </c>
      <c r="M794">
        <v>2</v>
      </c>
      <c r="N794">
        <v>2</v>
      </c>
    </row>
    <row r="795" spans="1:14">
      <c r="A795">
        <v>56</v>
      </c>
      <c r="B795">
        <v>2</v>
      </c>
      <c r="C795">
        <v>485</v>
      </c>
      <c r="D795">
        <v>0.20939637341567077</v>
      </c>
      <c r="E795">
        <v>6</v>
      </c>
      <c r="F795">
        <v>0</v>
      </c>
      <c r="G795">
        <v>7.6840059232935604E-2</v>
      </c>
      <c r="H795">
        <v>9551.2637939999986</v>
      </c>
      <c r="I795">
        <v>61</v>
      </c>
      <c r="J795">
        <v>8020</v>
      </c>
      <c r="K795">
        <v>1</v>
      </c>
      <c r="L795">
        <v>2</v>
      </c>
      <c r="M795">
        <v>2</v>
      </c>
      <c r="N795">
        <v>1</v>
      </c>
    </row>
    <row r="796" spans="1:14">
      <c r="A796">
        <v>57</v>
      </c>
      <c r="B796">
        <v>1</v>
      </c>
      <c r="C796">
        <v>565</v>
      </c>
      <c r="D796">
        <v>0.22886479408194438</v>
      </c>
      <c r="E796">
        <v>8</v>
      </c>
      <c r="F796">
        <v>0</v>
      </c>
      <c r="G796">
        <v>9.6348340317274794E-2</v>
      </c>
      <c r="H796">
        <v>8738.7839970000186</v>
      </c>
      <c r="I796">
        <v>54</v>
      </c>
      <c r="J796">
        <v>8020</v>
      </c>
      <c r="K796">
        <v>1</v>
      </c>
      <c r="L796">
        <v>3</v>
      </c>
      <c r="M796">
        <v>2</v>
      </c>
      <c r="N796">
        <v>2</v>
      </c>
    </row>
    <row r="797" spans="1:14">
      <c r="A797">
        <v>57</v>
      </c>
      <c r="B797">
        <v>2</v>
      </c>
      <c r="C797">
        <v>419</v>
      </c>
      <c r="D797">
        <v>0.20974601169993243</v>
      </c>
      <c r="E797">
        <v>6</v>
      </c>
      <c r="F797">
        <v>0</v>
      </c>
      <c r="G797">
        <v>7.683069679174491E-2</v>
      </c>
      <c r="H797">
        <v>9535.3422160000209</v>
      </c>
      <c r="I797">
        <v>60</v>
      </c>
      <c r="J797">
        <v>8020</v>
      </c>
      <c r="K797">
        <v>1</v>
      </c>
      <c r="L797">
        <v>2</v>
      </c>
      <c r="M797">
        <v>2</v>
      </c>
      <c r="N797">
        <v>1</v>
      </c>
    </row>
    <row r="798" spans="1:14">
      <c r="A798">
        <v>58</v>
      </c>
      <c r="B798">
        <v>1</v>
      </c>
      <c r="C798">
        <v>400</v>
      </c>
      <c r="D798">
        <v>0.22884008699047406</v>
      </c>
      <c r="E798">
        <v>9</v>
      </c>
      <c r="F798">
        <v>0</v>
      </c>
      <c r="G798">
        <v>0.10634892865446861</v>
      </c>
      <c r="H798">
        <v>8739.7274940000098</v>
      </c>
      <c r="I798">
        <v>60</v>
      </c>
      <c r="J798">
        <v>8020</v>
      </c>
      <c r="K798">
        <v>1</v>
      </c>
      <c r="L798">
        <v>4</v>
      </c>
      <c r="M798">
        <v>3</v>
      </c>
      <c r="N798">
        <v>1</v>
      </c>
    </row>
    <row r="799" spans="1:14">
      <c r="A799">
        <v>58</v>
      </c>
      <c r="B799">
        <v>2</v>
      </c>
      <c r="C799">
        <v>422</v>
      </c>
      <c r="D799">
        <v>0.20973055507977548</v>
      </c>
      <c r="E799">
        <v>6</v>
      </c>
      <c r="F799">
        <v>0</v>
      </c>
      <c r="G799">
        <v>7.6831110241749462E-2</v>
      </c>
      <c r="H799">
        <v>9536.0449470000094</v>
      </c>
      <c r="I799">
        <v>59</v>
      </c>
      <c r="J799">
        <v>8020</v>
      </c>
      <c r="K799">
        <v>1</v>
      </c>
      <c r="L799">
        <v>2</v>
      </c>
      <c r="M799">
        <v>2</v>
      </c>
      <c r="N799">
        <v>1</v>
      </c>
    </row>
    <row r="800" spans="1:14">
      <c r="A800">
        <v>59</v>
      </c>
      <c r="B800">
        <v>1</v>
      </c>
      <c r="C800">
        <v>900</v>
      </c>
      <c r="D800">
        <v>0.23096640031812321</v>
      </c>
      <c r="E800">
        <v>8</v>
      </c>
      <c r="F800">
        <v>0</v>
      </c>
      <c r="G800">
        <v>9.6298603626600712E-2</v>
      </c>
      <c r="H800">
        <v>8659.2681759999978</v>
      </c>
      <c r="I800">
        <v>65</v>
      </c>
      <c r="J800">
        <v>8020</v>
      </c>
      <c r="K800">
        <v>2</v>
      </c>
      <c r="L800">
        <v>2</v>
      </c>
      <c r="M800">
        <v>3</v>
      </c>
      <c r="N800">
        <v>1</v>
      </c>
    </row>
    <row r="801" spans="1:14">
      <c r="A801">
        <v>59</v>
      </c>
      <c r="B801">
        <v>2</v>
      </c>
      <c r="C801">
        <v>576</v>
      </c>
      <c r="D801">
        <v>0.21122829244133617</v>
      </c>
      <c r="E801">
        <v>6</v>
      </c>
      <c r="F801">
        <v>0</v>
      </c>
      <c r="G801">
        <v>7.6791234901851052E-2</v>
      </c>
      <c r="H801">
        <v>9468.4285749999817</v>
      </c>
      <c r="I801">
        <v>59</v>
      </c>
      <c r="J801">
        <v>8020</v>
      </c>
      <c r="K801">
        <v>1</v>
      </c>
      <c r="L801">
        <v>2</v>
      </c>
      <c r="M801">
        <v>2</v>
      </c>
      <c r="N801">
        <v>1</v>
      </c>
    </row>
    <row r="802" spans="1:14">
      <c r="A802">
        <v>60</v>
      </c>
      <c r="B802">
        <v>1</v>
      </c>
      <c r="C802">
        <v>413</v>
      </c>
      <c r="D802">
        <v>0.23149553092917716</v>
      </c>
      <c r="E802">
        <v>10</v>
      </c>
      <c r="F802">
        <v>0</v>
      </c>
      <c r="G802">
        <v>0.11628617621727062</v>
      </c>
      <c r="H802">
        <v>8639.475639000013</v>
      </c>
      <c r="I802">
        <v>60</v>
      </c>
      <c r="J802">
        <v>8020</v>
      </c>
      <c r="K802">
        <v>1</v>
      </c>
      <c r="L802">
        <v>4</v>
      </c>
      <c r="M802">
        <v>4</v>
      </c>
      <c r="N802">
        <v>1</v>
      </c>
    </row>
    <row r="803" spans="1:14">
      <c r="A803">
        <v>60</v>
      </c>
      <c r="B803">
        <v>2</v>
      </c>
      <c r="C803">
        <v>504</v>
      </c>
      <c r="D803">
        <v>0.20748587250272651</v>
      </c>
      <c r="E803">
        <v>6</v>
      </c>
      <c r="F803">
        <v>0</v>
      </c>
      <c r="G803">
        <v>7.6891588367924299E-2</v>
      </c>
      <c r="H803">
        <v>9639.2104960000033</v>
      </c>
      <c r="I803">
        <v>60</v>
      </c>
      <c r="J803">
        <v>8020</v>
      </c>
      <c r="K803">
        <v>1</v>
      </c>
      <c r="L803">
        <v>2</v>
      </c>
      <c r="M803">
        <v>2</v>
      </c>
      <c r="N803">
        <v>1</v>
      </c>
    </row>
    <row r="804" spans="1:14">
      <c r="A804">
        <v>61</v>
      </c>
      <c r="B804">
        <v>1</v>
      </c>
      <c r="C804">
        <v>709</v>
      </c>
      <c r="D804">
        <v>0.22815350134214302</v>
      </c>
      <c r="E804">
        <v>23</v>
      </c>
      <c r="F804">
        <v>0</v>
      </c>
      <c r="G804">
        <v>0.24636531192086486</v>
      </c>
      <c r="H804">
        <v>8766.0280829999829</v>
      </c>
      <c r="I804">
        <v>62</v>
      </c>
      <c r="J804">
        <v>8020</v>
      </c>
      <c r="K804">
        <v>3</v>
      </c>
      <c r="L804">
        <v>5</v>
      </c>
      <c r="M804">
        <v>1</v>
      </c>
      <c r="N804">
        <v>14</v>
      </c>
    </row>
    <row r="805" spans="1:14">
      <c r="A805">
        <v>61</v>
      </c>
      <c r="B805">
        <v>2</v>
      </c>
      <c r="C805">
        <v>274</v>
      </c>
      <c r="D805">
        <v>0.17546531163902621</v>
      </c>
      <c r="E805">
        <v>21</v>
      </c>
      <c r="F805">
        <v>0</v>
      </c>
      <c r="G805">
        <v>0.22786225325689999</v>
      </c>
      <c r="H805">
        <v>11398.264313999993</v>
      </c>
      <c r="I805">
        <v>56</v>
      </c>
      <c r="J805">
        <v>8020</v>
      </c>
      <c r="K805">
        <v>1</v>
      </c>
      <c r="L805">
        <v>1</v>
      </c>
      <c r="M805">
        <v>1</v>
      </c>
      <c r="N805">
        <v>18</v>
      </c>
    </row>
    <row r="806" spans="1:14">
      <c r="A806">
        <v>62</v>
      </c>
      <c r="B806">
        <v>1</v>
      </c>
      <c r="C806">
        <v>464</v>
      </c>
      <c r="D806">
        <v>0.20892192511214072</v>
      </c>
      <c r="E806">
        <v>13</v>
      </c>
      <c r="F806">
        <v>0</v>
      </c>
      <c r="G806">
        <v>0.14685279716057431</v>
      </c>
      <c r="H806">
        <v>9572.9541019999797</v>
      </c>
      <c r="I806">
        <v>57</v>
      </c>
      <c r="J806">
        <v>8020</v>
      </c>
      <c r="K806">
        <v>1</v>
      </c>
      <c r="L806">
        <v>4</v>
      </c>
      <c r="M806">
        <v>3</v>
      </c>
      <c r="N806">
        <v>5</v>
      </c>
    </row>
    <row r="807" spans="1:14">
      <c r="A807">
        <v>62</v>
      </c>
      <c r="B807">
        <v>2</v>
      </c>
      <c r="C807">
        <v>321</v>
      </c>
      <c r="D807">
        <v>0.16698968975522188</v>
      </c>
      <c r="E807">
        <v>7</v>
      </c>
      <c r="F807">
        <v>0</v>
      </c>
      <c r="G807">
        <v>8.8159481635807502E-2</v>
      </c>
      <c r="H807">
        <v>11976.787326999982</v>
      </c>
      <c r="I807">
        <v>58</v>
      </c>
      <c r="J807">
        <v>8020</v>
      </c>
      <c r="K807">
        <v>1</v>
      </c>
      <c r="L807">
        <v>1</v>
      </c>
      <c r="M807">
        <v>2</v>
      </c>
      <c r="N807">
        <v>3</v>
      </c>
    </row>
    <row r="808" spans="1:14">
      <c r="A808">
        <v>63</v>
      </c>
      <c r="B808">
        <v>1</v>
      </c>
      <c r="C808">
        <v>608</v>
      </c>
      <c r="D808">
        <v>0.20844880991361689</v>
      </c>
      <c r="E808">
        <v>15</v>
      </c>
      <c r="F808">
        <v>0</v>
      </c>
      <c r="G808">
        <v>0.16686553776219917</v>
      </c>
      <c r="H808">
        <v>9594.6817869999759</v>
      </c>
      <c r="I808">
        <v>62</v>
      </c>
      <c r="J808">
        <v>8020</v>
      </c>
      <c r="K808">
        <v>2</v>
      </c>
      <c r="L808">
        <v>5</v>
      </c>
      <c r="M808">
        <v>1</v>
      </c>
      <c r="N808">
        <v>7</v>
      </c>
    </row>
    <row r="809" spans="1:14">
      <c r="A809">
        <v>63</v>
      </c>
      <c r="B809">
        <v>2</v>
      </c>
      <c r="C809">
        <v>384</v>
      </c>
      <c r="D809">
        <v>0.16891731039527078</v>
      </c>
      <c r="E809">
        <v>8</v>
      </c>
      <c r="F809">
        <v>0</v>
      </c>
      <c r="G809">
        <v>9.8090140814083571E-2</v>
      </c>
      <c r="H809">
        <v>11840.112746999994</v>
      </c>
      <c r="I809">
        <v>59</v>
      </c>
      <c r="J809">
        <v>8020</v>
      </c>
      <c r="K809">
        <v>2</v>
      </c>
      <c r="L809">
        <v>1</v>
      </c>
      <c r="M809">
        <v>1</v>
      </c>
      <c r="N809">
        <v>4</v>
      </c>
    </row>
    <row r="810" spans="1:14">
      <c r="A810">
        <v>64</v>
      </c>
      <c r="B810">
        <v>1</v>
      </c>
      <c r="C810">
        <v>617</v>
      </c>
      <c r="D810">
        <v>0.23022646211787282</v>
      </c>
      <c r="E810">
        <v>15</v>
      </c>
      <c r="F810">
        <v>0</v>
      </c>
      <c r="G810">
        <v>0.16631604596326791</v>
      </c>
      <c r="H810">
        <v>8687.0987010000063</v>
      </c>
      <c r="I810">
        <v>62</v>
      </c>
      <c r="J810">
        <v>8020</v>
      </c>
      <c r="K810">
        <v>3</v>
      </c>
      <c r="L810">
        <v>3</v>
      </c>
      <c r="M810">
        <v>3</v>
      </c>
      <c r="N810">
        <v>6</v>
      </c>
    </row>
    <row r="811" spans="1:14">
      <c r="A811">
        <v>64</v>
      </c>
      <c r="B811">
        <v>2</v>
      </c>
      <c r="C811">
        <v>522</v>
      </c>
      <c r="D811">
        <v>0.18373662978792699</v>
      </c>
      <c r="E811">
        <v>8</v>
      </c>
      <c r="F811">
        <v>0</v>
      </c>
      <c r="G811">
        <v>9.7590090936601856E-2</v>
      </c>
      <c r="H811">
        <v>10885.145777999987</v>
      </c>
      <c r="I811">
        <v>57</v>
      </c>
      <c r="J811">
        <v>8020</v>
      </c>
      <c r="K811">
        <v>1</v>
      </c>
      <c r="L811">
        <v>2</v>
      </c>
      <c r="M811">
        <v>2</v>
      </c>
      <c r="N811">
        <v>3</v>
      </c>
    </row>
    <row r="812" spans="1:14">
      <c r="A812">
        <v>65</v>
      </c>
      <c r="B812">
        <v>1</v>
      </c>
      <c r="C812">
        <v>646</v>
      </c>
      <c r="D812">
        <v>0.213405132972459</v>
      </c>
      <c r="E812">
        <v>19</v>
      </c>
      <c r="F812">
        <v>0</v>
      </c>
      <c r="G812">
        <v>0.20673394663242464</v>
      </c>
      <c r="H812">
        <v>9371.8458039999914</v>
      </c>
      <c r="I812">
        <v>60</v>
      </c>
      <c r="J812">
        <v>8020</v>
      </c>
      <c r="K812">
        <v>4</v>
      </c>
      <c r="L812">
        <v>1</v>
      </c>
      <c r="M812">
        <v>7</v>
      </c>
      <c r="N812">
        <v>7</v>
      </c>
    </row>
    <row r="813" spans="1:14">
      <c r="A813">
        <v>65</v>
      </c>
      <c r="B813">
        <v>2</v>
      </c>
      <c r="C813">
        <v>405</v>
      </c>
      <c r="D813">
        <v>0.16770623795927536</v>
      </c>
      <c r="E813">
        <v>9</v>
      </c>
      <c r="F813">
        <v>0</v>
      </c>
      <c r="G813">
        <v>0.10813358174424587</v>
      </c>
      <c r="H813">
        <v>11925.614839000003</v>
      </c>
      <c r="I813">
        <v>60</v>
      </c>
      <c r="J813">
        <v>8020</v>
      </c>
      <c r="K813">
        <v>2</v>
      </c>
      <c r="L813">
        <v>1</v>
      </c>
      <c r="M813">
        <v>1</v>
      </c>
      <c r="N813">
        <v>5</v>
      </c>
    </row>
    <row r="814" spans="1:14">
      <c r="A814">
        <v>66</v>
      </c>
      <c r="B814">
        <v>1</v>
      </c>
      <c r="C814">
        <v>651</v>
      </c>
      <c r="D814">
        <v>0.22809750256985317</v>
      </c>
      <c r="E814">
        <v>27</v>
      </c>
      <c r="F814">
        <v>0</v>
      </c>
      <c r="G814">
        <v>0.28636665105928794</v>
      </c>
      <c r="H814">
        <v>8768.1801750000086</v>
      </c>
      <c r="I814">
        <v>63</v>
      </c>
      <c r="J814">
        <v>8020</v>
      </c>
      <c r="K814">
        <v>3</v>
      </c>
      <c r="L814">
        <v>7</v>
      </c>
      <c r="M814">
        <v>1</v>
      </c>
      <c r="N814">
        <v>16</v>
      </c>
    </row>
    <row r="815" spans="1:14">
      <c r="A815">
        <v>66</v>
      </c>
      <c r="B815">
        <v>2</v>
      </c>
      <c r="C815">
        <v>516</v>
      </c>
      <c r="D815">
        <v>0.17717868895753286</v>
      </c>
      <c r="E815">
        <v>10</v>
      </c>
      <c r="F815">
        <v>0</v>
      </c>
      <c r="G815">
        <v>0.11780448866147161</v>
      </c>
      <c r="H815">
        <v>11288.039277000016</v>
      </c>
      <c r="I815">
        <v>61</v>
      </c>
      <c r="J815">
        <v>8020</v>
      </c>
      <c r="K815">
        <v>3</v>
      </c>
      <c r="L815">
        <v>1</v>
      </c>
      <c r="M815">
        <v>1</v>
      </c>
      <c r="N815">
        <v>5</v>
      </c>
    </row>
    <row r="816" spans="1:14">
      <c r="A816">
        <v>67</v>
      </c>
      <c r="B816">
        <v>1</v>
      </c>
      <c r="C816">
        <v>567</v>
      </c>
      <c r="D816">
        <v>0.21144770083745459</v>
      </c>
      <c r="E816">
        <v>13</v>
      </c>
      <c r="F816">
        <v>0</v>
      </c>
      <c r="G816">
        <v>0.14678542509179832</v>
      </c>
      <c r="H816">
        <v>9458.6036739999963</v>
      </c>
      <c r="I816">
        <v>62</v>
      </c>
      <c r="J816">
        <v>8020</v>
      </c>
      <c r="K816">
        <v>2</v>
      </c>
      <c r="L816">
        <v>3</v>
      </c>
      <c r="M816">
        <v>3</v>
      </c>
      <c r="N816">
        <v>5</v>
      </c>
    </row>
    <row r="817" spans="1:14">
      <c r="A817">
        <v>67</v>
      </c>
      <c r="B817">
        <v>2</v>
      </c>
      <c r="C817">
        <v>423</v>
      </c>
      <c r="D817">
        <v>0.16696825289257197</v>
      </c>
      <c r="E817">
        <v>8</v>
      </c>
      <c r="F817">
        <v>0</v>
      </c>
      <c r="G817">
        <v>9.816025876089611E-2</v>
      </c>
      <c r="H817">
        <v>11978.325012999974</v>
      </c>
      <c r="I817">
        <v>61</v>
      </c>
      <c r="J817">
        <v>8020</v>
      </c>
      <c r="K817">
        <v>2</v>
      </c>
      <c r="L817">
        <v>1</v>
      </c>
      <c r="M817">
        <v>1</v>
      </c>
      <c r="N817">
        <v>4</v>
      </c>
    </row>
    <row r="818" spans="1:14">
      <c r="A818">
        <v>68</v>
      </c>
      <c r="B818">
        <v>1</v>
      </c>
      <c r="C818">
        <v>490</v>
      </c>
      <c r="D818">
        <v>0.2222582965959122</v>
      </c>
      <c r="E818">
        <v>34</v>
      </c>
      <c r="F818">
        <v>0</v>
      </c>
      <c r="G818">
        <v>0.35650874297896229</v>
      </c>
      <c r="H818">
        <v>8998.5392250000004</v>
      </c>
      <c r="I818">
        <v>58</v>
      </c>
      <c r="J818">
        <v>8020</v>
      </c>
      <c r="K818">
        <v>1</v>
      </c>
      <c r="L818">
        <v>11</v>
      </c>
      <c r="M818">
        <v>1</v>
      </c>
      <c r="N818">
        <v>21</v>
      </c>
    </row>
    <row r="819" spans="1:14">
      <c r="A819">
        <v>68</v>
      </c>
      <c r="B819">
        <v>2</v>
      </c>
      <c r="C819">
        <v>461</v>
      </c>
      <c r="D819">
        <v>0.17645989150136068</v>
      </c>
      <c r="E819">
        <v>8</v>
      </c>
      <c r="F819">
        <v>0</v>
      </c>
      <c r="G819">
        <v>9.7828631037863628E-2</v>
      </c>
      <c r="H819">
        <v>11334.020343000029</v>
      </c>
      <c r="I819">
        <v>60</v>
      </c>
      <c r="J819">
        <v>8020</v>
      </c>
      <c r="K819">
        <v>1</v>
      </c>
      <c r="L819">
        <v>3</v>
      </c>
      <c r="M819">
        <v>1</v>
      </c>
      <c r="N819">
        <v>3</v>
      </c>
    </row>
    <row r="820" spans="1:14">
      <c r="A820">
        <v>69</v>
      </c>
      <c r="B820">
        <v>1</v>
      </c>
      <c r="C820">
        <v>653</v>
      </c>
      <c r="D820">
        <v>0.22321812272419897</v>
      </c>
      <c r="E820">
        <v>14</v>
      </c>
      <c r="F820">
        <v>0</v>
      </c>
      <c r="G820">
        <v>0.15648504674153238</v>
      </c>
      <c r="H820">
        <v>8959.8459820000135</v>
      </c>
      <c r="I820">
        <v>62</v>
      </c>
      <c r="J820">
        <v>8020</v>
      </c>
      <c r="K820">
        <v>3</v>
      </c>
      <c r="L820">
        <v>2</v>
      </c>
      <c r="M820">
        <v>4</v>
      </c>
      <c r="N820">
        <v>5</v>
      </c>
    </row>
    <row r="821" spans="1:14">
      <c r="A821">
        <v>69</v>
      </c>
      <c r="B821">
        <v>2</v>
      </c>
      <c r="C821">
        <v>287</v>
      </c>
      <c r="D821">
        <v>0.17322137650179212</v>
      </c>
      <c r="E821">
        <v>8</v>
      </c>
      <c r="F821">
        <v>0</v>
      </c>
      <c r="G821">
        <v>9.7939052665332357E-2</v>
      </c>
      <c r="H821">
        <v>11545.919103000018</v>
      </c>
      <c r="I821">
        <v>60</v>
      </c>
      <c r="J821">
        <v>8020</v>
      </c>
      <c r="K821">
        <v>2</v>
      </c>
      <c r="L821">
        <v>1</v>
      </c>
      <c r="M821">
        <v>1</v>
      </c>
      <c r="N821">
        <v>4</v>
      </c>
    </row>
    <row r="822" spans="1:14">
      <c r="A822">
        <v>70</v>
      </c>
      <c r="B822">
        <v>1</v>
      </c>
      <c r="C822">
        <v>626</v>
      </c>
      <c r="D822">
        <v>0.2327948247672097</v>
      </c>
      <c r="E822">
        <v>35</v>
      </c>
      <c r="F822">
        <v>0</v>
      </c>
      <c r="G822">
        <v>0.36625582041850679</v>
      </c>
      <c r="H822">
        <v>8591.2562790000211</v>
      </c>
      <c r="I822">
        <v>63</v>
      </c>
      <c r="J822">
        <v>8020</v>
      </c>
      <c r="K822">
        <v>4</v>
      </c>
      <c r="L822">
        <v>8</v>
      </c>
      <c r="M822">
        <v>1</v>
      </c>
      <c r="N822">
        <v>22</v>
      </c>
    </row>
    <row r="823" spans="1:14">
      <c r="A823">
        <v>70</v>
      </c>
      <c r="B823">
        <v>2</v>
      </c>
      <c r="C823">
        <v>400</v>
      </c>
      <c r="D823">
        <v>0.18531982200918781</v>
      </c>
      <c r="E823">
        <v>9</v>
      </c>
      <c r="F823">
        <v>0</v>
      </c>
      <c r="G823">
        <v>0.10753985673991842</v>
      </c>
      <c r="H823">
        <v>10792.153684999997</v>
      </c>
      <c r="I823">
        <v>61</v>
      </c>
      <c r="J823">
        <v>8020</v>
      </c>
      <c r="K823">
        <v>2</v>
      </c>
      <c r="L823">
        <v>2</v>
      </c>
      <c r="M823">
        <v>1</v>
      </c>
      <c r="N823">
        <v>4</v>
      </c>
    </row>
    <row r="824" spans="1:14">
      <c r="A824">
        <v>71</v>
      </c>
      <c r="B824">
        <v>1</v>
      </c>
      <c r="C824">
        <v>269</v>
      </c>
      <c r="D824">
        <v>0.22284661578357537</v>
      </c>
      <c r="E824">
        <v>7</v>
      </c>
      <c r="F824">
        <v>0</v>
      </c>
      <c r="G824">
        <v>8.6494202380019841E-2</v>
      </c>
      <c r="H824">
        <v>8974.7829149999925</v>
      </c>
      <c r="I824">
        <v>59</v>
      </c>
      <c r="J824">
        <v>8020</v>
      </c>
      <c r="K824">
        <v>1</v>
      </c>
      <c r="L824">
        <v>2</v>
      </c>
      <c r="M824">
        <v>1</v>
      </c>
      <c r="N824">
        <v>3</v>
      </c>
    </row>
    <row r="825" spans="1:14">
      <c r="A825">
        <v>71</v>
      </c>
      <c r="B825">
        <v>2</v>
      </c>
      <c r="C825">
        <v>275</v>
      </c>
      <c r="D825">
        <v>0.19778012759600211</v>
      </c>
      <c r="E825">
        <v>5</v>
      </c>
      <c r="F825">
        <v>0</v>
      </c>
      <c r="G825">
        <v>6.7163497157054775E-2</v>
      </c>
      <c r="H825">
        <v>10112.239405999997</v>
      </c>
      <c r="I825">
        <v>60</v>
      </c>
      <c r="J825">
        <v>8020</v>
      </c>
      <c r="K825">
        <v>1</v>
      </c>
      <c r="L825">
        <v>1</v>
      </c>
      <c r="M825">
        <v>1</v>
      </c>
      <c r="N825">
        <v>2</v>
      </c>
    </row>
    <row r="826" spans="1:14">
      <c r="A826">
        <v>72</v>
      </c>
      <c r="B826">
        <v>1</v>
      </c>
      <c r="C826">
        <v>487</v>
      </c>
      <c r="D826">
        <v>0.23074080446058304</v>
      </c>
      <c r="E826">
        <v>8</v>
      </c>
      <c r="F826">
        <v>0</v>
      </c>
      <c r="G826">
        <v>9.6303913624857532E-2</v>
      </c>
      <c r="H826">
        <v>8667.7343639999999</v>
      </c>
      <c r="I826">
        <v>58</v>
      </c>
      <c r="J826">
        <v>8020</v>
      </c>
      <c r="K826">
        <v>1</v>
      </c>
      <c r="L826">
        <v>3</v>
      </c>
      <c r="M826">
        <v>1</v>
      </c>
      <c r="N826">
        <v>3</v>
      </c>
    </row>
    <row r="827" spans="1:14">
      <c r="A827">
        <v>72</v>
      </c>
      <c r="B827">
        <v>2</v>
      </c>
      <c r="C827">
        <v>269</v>
      </c>
      <c r="D827">
        <v>0.19986146979958963</v>
      </c>
      <c r="E827">
        <v>5</v>
      </c>
      <c r="F827">
        <v>0</v>
      </c>
      <c r="G827">
        <v>6.7103709346009094E-2</v>
      </c>
      <c r="H827">
        <v>10006.931311000028</v>
      </c>
      <c r="I827">
        <v>60</v>
      </c>
      <c r="J827">
        <v>8020</v>
      </c>
      <c r="K827">
        <v>1</v>
      </c>
      <c r="L827">
        <v>1</v>
      </c>
      <c r="M827">
        <v>1</v>
      </c>
      <c r="N827">
        <v>2</v>
      </c>
    </row>
    <row r="828" spans="1:14">
      <c r="A828">
        <v>73</v>
      </c>
      <c r="B828">
        <v>1</v>
      </c>
      <c r="C828">
        <v>528</v>
      </c>
      <c r="D828">
        <v>0.22870910980882733</v>
      </c>
      <c r="E828">
        <v>7</v>
      </c>
      <c r="F828">
        <v>0</v>
      </c>
      <c r="G828">
        <v>8.6352048961544664E-2</v>
      </c>
      <c r="H828">
        <v>8744.7325630000214</v>
      </c>
      <c r="I828">
        <v>59</v>
      </c>
      <c r="J828">
        <v>8020</v>
      </c>
      <c r="K828">
        <v>1</v>
      </c>
      <c r="L828">
        <v>2</v>
      </c>
      <c r="M828">
        <v>2</v>
      </c>
      <c r="N828">
        <v>2</v>
      </c>
    </row>
    <row r="829" spans="1:14">
      <c r="A829">
        <v>73</v>
      </c>
      <c r="B829">
        <v>2</v>
      </c>
      <c r="C829">
        <v>264</v>
      </c>
      <c r="D829">
        <v>0.19728840423107552</v>
      </c>
      <c r="E829">
        <v>5</v>
      </c>
      <c r="F829">
        <v>0</v>
      </c>
      <c r="G829">
        <v>6.7177744810686835E-2</v>
      </c>
      <c r="H829">
        <v>10137.443241000039</v>
      </c>
      <c r="I829">
        <v>61</v>
      </c>
      <c r="J829">
        <v>8020</v>
      </c>
      <c r="K829">
        <v>1</v>
      </c>
      <c r="L829">
        <v>1</v>
      </c>
      <c r="M829">
        <v>1</v>
      </c>
      <c r="N829">
        <v>2</v>
      </c>
    </row>
    <row r="830" spans="1:14">
      <c r="A830">
        <v>74</v>
      </c>
      <c r="B830">
        <v>1</v>
      </c>
      <c r="C830">
        <v>477</v>
      </c>
      <c r="D830">
        <v>0.22326005257985446</v>
      </c>
      <c r="E830">
        <v>7</v>
      </c>
      <c r="F830">
        <v>0</v>
      </c>
      <c r="G830">
        <v>8.6484014673175874E-2</v>
      </c>
      <c r="H830">
        <v>8958.1632579999987</v>
      </c>
      <c r="I830">
        <v>59</v>
      </c>
      <c r="J830">
        <v>8020</v>
      </c>
      <c r="K830">
        <v>1</v>
      </c>
      <c r="L830">
        <v>2</v>
      </c>
      <c r="M830">
        <v>1</v>
      </c>
      <c r="N830">
        <v>3</v>
      </c>
    </row>
    <row r="831" spans="1:14">
      <c r="A831">
        <v>74</v>
      </c>
      <c r="B831">
        <v>2</v>
      </c>
      <c r="C831">
        <v>230</v>
      </c>
      <c r="D831">
        <v>0.19793621698454861</v>
      </c>
      <c r="E831">
        <v>5</v>
      </c>
      <c r="F831">
        <v>0</v>
      </c>
      <c r="G831">
        <v>6.7158984349272088E-2</v>
      </c>
      <c r="H831">
        <v>10104.265053000003</v>
      </c>
      <c r="I831">
        <v>61</v>
      </c>
      <c r="J831">
        <v>8020</v>
      </c>
      <c r="K831">
        <v>1</v>
      </c>
      <c r="L831">
        <v>1</v>
      </c>
      <c r="M831">
        <v>1</v>
      </c>
      <c r="N831">
        <v>2</v>
      </c>
    </row>
    <row r="832" spans="1:14">
      <c r="A832">
        <v>75</v>
      </c>
      <c r="B832">
        <v>1</v>
      </c>
      <c r="C832">
        <v>544</v>
      </c>
      <c r="D832">
        <v>0.23191890525871131</v>
      </c>
      <c r="E832">
        <v>8</v>
      </c>
      <c r="F832">
        <v>0</v>
      </c>
      <c r="G832">
        <v>9.6276259893357544E-2</v>
      </c>
      <c r="H832">
        <v>8623.7040389999693</v>
      </c>
      <c r="I832">
        <v>65</v>
      </c>
      <c r="J832">
        <v>8020</v>
      </c>
      <c r="K832">
        <v>2</v>
      </c>
      <c r="L832">
        <v>2</v>
      </c>
      <c r="M832">
        <v>1</v>
      </c>
      <c r="N832">
        <v>3</v>
      </c>
    </row>
    <row r="833" spans="1:14">
      <c r="A833">
        <v>75</v>
      </c>
      <c r="B833">
        <v>2</v>
      </c>
      <c r="C833">
        <v>222</v>
      </c>
      <c r="D833">
        <v>0.1999626168488064</v>
      </c>
      <c r="E833">
        <v>5</v>
      </c>
      <c r="F833">
        <v>0</v>
      </c>
      <c r="G833">
        <v>6.7100825004369438E-2</v>
      </c>
      <c r="H833">
        <v>10001.869506999994</v>
      </c>
      <c r="I833">
        <v>60</v>
      </c>
      <c r="J833">
        <v>8020</v>
      </c>
      <c r="K833">
        <v>1</v>
      </c>
      <c r="L833">
        <v>1</v>
      </c>
      <c r="M833">
        <v>1</v>
      </c>
      <c r="N833">
        <v>2</v>
      </c>
    </row>
    <row r="834" spans="1:14">
      <c r="A834">
        <v>76</v>
      </c>
      <c r="B834">
        <v>1</v>
      </c>
      <c r="C834">
        <v>559</v>
      </c>
      <c r="D834">
        <v>0.22886862091015803</v>
      </c>
      <c r="E834">
        <v>7</v>
      </c>
      <c r="F834">
        <v>0</v>
      </c>
      <c r="G834">
        <v>8.6348249198567442E-2</v>
      </c>
      <c r="H834">
        <v>8738.6378790000072</v>
      </c>
      <c r="I834">
        <v>59</v>
      </c>
      <c r="J834">
        <v>8020</v>
      </c>
      <c r="K834">
        <v>1</v>
      </c>
      <c r="L834">
        <v>2</v>
      </c>
      <c r="M834">
        <v>2</v>
      </c>
      <c r="N834">
        <v>2</v>
      </c>
    </row>
    <row r="835" spans="1:14">
      <c r="A835">
        <v>76</v>
      </c>
      <c r="B835">
        <v>2</v>
      </c>
      <c r="C835">
        <v>289</v>
      </c>
      <c r="D835">
        <v>0.19806233490572267</v>
      </c>
      <c r="E835">
        <v>5</v>
      </c>
      <c r="F835">
        <v>0</v>
      </c>
      <c r="G835">
        <v>6.7155341531593429E-2</v>
      </c>
      <c r="H835">
        <v>10097.831073999994</v>
      </c>
      <c r="I835">
        <v>61</v>
      </c>
      <c r="J835">
        <v>8020</v>
      </c>
      <c r="K835">
        <v>1</v>
      </c>
      <c r="L835">
        <v>1</v>
      </c>
      <c r="M835">
        <v>1</v>
      </c>
      <c r="N835">
        <v>2</v>
      </c>
    </row>
    <row r="836" spans="1:14">
      <c r="A836">
        <v>77</v>
      </c>
      <c r="B836">
        <v>1</v>
      </c>
      <c r="C836">
        <v>524</v>
      </c>
      <c r="D836">
        <v>0.23062115247524351</v>
      </c>
      <c r="E836">
        <v>7</v>
      </c>
      <c r="F836">
        <v>0</v>
      </c>
      <c r="G836">
        <v>8.6306732762559554E-2</v>
      </c>
      <c r="H836">
        <v>8672.2314000000242</v>
      </c>
      <c r="I836">
        <v>60</v>
      </c>
      <c r="J836">
        <v>8020</v>
      </c>
      <c r="K836">
        <v>1</v>
      </c>
      <c r="L836">
        <v>2</v>
      </c>
      <c r="M836">
        <v>2</v>
      </c>
      <c r="N836">
        <v>2</v>
      </c>
    </row>
    <row r="837" spans="1:14">
      <c r="A837">
        <v>77</v>
      </c>
      <c r="B837">
        <v>2</v>
      </c>
      <c r="C837">
        <v>311</v>
      </c>
      <c r="D837">
        <v>0.19900480051499173</v>
      </c>
      <c r="E837">
        <v>5</v>
      </c>
      <c r="F837">
        <v>0</v>
      </c>
      <c r="G837">
        <v>6.7128216707554159E-2</v>
      </c>
      <c r="H837">
        <v>10050.008818000011</v>
      </c>
      <c r="I837">
        <v>60</v>
      </c>
      <c r="J837">
        <v>8020</v>
      </c>
      <c r="K837">
        <v>1</v>
      </c>
      <c r="L837">
        <v>1</v>
      </c>
      <c r="M837">
        <v>1</v>
      </c>
      <c r="N837">
        <v>2</v>
      </c>
    </row>
    <row r="838" spans="1:14">
      <c r="A838">
        <v>78</v>
      </c>
      <c r="B838">
        <v>1</v>
      </c>
      <c r="C838">
        <v>334</v>
      </c>
      <c r="D838">
        <v>0.22411522971313128</v>
      </c>
      <c r="E838">
        <v>7</v>
      </c>
      <c r="F838">
        <v>0</v>
      </c>
      <c r="G838">
        <v>8.6463021423958744E-2</v>
      </c>
      <c r="H838">
        <v>8923.9807689999961</v>
      </c>
      <c r="I838">
        <v>59</v>
      </c>
      <c r="J838">
        <v>8020</v>
      </c>
      <c r="K838">
        <v>1</v>
      </c>
      <c r="L838">
        <v>2</v>
      </c>
      <c r="M838">
        <v>1</v>
      </c>
      <c r="N838">
        <v>3</v>
      </c>
    </row>
    <row r="839" spans="1:14">
      <c r="A839">
        <v>78</v>
      </c>
      <c r="B839">
        <v>2</v>
      </c>
      <c r="C839">
        <v>216</v>
      </c>
      <c r="D839">
        <v>0.19913207996198365</v>
      </c>
      <c r="E839">
        <v>5</v>
      </c>
      <c r="F839">
        <v>0</v>
      </c>
      <c r="G839">
        <v>6.7124566643410682E-2</v>
      </c>
      <c r="H839">
        <v>10043.585144000004</v>
      </c>
      <c r="I839">
        <v>61</v>
      </c>
      <c r="J839">
        <v>8020</v>
      </c>
      <c r="K839">
        <v>1</v>
      </c>
      <c r="L839">
        <v>1</v>
      </c>
      <c r="M839">
        <v>1</v>
      </c>
      <c r="N839">
        <v>2</v>
      </c>
    </row>
    <row r="840" spans="1:14">
      <c r="A840">
        <v>79</v>
      </c>
      <c r="B840">
        <v>1</v>
      </c>
      <c r="C840">
        <v>451</v>
      </c>
      <c r="D840">
        <v>0.22640057996076648</v>
      </c>
      <c r="E840">
        <v>7</v>
      </c>
      <c r="F840">
        <v>0</v>
      </c>
      <c r="G840">
        <v>8.6407439882358203E-2</v>
      </c>
      <c r="H840">
        <v>8833.8996319999933</v>
      </c>
      <c r="I840">
        <v>63</v>
      </c>
      <c r="J840">
        <v>8020</v>
      </c>
      <c r="K840">
        <v>2</v>
      </c>
      <c r="L840">
        <v>1</v>
      </c>
      <c r="M840">
        <v>2</v>
      </c>
      <c r="N840">
        <v>2</v>
      </c>
    </row>
    <row r="841" spans="1:14">
      <c r="A841">
        <v>79</v>
      </c>
      <c r="B841">
        <v>2</v>
      </c>
      <c r="C841">
        <v>301</v>
      </c>
      <c r="D841">
        <v>0.19911811395747844</v>
      </c>
      <c r="E841">
        <v>5</v>
      </c>
      <c r="F841">
        <v>0</v>
      </c>
      <c r="G841">
        <v>6.7124967002405014E-2</v>
      </c>
      <c r="H841">
        <v>10044.289593999965</v>
      </c>
      <c r="I841">
        <v>60</v>
      </c>
      <c r="J841">
        <v>8020</v>
      </c>
      <c r="K841">
        <v>1</v>
      </c>
      <c r="L841">
        <v>1</v>
      </c>
      <c r="M841">
        <v>1</v>
      </c>
      <c r="N841">
        <v>2</v>
      </c>
    </row>
    <row r="842" spans="1:14">
      <c r="A842">
        <v>80</v>
      </c>
      <c r="B842">
        <v>1</v>
      </c>
      <c r="C842">
        <v>596</v>
      </c>
      <c r="D842">
        <v>0.22812999962934624</v>
      </c>
      <c r="E842">
        <v>7</v>
      </c>
      <c r="F842">
        <v>0</v>
      </c>
      <c r="G842">
        <v>8.636587388064583E-2</v>
      </c>
      <c r="H842">
        <v>8766.9311499999822</v>
      </c>
      <c r="I842">
        <v>62</v>
      </c>
      <c r="J842">
        <v>8020</v>
      </c>
      <c r="K842">
        <v>2</v>
      </c>
      <c r="L842">
        <v>1</v>
      </c>
      <c r="M842">
        <v>2</v>
      </c>
      <c r="N842">
        <v>2</v>
      </c>
    </row>
    <row r="843" spans="1:14">
      <c r="A843">
        <v>80</v>
      </c>
      <c r="B843">
        <v>2</v>
      </c>
      <c r="C843">
        <v>242</v>
      </c>
      <c r="D843">
        <v>0.19945357260451421</v>
      </c>
      <c r="E843">
        <v>5</v>
      </c>
      <c r="F843">
        <v>0</v>
      </c>
      <c r="G843">
        <v>6.7115360853871098E-2</v>
      </c>
      <c r="H843">
        <v>10027.396219999993</v>
      </c>
      <c r="I843">
        <v>60</v>
      </c>
      <c r="J843">
        <v>8020</v>
      </c>
      <c r="K843">
        <v>1</v>
      </c>
      <c r="L843">
        <v>1</v>
      </c>
      <c r="M843">
        <v>1</v>
      </c>
      <c r="N843">
        <v>2</v>
      </c>
    </row>
  </sheetData>
  <phoneticPr fontId="50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9"/>
  <dimension ref="A3:AF843"/>
  <sheetViews>
    <sheetView topLeftCell="A142" zoomScale="85" zoomScaleNormal="85" zoomScalePageLayoutView="85" workbookViewId="0">
      <selection activeCell="E164" sqref="E164"/>
    </sheetView>
  </sheetViews>
  <sheetFormatPr defaultColWidth="8.86328125" defaultRowHeight="13.5"/>
  <cols>
    <col min="3" max="3" width="10.3984375" customWidth="1"/>
    <col min="5" max="5" width="11" customWidth="1"/>
    <col min="7" max="7" width="10.3984375" customWidth="1"/>
    <col min="8" max="8" width="10.86328125" customWidth="1"/>
    <col min="18" max="18" width="10.86328125" customWidth="1"/>
  </cols>
  <sheetData>
    <row r="3" spans="1:32" ht="15.75">
      <c r="C3" s="89"/>
      <c r="D3" s="89"/>
      <c r="E3" s="89"/>
      <c r="F3" s="89"/>
      <c r="G3" s="89"/>
      <c r="H3" s="89"/>
      <c r="I3" s="89"/>
      <c r="J3" s="89"/>
      <c r="K3" s="89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</row>
    <row r="4" spans="1:32">
      <c r="A4">
        <v>1</v>
      </c>
      <c r="B4">
        <v>1</v>
      </c>
      <c r="C4">
        <v>4115</v>
      </c>
      <c r="D4">
        <v>0.38640205033026864</v>
      </c>
      <c r="E4">
        <v>68</v>
      </c>
      <c r="F4">
        <v>0</v>
      </c>
      <c r="G4">
        <v>0.69293988993</v>
      </c>
      <c r="H4">
        <v>5175.9559720000034</v>
      </c>
      <c r="I4">
        <v>42</v>
      </c>
      <c r="J4">
        <v>180</v>
      </c>
      <c r="K4">
        <v>16</v>
      </c>
      <c r="L4">
        <v>12</v>
      </c>
      <c r="M4">
        <v>18</v>
      </c>
      <c r="N4">
        <v>22</v>
      </c>
      <c r="T4" s="124"/>
      <c r="U4" s="125"/>
      <c r="V4" s="124"/>
      <c r="W4" s="123"/>
      <c r="X4" s="124"/>
      <c r="Y4" s="124"/>
      <c r="Z4" s="124"/>
      <c r="AA4" s="124"/>
      <c r="AB4" s="123"/>
      <c r="AC4" s="123"/>
      <c r="AD4" s="123"/>
      <c r="AE4" s="123"/>
      <c r="AF4" s="123"/>
    </row>
    <row r="5" spans="1:32">
      <c r="A5">
        <v>1</v>
      </c>
      <c r="B5">
        <v>2</v>
      </c>
      <c r="C5">
        <v>633</v>
      </c>
      <c r="D5">
        <v>0.32276137148688328</v>
      </c>
      <c r="E5">
        <v>28</v>
      </c>
      <c r="F5">
        <v>0</v>
      </c>
      <c r="G5">
        <v>0.29549132096249997</v>
      </c>
      <c r="H5">
        <v>6196.5283849999942</v>
      </c>
      <c r="I5">
        <v>40</v>
      </c>
      <c r="J5">
        <v>180</v>
      </c>
      <c r="K5">
        <v>7</v>
      </c>
      <c r="L5">
        <v>5</v>
      </c>
      <c r="M5">
        <v>8</v>
      </c>
      <c r="N5">
        <v>8</v>
      </c>
      <c r="T5" s="124"/>
      <c r="U5" s="125"/>
      <c r="V5" s="124"/>
      <c r="W5" s="123"/>
      <c r="X5" s="124"/>
      <c r="Y5" s="124"/>
      <c r="Z5" s="124"/>
      <c r="AA5" s="124"/>
      <c r="AB5" s="123"/>
      <c r="AC5" s="123"/>
      <c r="AD5" s="123"/>
      <c r="AE5" s="123"/>
      <c r="AF5" s="123"/>
    </row>
    <row r="6" spans="1:32">
      <c r="A6">
        <v>2</v>
      </c>
      <c r="B6">
        <v>1</v>
      </c>
      <c r="C6">
        <v>6516</v>
      </c>
      <c r="D6">
        <v>0.37062734305417494</v>
      </c>
      <c r="E6">
        <v>40</v>
      </c>
      <c r="F6">
        <v>0</v>
      </c>
      <c r="G6">
        <v>0.41392154753350247</v>
      </c>
      <c r="H6">
        <v>5396.2559360000005</v>
      </c>
      <c r="I6">
        <v>60</v>
      </c>
      <c r="J6">
        <v>180</v>
      </c>
      <c r="K6">
        <v>11</v>
      </c>
      <c r="L6">
        <v>10</v>
      </c>
      <c r="M6">
        <v>11</v>
      </c>
      <c r="N6">
        <v>8</v>
      </c>
      <c r="T6" s="124"/>
      <c r="U6" s="125"/>
      <c r="V6" s="124"/>
      <c r="W6" s="123"/>
      <c r="X6" s="124"/>
      <c r="Y6" s="124"/>
      <c r="Z6" s="124"/>
      <c r="AA6" s="124"/>
      <c r="AB6" s="123"/>
      <c r="AC6" s="123"/>
      <c r="AD6" s="123"/>
      <c r="AE6" s="123"/>
      <c r="AF6" s="123"/>
    </row>
    <row r="7" spans="1:32">
      <c r="A7">
        <v>2</v>
      </c>
      <c r="B7">
        <v>2</v>
      </c>
      <c r="C7">
        <v>1923</v>
      </c>
      <c r="D7">
        <v>0.31363920423812358</v>
      </c>
      <c r="E7">
        <v>21</v>
      </c>
      <c r="F7">
        <v>0</v>
      </c>
      <c r="G7">
        <v>0.22471826276904949</v>
      </c>
      <c r="H7">
        <v>6376.7538400000039</v>
      </c>
      <c r="I7">
        <v>61</v>
      </c>
      <c r="J7">
        <v>180</v>
      </c>
      <c r="K7">
        <v>5</v>
      </c>
      <c r="L7">
        <v>6</v>
      </c>
      <c r="M7">
        <v>4</v>
      </c>
      <c r="N7">
        <v>6</v>
      </c>
      <c r="T7" s="124"/>
      <c r="U7" s="125"/>
      <c r="V7" s="124"/>
      <c r="W7" s="123"/>
      <c r="X7" s="124"/>
      <c r="Y7" s="124"/>
      <c r="Z7" s="124"/>
      <c r="AA7" s="124"/>
      <c r="AB7" s="123"/>
      <c r="AC7" s="123"/>
      <c r="AD7" s="123"/>
      <c r="AE7" s="123"/>
      <c r="AF7" s="123"/>
    </row>
    <row r="8" spans="1:32">
      <c r="A8">
        <v>3</v>
      </c>
      <c r="B8">
        <v>1</v>
      </c>
      <c r="C8">
        <v>5206</v>
      </c>
      <c r="D8">
        <v>0.40877345211625948</v>
      </c>
      <c r="E8">
        <v>67</v>
      </c>
      <c r="F8">
        <v>0</v>
      </c>
      <c r="G8">
        <v>0.68347428634609197</v>
      </c>
      <c r="H8">
        <v>4892.6856420000067</v>
      </c>
      <c r="I8">
        <v>61</v>
      </c>
      <c r="J8">
        <v>180</v>
      </c>
      <c r="K8">
        <v>13</v>
      </c>
      <c r="L8">
        <v>21</v>
      </c>
      <c r="M8">
        <v>22</v>
      </c>
      <c r="N8">
        <v>11</v>
      </c>
      <c r="T8" s="124"/>
      <c r="U8" s="125"/>
      <c r="V8" s="124"/>
      <c r="W8" s="123"/>
      <c r="X8" s="124"/>
      <c r="Y8" s="124"/>
      <c r="Z8" s="124"/>
      <c r="AA8" s="124"/>
      <c r="AB8" s="123"/>
      <c r="AC8" s="123"/>
      <c r="AD8" s="123"/>
      <c r="AE8" s="123"/>
      <c r="AF8" s="123"/>
    </row>
    <row r="9" spans="1:32">
      <c r="A9">
        <v>3</v>
      </c>
      <c r="B9">
        <v>2</v>
      </c>
      <c r="C9">
        <v>1393</v>
      </c>
      <c r="D9">
        <v>0.33436262308372544</v>
      </c>
      <c r="E9">
        <v>24</v>
      </c>
      <c r="F9">
        <v>0</v>
      </c>
      <c r="G9">
        <v>0.25440768126232866</v>
      </c>
      <c r="H9">
        <v>5981.5298180000036</v>
      </c>
      <c r="I9">
        <v>60</v>
      </c>
      <c r="J9">
        <v>180</v>
      </c>
      <c r="K9">
        <v>3</v>
      </c>
      <c r="L9">
        <v>8</v>
      </c>
      <c r="M9">
        <v>8</v>
      </c>
      <c r="N9">
        <v>5</v>
      </c>
      <c r="T9" s="124"/>
      <c r="U9" s="125"/>
      <c r="V9" s="124"/>
      <c r="W9" s="123"/>
      <c r="X9" s="124"/>
      <c r="Y9" s="124"/>
      <c r="Z9" s="124"/>
      <c r="AA9" s="124"/>
      <c r="AB9" s="123"/>
      <c r="AC9" s="123"/>
      <c r="AD9" s="123"/>
      <c r="AE9" s="123"/>
      <c r="AF9" s="123"/>
    </row>
    <row r="10" spans="1:32">
      <c r="A10">
        <v>4</v>
      </c>
      <c r="B10">
        <v>1</v>
      </c>
      <c r="C10">
        <v>5332</v>
      </c>
      <c r="D10">
        <v>0.41669377537471325</v>
      </c>
      <c r="E10">
        <v>91</v>
      </c>
      <c r="F10">
        <v>0</v>
      </c>
      <c r="G10">
        <v>0.92338836865483842</v>
      </c>
      <c r="H10">
        <v>4799.6877280000008</v>
      </c>
      <c r="I10">
        <v>62</v>
      </c>
      <c r="J10">
        <v>180</v>
      </c>
      <c r="K10">
        <v>36</v>
      </c>
      <c r="L10">
        <v>14</v>
      </c>
      <c r="M10">
        <v>26</v>
      </c>
      <c r="N10">
        <v>15</v>
      </c>
      <c r="T10" s="124"/>
      <c r="U10" s="125"/>
      <c r="V10" s="124"/>
      <c r="W10" s="123"/>
      <c r="X10" s="124"/>
      <c r="Y10" s="124"/>
      <c r="Z10" s="124"/>
      <c r="AA10" s="124"/>
      <c r="AB10" s="123"/>
      <c r="AC10" s="123"/>
      <c r="AD10" s="123"/>
      <c r="AE10" s="123"/>
      <c r="AF10" s="123"/>
    </row>
    <row r="11" spans="1:32">
      <c r="A11">
        <v>4</v>
      </c>
      <c r="B11">
        <v>2</v>
      </c>
      <c r="C11">
        <v>2011</v>
      </c>
      <c r="D11">
        <v>0.34659322069341003</v>
      </c>
      <c r="E11">
        <v>35</v>
      </c>
      <c r="F11">
        <v>0</v>
      </c>
      <c r="G11">
        <v>0.3642361748067382</v>
      </c>
      <c r="H11">
        <v>5770.4533169999968</v>
      </c>
      <c r="I11">
        <v>60</v>
      </c>
      <c r="J11">
        <v>180</v>
      </c>
      <c r="K11">
        <v>9</v>
      </c>
      <c r="L11">
        <v>5</v>
      </c>
      <c r="M11">
        <v>16</v>
      </c>
      <c r="N11">
        <v>5</v>
      </c>
      <c r="T11" s="124"/>
      <c r="U11" s="125"/>
      <c r="V11" s="124"/>
      <c r="W11" s="123"/>
      <c r="X11" s="124"/>
      <c r="Y11" s="124"/>
      <c r="Z11" s="124"/>
      <c r="AA11" s="124"/>
      <c r="AB11" s="123"/>
      <c r="AC11" s="123"/>
      <c r="AD11" s="123"/>
      <c r="AE11" s="123"/>
      <c r="AF11" s="123"/>
    </row>
    <row r="12" spans="1:32">
      <c r="A12">
        <v>5</v>
      </c>
      <c r="B12">
        <v>1</v>
      </c>
      <c r="C12">
        <v>5664</v>
      </c>
      <c r="D12">
        <v>0.40028172476245133</v>
      </c>
      <c r="E12">
        <v>67</v>
      </c>
      <c r="F12">
        <v>0</v>
      </c>
      <c r="G12">
        <v>0.68356890325052522</v>
      </c>
      <c r="H12">
        <v>4996.4809190000051</v>
      </c>
      <c r="I12">
        <v>60</v>
      </c>
      <c r="J12">
        <v>180</v>
      </c>
      <c r="K12">
        <v>21</v>
      </c>
      <c r="L12">
        <v>17</v>
      </c>
      <c r="M12">
        <v>14</v>
      </c>
      <c r="N12">
        <v>15</v>
      </c>
      <c r="T12" s="124"/>
      <c r="U12" s="125"/>
      <c r="V12" s="124"/>
      <c r="W12" s="123"/>
      <c r="X12" s="124"/>
      <c r="Y12" s="124"/>
      <c r="Z12" s="124"/>
      <c r="AA12" s="124"/>
      <c r="AB12" s="123"/>
      <c r="AC12" s="123"/>
      <c r="AD12" s="123"/>
      <c r="AE12" s="123"/>
      <c r="AF12" s="123"/>
    </row>
    <row r="13" spans="1:32">
      <c r="A13">
        <v>5</v>
      </c>
      <c r="B13">
        <v>2</v>
      </c>
      <c r="C13">
        <v>1606</v>
      </c>
      <c r="D13">
        <v>0.31465388296828384</v>
      </c>
      <c r="E13">
        <v>21</v>
      </c>
      <c r="F13">
        <v>0</v>
      </c>
      <c r="G13">
        <v>0.22470242484795333</v>
      </c>
      <c r="H13">
        <v>6356.1904310000009</v>
      </c>
      <c r="I13">
        <v>61</v>
      </c>
      <c r="J13">
        <v>180</v>
      </c>
      <c r="K13">
        <v>6</v>
      </c>
      <c r="L13">
        <v>4</v>
      </c>
      <c r="M13">
        <v>7</v>
      </c>
      <c r="N13">
        <v>4</v>
      </c>
      <c r="T13" s="124"/>
      <c r="U13" s="125"/>
      <c r="V13" s="124"/>
      <c r="W13" s="123"/>
      <c r="X13" s="124"/>
      <c r="Y13" s="124"/>
      <c r="Z13" s="124"/>
      <c r="AA13" s="124"/>
      <c r="AB13" s="123"/>
      <c r="AC13" s="123"/>
      <c r="AD13" s="123"/>
      <c r="AE13" s="123"/>
      <c r="AF13" s="123"/>
    </row>
    <row r="14" spans="1:32">
      <c r="A14">
        <v>6</v>
      </c>
      <c r="B14">
        <v>1</v>
      </c>
      <c r="C14">
        <v>5508</v>
      </c>
      <c r="D14">
        <v>0.4260572969338754</v>
      </c>
      <c r="E14">
        <v>61</v>
      </c>
      <c r="F14">
        <v>0</v>
      </c>
      <c r="G14">
        <v>0.62328956189226625</v>
      </c>
      <c r="H14">
        <v>4694.2043109999886</v>
      </c>
      <c r="I14">
        <v>60</v>
      </c>
      <c r="J14">
        <v>180</v>
      </c>
      <c r="K14">
        <v>15</v>
      </c>
      <c r="L14">
        <v>18</v>
      </c>
      <c r="M14">
        <v>16</v>
      </c>
      <c r="N14">
        <v>12</v>
      </c>
      <c r="T14" s="124"/>
      <c r="U14" s="125"/>
      <c r="V14" s="124"/>
      <c r="W14" s="123"/>
      <c r="X14" s="124"/>
      <c r="Y14" s="124"/>
      <c r="Z14" s="124"/>
      <c r="AA14" s="124"/>
      <c r="AB14" s="123"/>
      <c r="AC14" s="123"/>
      <c r="AD14" s="123"/>
      <c r="AE14" s="123"/>
      <c r="AF14" s="123"/>
    </row>
    <row r="15" spans="1:32">
      <c r="A15">
        <v>6</v>
      </c>
      <c r="B15">
        <v>2</v>
      </c>
      <c r="C15">
        <v>3647</v>
      </c>
      <c r="D15">
        <v>0.33342109037559181</v>
      </c>
      <c r="E15">
        <v>21</v>
      </c>
      <c r="F15">
        <v>0</v>
      </c>
      <c r="G15">
        <v>0.22442123024960761</v>
      </c>
      <c r="H15">
        <v>5998.4207890000071</v>
      </c>
      <c r="I15">
        <v>60</v>
      </c>
      <c r="J15">
        <v>180</v>
      </c>
      <c r="K15">
        <v>4</v>
      </c>
      <c r="L15">
        <v>8</v>
      </c>
      <c r="M15">
        <v>5</v>
      </c>
      <c r="N15">
        <v>4</v>
      </c>
      <c r="T15" s="124"/>
      <c r="U15" s="125"/>
      <c r="V15" s="124"/>
      <c r="W15" s="123"/>
      <c r="X15" s="124"/>
      <c r="Y15" s="124"/>
      <c r="Z15" s="124"/>
      <c r="AA15" s="124"/>
      <c r="AB15" s="123"/>
      <c r="AC15" s="123"/>
      <c r="AD15" s="123"/>
      <c r="AE15" s="123"/>
      <c r="AF15" s="123"/>
    </row>
    <row r="16" spans="1:32">
      <c r="A16">
        <v>7</v>
      </c>
      <c r="B16">
        <v>1</v>
      </c>
      <c r="C16">
        <v>5729</v>
      </c>
      <c r="D16">
        <v>0.42567186819612751</v>
      </c>
      <c r="E16">
        <v>163</v>
      </c>
      <c r="F16">
        <v>0</v>
      </c>
      <c r="G16">
        <v>1.6432935717366632</v>
      </c>
      <c r="H16">
        <v>4698.4547239999984</v>
      </c>
      <c r="I16">
        <v>61</v>
      </c>
      <c r="J16">
        <v>180</v>
      </c>
      <c r="K16">
        <v>33</v>
      </c>
      <c r="L16">
        <v>43</v>
      </c>
      <c r="M16">
        <v>56</v>
      </c>
      <c r="N16">
        <v>31</v>
      </c>
      <c r="T16" s="124"/>
      <c r="U16" s="125"/>
      <c r="V16" s="124"/>
      <c r="W16" s="123"/>
      <c r="X16" s="124"/>
      <c r="Y16" s="124"/>
      <c r="Z16" s="124"/>
      <c r="AA16" s="124"/>
      <c r="AB16" s="123"/>
      <c r="AC16" s="123"/>
      <c r="AD16" s="123"/>
      <c r="AE16" s="123"/>
      <c r="AF16" s="123"/>
    </row>
    <row r="17" spans="1:32">
      <c r="A17">
        <v>7</v>
      </c>
      <c r="B17">
        <v>2</v>
      </c>
      <c r="C17">
        <v>894</v>
      </c>
      <c r="D17">
        <v>0.33482124815658637</v>
      </c>
      <c r="E17">
        <v>33</v>
      </c>
      <c r="F17">
        <v>0</v>
      </c>
      <c r="G17">
        <v>0.34440109989669571</v>
      </c>
      <c r="H17">
        <v>5973.3365519999998</v>
      </c>
      <c r="I17">
        <v>61</v>
      </c>
      <c r="J17">
        <v>180</v>
      </c>
      <c r="K17">
        <v>10</v>
      </c>
      <c r="L17">
        <v>6</v>
      </c>
      <c r="M17">
        <v>7</v>
      </c>
      <c r="N17">
        <v>10</v>
      </c>
      <c r="T17" s="124"/>
      <c r="U17" s="125"/>
      <c r="V17" s="124"/>
      <c r="W17" s="123"/>
      <c r="X17" s="124"/>
      <c r="Y17" s="124"/>
      <c r="Z17" s="124"/>
      <c r="AA17" s="124"/>
      <c r="AB17" s="123"/>
      <c r="AC17" s="123"/>
      <c r="AD17" s="123"/>
      <c r="AE17" s="123"/>
      <c r="AF17" s="123"/>
    </row>
    <row r="18" spans="1:32">
      <c r="A18">
        <v>8</v>
      </c>
      <c r="B18">
        <v>1</v>
      </c>
      <c r="C18">
        <v>6577</v>
      </c>
      <c r="D18">
        <v>0.39313305289335093</v>
      </c>
      <c r="E18">
        <v>39</v>
      </c>
      <c r="F18">
        <v>0</v>
      </c>
      <c r="G18">
        <v>0.40365065467661088</v>
      </c>
      <c r="H18">
        <v>5087.336170999999</v>
      </c>
      <c r="I18">
        <v>59</v>
      </c>
      <c r="J18">
        <v>180</v>
      </c>
      <c r="K18">
        <v>9</v>
      </c>
      <c r="L18">
        <v>10</v>
      </c>
      <c r="M18">
        <v>13</v>
      </c>
      <c r="N18">
        <v>7</v>
      </c>
      <c r="T18" s="124"/>
      <c r="U18" s="125"/>
      <c r="V18" s="124"/>
      <c r="W18" s="123"/>
      <c r="X18" s="124"/>
      <c r="Y18" s="124"/>
      <c r="Z18" s="124"/>
      <c r="AA18" s="124"/>
      <c r="AB18" s="123"/>
      <c r="AC18" s="123"/>
      <c r="AD18" s="123"/>
      <c r="AE18" s="123"/>
      <c r="AF18" s="123"/>
    </row>
    <row r="19" spans="1:32">
      <c r="A19">
        <v>8</v>
      </c>
      <c r="B19">
        <v>2</v>
      </c>
      <c r="C19">
        <v>6122</v>
      </c>
      <c r="D19">
        <v>0.329577538128554</v>
      </c>
      <c r="E19">
        <v>20</v>
      </c>
      <c r="F19">
        <v>0</v>
      </c>
      <c r="G19">
        <v>0.21447707413023431</v>
      </c>
      <c r="H19">
        <v>6068.3747180000055</v>
      </c>
      <c r="I19">
        <v>62</v>
      </c>
      <c r="J19">
        <v>180</v>
      </c>
      <c r="K19">
        <v>4</v>
      </c>
      <c r="L19">
        <v>5</v>
      </c>
      <c r="M19">
        <v>6</v>
      </c>
      <c r="N19">
        <v>5</v>
      </c>
      <c r="T19" s="124"/>
      <c r="U19" s="125"/>
      <c r="V19" s="124"/>
      <c r="W19" s="123"/>
      <c r="X19" s="124"/>
      <c r="Y19" s="124"/>
      <c r="Z19" s="124"/>
      <c r="AA19" s="124"/>
      <c r="AB19" s="123"/>
      <c r="AC19" s="123"/>
      <c r="AD19" s="123"/>
      <c r="AE19" s="123"/>
      <c r="AF19" s="123"/>
    </row>
    <row r="20" spans="1:32">
      <c r="A20">
        <v>9</v>
      </c>
      <c r="B20">
        <v>1</v>
      </c>
      <c r="C20">
        <v>6177</v>
      </c>
      <c r="D20">
        <v>0.40314209383327093</v>
      </c>
      <c r="E20">
        <v>67</v>
      </c>
      <c r="F20">
        <v>0</v>
      </c>
      <c r="G20">
        <v>0.68353673574407214</v>
      </c>
      <c r="H20">
        <v>4961.0299460000024</v>
      </c>
      <c r="I20">
        <v>61</v>
      </c>
      <c r="J20">
        <v>180</v>
      </c>
      <c r="K20">
        <v>17</v>
      </c>
      <c r="L20">
        <v>20</v>
      </c>
      <c r="M20">
        <v>15</v>
      </c>
      <c r="N20">
        <v>15</v>
      </c>
      <c r="T20" s="124"/>
      <c r="U20" s="125"/>
      <c r="V20" s="124"/>
      <c r="W20" s="123"/>
      <c r="X20" s="124"/>
      <c r="Y20" s="124"/>
      <c r="Z20" s="124"/>
      <c r="AA20" s="124"/>
      <c r="AB20" s="123"/>
      <c r="AC20" s="123"/>
      <c r="AD20" s="123"/>
      <c r="AE20" s="123"/>
      <c r="AF20" s="123"/>
    </row>
    <row r="21" spans="1:32">
      <c r="A21">
        <v>9</v>
      </c>
      <c r="B21">
        <v>2</v>
      </c>
      <c r="C21">
        <v>5035</v>
      </c>
      <c r="D21">
        <v>0.33362638429919161</v>
      </c>
      <c r="E21">
        <v>26</v>
      </c>
      <c r="F21">
        <v>0</v>
      </c>
      <c r="G21">
        <v>0.27441827165226085</v>
      </c>
      <c r="H21">
        <v>5994.7297160000007</v>
      </c>
      <c r="I21">
        <v>61</v>
      </c>
      <c r="J21">
        <v>180</v>
      </c>
      <c r="K21">
        <v>6</v>
      </c>
      <c r="L21">
        <v>7</v>
      </c>
      <c r="M21">
        <v>8</v>
      </c>
      <c r="N21">
        <v>5</v>
      </c>
      <c r="T21" s="124"/>
      <c r="U21" s="125"/>
      <c r="V21" s="124"/>
      <c r="W21" s="123"/>
      <c r="X21" s="124"/>
      <c r="Y21" s="124"/>
      <c r="Z21" s="124"/>
      <c r="AA21" s="124"/>
      <c r="AB21" s="123"/>
      <c r="AC21" s="123"/>
      <c r="AD21" s="123"/>
      <c r="AE21" s="123"/>
      <c r="AF21" s="123"/>
    </row>
    <row r="22" spans="1:32">
      <c r="A22">
        <v>10</v>
      </c>
      <c r="B22">
        <v>1</v>
      </c>
      <c r="C22">
        <v>2758</v>
      </c>
      <c r="D22">
        <v>0.39424068884962726</v>
      </c>
      <c r="E22">
        <v>77</v>
      </c>
      <c r="F22">
        <v>0</v>
      </c>
      <c r="G22">
        <v>0.78363785865413815</v>
      </c>
      <c r="H22">
        <v>5073.0430840000063</v>
      </c>
      <c r="I22">
        <v>60</v>
      </c>
      <c r="J22">
        <v>180</v>
      </c>
      <c r="K22">
        <v>10</v>
      </c>
      <c r="L22">
        <v>34</v>
      </c>
      <c r="M22">
        <v>12</v>
      </c>
      <c r="N22">
        <v>21</v>
      </c>
      <c r="T22" s="124"/>
      <c r="U22" s="125"/>
      <c r="V22" s="124"/>
      <c r="W22" s="123"/>
      <c r="X22" s="124"/>
      <c r="Y22" s="124"/>
      <c r="Z22" s="124"/>
      <c r="AA22" s="124"/>
      <c r="AB22" s="123"/>
      <c r="AC22" s="123"/>
      <c r="AD22" s="123"/>
      <c r="AE22" s="123"/>
      <c r="AF22" s="123"/>
    </row>
    <row r="23" spans="1:32">
      <c r="A23">
        <v>10</v>
      </c>
      <c r="B23">
        <v>2</v>
      </c>
      <c r="C23">
        <v>2136</v>
      </c>
      <c r="D23">
        <v>0.31539508356942864</v>
      </c>
      <c r="E23">
        <v>22</v>
      </c>
      <c r="F23">
        <v>0</v>
      </c>
      <c r="G23">
        <v>0.23469089857032618</v>
      </c>
      <c r="H23">
        <v>6341.2529370000002</v>
      </c>
      <c r="I23">
        <v>60</v>
      </c>
      <c r="J23">
        <v>180</v>
      </c>
      <c r="K23">
        <v>5</v>
      </c>
      <c r="L23">
        <v>4</v>
      </c>
      <c r="M23">
        <v>7</v>
      </c>
      <c r="N23">
        <v>6</v>
      </c>
      <c r="T23" s="124"/>
      <c r="U23" s="125"/>
      <c r="V23" s="124"/>
      <c r="W23" s="123"/>
      <c r="X23" s="124"/>
      <c r="Y23" s="124"/>
      <c r="Z23" s="124"/>
      <c r="AA23" s="124"/>
      <c r="AB23" s="123"/>
      <c r="AC23" s="123"/>
      <c r="AD23" s="123"/>
      <c r="AE23" s="123"/>
      <c r="AF23" s="123"/>
    </row>
    <row r="24" spans="1:32">
      <c r="A24">
        <v>11</v>
      </c>
      <c r="B24">
        <v>1</v>
      </c>
      <c r="C24">
        <v>8920</v>
      </c>
      <c r="D24">
        <v>0.43855443395402866</v>
      </c>
      <c r="E24">
        <v>18</v>
      </c>
      <c r="F24">
        <v>0</v>
      </c>
      <c r="G24">
        <v>0.19316210945138834</v>
      </c>
      <c r="H24">
        <v>4560.4373029999952</v>
      </c>
      <c r="I24">
        <v>59</v>
      </c>
      <c r="J24">
        <v>180</v>
      </c>
      <c r="K24">
        <v>4</v>
      </c>
      <c r="L24">
        <v>5</v>
      </c>
      <c r="M24">
        <v>5</v>
      </c>
      <c r="N24">
        <v>4</v>
      </c>
      <c r="T24" s="124"/>
      <c r="U24" s="125"/>
      <c r="V24" s="124"/>
      <c r="W24" s="123"/>
      <c r="X24" s="124"/>
      <c r="Y24" s="124"/>
      <c r="Z24" s="124"/>
      <c r="AA24" s="124"/>
      <c r="AB24" s="123"/>
      <c r="AC24" s="123"/>
      <c r="AD24" s="123"/>
      <c r="AE24" s="123"/>
      <c r="AF24" s="123"/>
    </row>
    <row r="25" spans="1:32">
      <c r="A25">
        <v>11</v>
      </c>
      <c r="B25">
        <v>2</v>
      </c>
      <c r="C25">
        <v>2633</v>
      </c>
      <c r="D25">
        <v>0.3558612791120202</v>
      </c>
      <c r="E25">
        <v>9</v>
      </c>
      <c r="F25">
        <v>0</v>
      </c>
      <c r="G25">
        <v>0.10411149701341411</v>
      </c>
      <c r="H25">
        <v>5620.1675129999958</v>
      </c>
      <c r="I25">
        <v>58</v>
      </c>
      <c r="J25">
        <v>180</v>
      </c>
      <c r="K25">
        <v>2</v>
      </c>
      <c r="L25">
        <v>3</v>
      </c>
      <c r="M25">
        <v>2</v>
      </c>
      <c r="N25">
        <v>2</v>
      </c>
      <c r="T25" s="124"/>
      <c r="U25" s="125"/>
      <c r="V25" s="124"/>
      <c r="W25" s="123"/>
      <c r="X25" s="124"/>
      <c r="Y25" s="124"/>
      <c r="Z25" s="124"/>
      <c r="AA25" s="124"/>
      <c r="AB25" s="123"/>
      <c r="AC25" s="123"/>
      <c r="AD25" s="123"/>
      <c r="AE25" s="123"/>
      <c r="AF25" s="123"/>
    </row>
    <row r="26" spans="1:32">
      <c r="A26">
        <v>12</v>
      </c>
      <c r="B26">
        <v>1</v>
      </c>
      <c r="C26">
        <v>6215</v>
      </c>
      <c r="D26">
        <v>0.43789954577194712</v>
      </c>
      <c r="E26">
        <v>18</v>
      </c>
      <c r="F26">
        <v>0</v>
      </c>
      <c r="G26">
        <v>0.19316866758905074</v>
      </c>
      <c r="H26">
        <v>4567.2575349999934</v>
      </c>
      <c r="I26">
        <v>58</v>
      </c>
      <c r="J26">
        <v>180</v>
      </c>
      <c r="K26">
        <v>4</v>
      </c>
      <c r="L26">
        <v>5</v>
      </c>
      <c r="M26">
        <v>5</v>
      </c>
      <c r="N26">
        <v>4</v>
      </c>
      <c r="T26" s="124"/>
      <c r="U26" s="125"/>
      <c r="V26" s="124"/>
      <c r="W26" s="123"/>
      <c r="X26" s="124"/>
      <c r="Y26" s="124"/>
      <c r="Z26" s="124"/>
      <c r="AA26" s="124"/>
      <c r="AB26" s="123"/>
      <c r="AC26" s="123"/>
      <c r="AD26" s="123"/>
      <c r="AE26" s="123"/>
      <c r="AF26" s="123"/>
    </row>
    <row r="27" spans="1:32">
      <c r="A27">
        <v>12</v>
      </c>
      <c r="B27">
        <v>2</v>
      </c>
      <c r="C27">
        <v>2303</v>
      </c>
      <c r="D27">
        <v>0.35197239436021738</v>
      </c>
      <c r="E27">
        <v>9</v>
      </c>
      <c r="F27">
        <v>0</v>
      </c>
      <c r="G27">
        <v>0.10416327863548963</v>
      </c>
      <c r="H27">
        <v>5682.2638139999972</v>
      </c>
      <c r="I27">
        <v>60</v>
      </c>
      <c r="J27">
        <v>180</v>
      </c>
      <c r="K27">
        <v>2</v>
      </c>
      <c r="L27">
        <v>3</v>
      </c>
      <c r="M27">
        <v>2</v>
      </c>
      <c r="N27">
        <v>2</v>
      </c>
      <c r="T27" s="124"/>
      <c r="U27" s="125"/>
      <c r="V27" s="124"/>
      <c r="W27" s="123"/>
      <c r="X27" s="124"/>
      <c r="Y27" s="124"/>
      <c r="Z27" s="124"/>
      <c r="AA27" s="124"/>
      <c r="AB27" s="123"/>
      <c r="AC27" s="123"/>
      <c r="AD27" s="123"/>
      <c r="AE27" s="123"/>
      <c r="AF27" s="123"/>
    </row>
    <row r="28" spans="1:32">
      <c r="A28">
        <v>13</v>
      </c>
      <c r="B28">
        <v>1</v>
      </c>
      <c r="C28">
        <v>7760</v>
      </c>
      <c r="D28">
        <v>0.43555677175201818</v>
      </c>
      <c r="E28">
        <v>17</v>
      </c>
      <c r="F28">
        <v>0</v>
      </c>
      <c r="G28">
        <v>0.18319223593865616</v>
      </c>
      <c r="H28">
        <v>4591.8239130000002</v>
      </c>
      <c r="I28">
        <v>59</v>
      </c>
      <c r="J28">
        <v>180</v>
      </c>
      <c r="K28">
        <v>4</v>
      </c>
      <c r="L28">
        <v>5</v>
      </c>
      <c r="M28">
        <v>4</v>
      </c>
      <c r="N28">
        <v>4</v>
      </c>
      <c r="T28" s="124"/>
      <c r="U28" s="125"/>
      <c r="V28" s="124"/>
      <c r="W28" s="123"/>
      <c r="X28" s="124"/>
      <c r="Y28" s="124"/>
      <c r="Z28" s="124"/>
      <c r="AA28" s="124"/>
      <c r="AB28" s="123"/>
      <c r="AC28" s="123"/>
      <c r="AD28" s="123"/>
      <c r="AE28" s="123"/>
      <c r="AF28" s="123"/>
    </row>
    <row r="29" spans="1:32">
      <c r="A29">
        <v>13</v>
      </c>
      <c r="B29">
        <v>2</v>
      </c>
      <c r="C29">
        <v>736</v>
      </c>
      <c r="D29">
        <v>0.3520650789650932</v>
      </c>
      <c r="E29">
        <v>9</v>
      </c>
      <c r="F29">
        <v>0</v>
      </c>
      <c r="G29">
        <v>0.10416203565213733</v>
      </c>
      <c r="H29">
        <v>5680.7679020000087</v>
      </c>
      <c r="I29">
        <v>58</v>
      </c>
      <c r="J29">
        <v>180</v>
      </c>
      <c r="K29">
        <v>2</v>
      </c>
      <c r="L29">
        <v>2</v>
      </c>
      <c r="M29">
        <v>3</v>
      </c>
      <c r="N29">
        <v>2</v>
      </c>
      <c r="T29" s="124"/>
      <c r="U29" s="125"/>
      <c r="V29" s="124"/>
      <c r="W29" s="123"/>
      <c r="X29" s="124"/>
      <c r="Y29" s="124"/>
      <c r="Z29" s="124"/>
      <c r="AA29" s="124"/>
      <c r="AB29" s="123"/>
      <c r="AC29" s="123"/>
      <c r="AD29" s="123"/>
      <c r="AE29" s="123"/>
      <c r="AF29" s="123"/>
    </row>
    <row r="30" spans="1:32">
      <c r="A30">
        <v>14</v>
      </c>
      <c r="B30">
        <v>1</v>
      </c>
      <c r="C30">
        <v>3774</v>
      </c>
      <c r="D30">
        <v>0.4271842270368012</v>
      </c>
      <c r="E30">
        <v>16</v>
      </c>
      <c r="F30">
        <v>0</v>
      </c>
      <c r="G30">
        <v>0.17327786545842258</v>
      </c>
      <c r="H30">
        <v>4681.8208009999944</v>
      </c>
      <c r="I30">
        <v>74</v>
      </c>
      <c r="J30">
        <v>180</v>
      </c>
      <c r="K30">
        <v>4</v>
      </c>
      <c r="L30">
        <v>4</v>
      </c>
      <c r="M30">
        <v>4</v>
      </c>
      <c r="N30">
        <v>4</v>
      </c>
      <c r="T30" s="124"/>
      <c r="U30" s="125"/>
      <c r="V30" s="124"/>
      <c r="W30" s="123"/>
      <c r="X30" s="124"/>
      <c r="Y30" s="124"/>
      <c r="Z30" s="124"/>
      <c r="AA30" s="124"/>
      <c r="AB30" s="123"/>
      <c r="AC30" s="123"/>
      <c r="AD30" s="123"/>
      <c r="AE30" s="123"/>
      <c r="AF30" s="123"/>
    </row>
    <row r="31" spans="1:32">
      <c r="A31">
        <v>14</v>
      </c>
      <c r="B31">
        <v>2</v>
      </c>
      <c r="C31">
        <v>553</v>
      </c>
      <c r="D31">
        <v>0.33591993192555702</v>
      </c>
      <c r="E31">
        <v>8</v>
      </c>
      <c r="F31">
        <v>0</v>
      </c>
      <c r="G31">
        <v>9.4385382325911704E-2</v>
      </c>
      <c r="H31">
        <v>5953.7997300000006</v>
      </c>
      <c r="I31">
        <v>66</v>
      </c>
      <c r="J31">
        <v>180</v>
      </c>
      <c r="K31">
        <v>2</v>
      </c>
      <c r="L31">
        <v>2</v>
      </c>
      <c r="M31">
        <v>2</v>
      </c>
      <c r="N31">
        <v>2</v>
      </c>
      <c r="T31" s="124"/>
      <c r="U31" s="125"/>
      <c r="V31" s="124"/>
      <c r="W31" s="123"/>
      <c r="X31" s="124"/>
      <c r="Y31" s="124"/>
      <c r="Z31" s="124"/>
      <c r="AA31" s="124"/>
      <c r="AB31" s="123"/>
      <c r="AC31" s="123"/>
      <c r="AD31" s="123"/>
      <c r="AE31" s="123"/>
      <c r="AF31" s="123"/>
    </row>
    <row r="32" spans="1:32">
      <c r="A32">
        <v>15</v>
      </c>
      <c r="B32">
        <v>1</v>
      </c>
      <c r="C32">
        <v>6096</v>
      </c>
      <c r="D32">
        <v>0.43674612060624141</v>
      </c>
      <c r="E32">
        <v>17</v>
      </c>
      <c r="F32">
        <v>0</v>
      </c>
      <c r="G32">
        <v>0.18318025000139829</v>
      </c>
      <c r="H32">
        <v>4579.3194390000008</v>
      </c>
      <c r="I32">
        <v>70</v>
      </c>
      <c r="J32">
        <v>180</v>
      </c>
      <c r="K32">
        <v>4</v>
      </c>
      <c r="L32">
        <v>4</v>
      </c>
      <c r="M32">
        <v>5</v>
      </c>
      <c r="N32">
        <v>4</v>
      </c>
      <c r="T32" s="124"/>
      <c r="U32" s="125"/>
      <c r="V32" s="124"/>
      <c r="W32" s="123"/>
      <c r="X32" s="124"/>
      <c r="Y32" s="124"/>
      <c r="Z32" s="124"/>
      <c r="AA32" s="124"/>
      <c r="AB32" s="123"/>
      <c r="AC32" s="123"/>
      <c r="AD32" s="123"/>
      <c r="AE32" s="123"/>
      <c r="AF32" s="123"/>
    </row>
    <row r="33" spans="1:32">
      <c r="A33">
        <v>15</v>
      </c>
      <c r="B33">
        <v>2</v>
      </c>
      <c r="C33">
        <v>652</v>
      </c>
      <c r="D33">
        <v>0.3538417704025863</v>
      </c>
      <c r="E33">
        <v>9</v>
      </c>
      <c r="F33">
        <v>0</v>
      </c>
      <c r="G33">
        <v>0.10413829264912784</v>
      </c>
      <c r="H33">
        <v>5652.243933000007</v>
      </c>
      <c r="I33">
        <v>72</v>
      </c>
      <c r="J33">
        <v>180</v>
      </c>
      <c r="K33">
        <v>2</v>
      </c>
      <c r="L33">
        <v>3</v>
      </c>
      <c r="M33">
        <v>2</v>
      </c>
      <c r="N33">
        <v>2</v>
      </c>
      <c r="T33" s="124"/>
      <c r="U33" s="125"/>
      <c r="V33" s="124"/>
      <c r="W33" s="123"/>
      <c r="X33" s="124"/>
      <c r="Y33" s="124"/>
      <c r="Z33" s="124"/>
      <c r="AA33" s="124"/>
      <c r="AB33" s="123"/>
      <c r="AC33" s="123"/>
      <c r="AD33" s="123"/>
      <c r="AE33" s="123"/>
      <c r="AF33" s="123"/>
    </row>
    <row r="34" spans="1:32">
      <c r="A34">
        <v>16</v>
      </c>
      <c r="B34">
        <v>1</v>
      </c>
      <c r="C34">
        <v>8077</v>
      </c>
      <c r="D34">
        <v>0.43713101104732799</v>
      </c>
      <c r="E34">
        <v>22</v>
      </c>
      <c r="F34">
        <v>0</v>
      </c>
      <c r="G34">
        <v>0.233176380496425</v>
      </c>
      <c r="H34">
        <v>4575.2873839999902</v>
      </c>
      <c r="I34">
        <v>68</v>
      </c>
      <c r="J34">
        <v>180</v>
      </c>
      <c r="K34">
        <v>5</v>
      </c>
      <c r="L34">
        <v>7</v>
      </c>
      <c r="M34">
        <v>5</v>
      </c>
      <c r="N34">
        <v>5</v>
      </c>
      <c r="T34" s="124"/>
      <c r="U34" s="125"/>
      <c r="V34" s="124"/>
      <c r="W34" s="123"/>
      <c r="X34" s="124"/>
      <c r="Y34" s="124"/>
      <c r="Z34" s="124"/>
      <c r="AA34" s="124"/>
      <c r="AB34" s="123"/>
      <c r="AC34" s="123"/>
      <c r="AD34" s="123"/>
      <c r="AE34" s="123"/>
      <c r="AF34" s="123"/>
    </row>
    <row r="35" spans="1:32">
      <c r="A35">
        <v>16</v>
      </c>
      <c r="B35">
        <v>2</v>
      </c>
      <c r="C35">
        <v>4458</v>
      </c>
      <c r="D35">
        <v>0.34770190434457238</v>
      </c>
      <c r="E35">
        <v>9</v>
      </c>
      <c r="F35">
        <v>0</v>
      </c>
      <c r="G35">
        <v>0.10422102752153795</v>
      </c>
      <c r="H35">
        <v>5752.0536269999866</v>
      </c>
      <c r="I35">
        <v>73</v>
      </c>
      <c r="J35">
        <v>180</v>
      </c>
      <c r="K35">
        <v>2</v>
      </c>
      <c r="L35">
        <v>3</v>
      </c>
      <c r="M35">
        <v>2</v>
      </c>
      <c r="N35">
        <v>2</v>
      </c>
      <c r="T35" s="124"/>
      <c r="U35" s="125"/>
      <c r="V35" s="124"/>
      <c r="W35" s="123"/>
      <c r="X35" s="124"/>
      <c r="Y35" s="124"/>
      <c r="Z35" s="124"/>
      <c r="AA35" s="124"/>
      <c r="AB35" s="123"/>
      <c r="AC35" s="123"/>
      <c r="AD35" s="123"/>
      <c r="AE35" s="123"/>
      <c r="AF35" s="123"/>
    </row>
    <row r="36" spans="1:32">
      <c r="A36">
        <v>17</v>
      </c>
      <c r="B36">
        <v>1</v>
      </c>
      <c r="C36">
        <v>1103</v>
      </c>
      <c r="D36">
        <v>0.42769183189830462</v>
      </c>
      <c r="E36">
        <v>17</v>
      </c>
      <c r="F36">
        <v>0</v>
      </c>
      <c r="G36">
        <v>0.18327261044634155</v>
      </c>
      <c r="H36">
        <v>4676.2641949999979</v>
      </c>
      <c r="I36">
        <v>74</v>
      </c>
      <c r="J36">
        <v>180</v>
      </c>
      <c r="K36">
        <v>4</v>
      </c>
      <c r="L36">
        <v>5</v>
      </c>
      <c r="M36">
        <v>5</v>
      </c>
      <c r="N36">
        <v>3</v>
      </c>
      <c r="T36" s="124"/>
      <c r="U36" s="125"/>
      <c r="V36" s="124"/>
      <c r="W36" s="123"/>
      <c r="X36" s="124"/>
      <c r="Y36" s="124"/>
      <c r="Z36" s="124"/>
      <c r="AA36" s="124"/>
      <c r="AB36" s="123"/>
      <c r="AC36" s="123"/>
      <c r="AD36" s="123"/>
      <c r="AE36" s="123"/>
      <c r="AF36" s="123"/>
    </row>
    <row r="37" spans="1:32">
      <c r="A37">
        <v>17</v>
      </c>
      <c r="B37">
        <v>2</v>
      </c>
      <c r="C37">
        <v>764</v>
      </c>
      <c r="D37">
        <v>0.33975999384613115</v>
      </c>
      <c r="E37">
        <v>8</v>
      </c>
      <c r="F37">
        <v>0</v>
      </c>
      <c r="G37">
        <v>9.4330980991583699E-2</v>
      </c>
      <c r="H37">
        <v>5886.5082299999985</v>
      </c>
      <c r="I37">
        <v>64</v>
      </c>
      <c r="J37">
        <v>180</v>
      </c>
      <c r="K37">
        <v>2</v>
      </c>
      <c r="L37">
        <v>2</v>
      </c>
      <c r="M37">
        <v>2</v>
      </c>
      <c r="N37">
        <v>2</v>
      </c>
      <c r="T37" s="124"/>
      <c r="U37" s="125"/>
      <c r="V37" s="124"/>
      <c r="W37" s="123"/>
      <c r="X37" s="124"/>
      <c r="Y37" s="124"/>
      <c r="Z37" s="124"/>
      <c r="AA37" s="124"/>
      <c r="AB37" s="123"/>
      <c r="AC37" s="123"/>
      <c r="AD37" s="123"/>
      <c r="AE37" s="123"/>
      <c r="AF37" s="123"/>
    </row>
    <row r="38" spans="1:32">
      <c r="A38">
        <v>18</v>
      </c>
      <c r="B38">
        <v>1</v>
      </c>
      <c r="C38">
        <v>4336</v>
      </c>
      <c r="D38">
        <v>0.43665900353331238</v>
      </c>
      <c r="E38">
        <v>19</v>
      </c>
      <c r="F38">
        <v>0</v>
      </c>
      <c r="G38">
        <v>0.20318112646597719</v>
      </c>
      <c r="H38">
        <v>4580.2330509999929</v>
      </c>
      <c r="I38">
        <v>71</v>
      </c>
      <c r="J38">
        <v>180</v>
      </c>
      <c r="K38">
        <v>4</v>
      </c>
      <c r="L38">
        <v>5</v>
      </c>
      <c r="M38">
        <v>6</v>
      </c>
      <c r="N38">
        <v>4</v>
      </c>
      <c r="T38" s="124"/>
      <c r="U38" s="125"/>
      <c r="V38" s="124"/>
      <c r="W38" s="123"/>
      <c r="X38" s="124"/>
      <c r="Y38" s="124"/>
      <c r="Z38" s="124"/>
      <c r="AA38" s="124"/>
      <c r="AB38" s="123"/>
      <c r="AC38" s="123"/>
      <c r="AD38" s="123"/>
      <c r="AE38" s="123"/>
      <c r="AF38" s="123"/>
    </row>
    <row r="39" spans="1:32">
      <c r="A39">
        <v>18</v>
      </c>
      <c r="B39">
        <v>2</v>
      </c>
      <c r="C39">
        <v>936</v>
      </c>
      <c r="D39">
        <v>0.34887840074630927</v>
      </c>
      <c r="E39">
        <v>9</v>
      </c>
      <c r="F39">
        <v>0</v>
      </c>
      <c r="G39">
        <v>0.10420502401824512</v>
      </c>
      <c r="H39">
        <v>5732.6564089999993</v>
      </c>
      <c r="I39">
        <v>68</v>
      </c>
      <c r="J39">
        <v>180</v>
      </c>
      <c r="K39">
        <v>2</v>
      </c>
      <c r="L39">
        <v>2</v>
      </c>
      <c r="M39">
        <v>3</v>
      </c>
      <c r="N39">
        <v>2</v>
      </c>
      <c r="T39" s="124"/>
      <c r="U39" s="125"/>
      <c r="V39" s="124"/>
      <c r="W39" s="123"/>
      <c r="X39" s="124"/>
      <c r="Y39" s="124"/>
      <c r="Z39" s="124"/>
      <c r="AA39" s="124"/>
      <c r="AB39" s="123"/>
      <c r="AC39" s="123"/>
      <c r="AD39" s="123"/>
      <c r="AE39" s="123"/>
      <c r="AF39" s="123"/>
    </row>
    <row r="40" spans="1:32">
      <c r="A40">
        <v>19</v>
      </c>
      <c r="B40">
        <v>1</v>
      </c>
      <c r="C40">
        <v>1874</v>
      </c>
      <c r="D40">
        <v>0.43489327995936833</v>
      </c>
      <c r="E40">
        <v>17</v>
      </c>
      <c r="F40">
        <v>0</v>
      </c>
      <c r="G40">
        <v>0.18319894140959764</v>
      </c>
      <c r="H40">
        <v>4598.8293959999983</v>
      </c>
      <c r="I40">
        <v>70</v>
      </c>
      <c r="J40">
        <v>180</v>
      </c>
      <c r="K40">
        <v>4</v>
      </c>
      <c r="L40">
        <v>4</v>
      </c>
      <c r="M40">
        <v>4</v>
      </c>
      <c r="N40">
        <v>5</v>
      </c>
      <c r="T40" s="124"/>
      <c r="U40" s="125"/>
      <c r="V40" s="124"/>
      <c r="W40" s="123"/>
      <c r="X40" s="124"/>
      <c r="Y40" s="124"/>
      <c r="Z40" s="124"/>
      <c r="AA40" s="124"/>
      <c r="AB40" s="123"/>
      <c r="AC40" s="123"/>
      <c r="AD40" s="123"/>
      <c r="AE40" s="123"/>
      <c r="AF40" s="123"/>
    </row>
    <row r="41" spans="1:32">
      <c r="A41">
        <v>19</v>
      </c>
      <c r="B41">
        <v>2</v>
      </c>
      <c r="C41">
        <v>2374</v>
      </c>
      <c r="D41">
        <v>0.35564741526805449</v>
      </c>
      <c r="E41">
        <v>9</v>
      </c>
      <c r="F41">
        <v>0</v>
      </c>
      <c r="G41">
        <v>0.10411432503365306</v>
      </c>
      <c r="H41">
        <v>5623.5471260000104</v>
      </c>
      <c r="I41">
        <v>70</v>
      </c>
      <c r="J41">
        <v>180</v>
      </c>
      <c r="K41">
        <v>2</v>
      </c>
      <c r="L41">
        <v>2</v>
      </c>
      <c r="M41">
        <v>3</v>
      </c>
      <c r="N41">
        <v>2</v>
      </c>
      <c r="T41" s="124"/>
      <c r="U41" s="125"/>
      <c r="V41" s="124"/>
      <c r="W41" s="123"/>
      <c r="X41" s="124"/>
      <c r="Y41" s="124"/>
      <c r="Z41" s="124"/>
      <c r="AA41" s="124"/>
      <c r="AB41" s="123"/>
      <c r="AC41" s="123"/>
      <c r="AD41" s="123"/>
      <c r="AE41" s="123"/>
      <c r="AF41" s="123"/>
    </row>
    <row r="42" spans="1:32">
      <c r="A42">
        <v>20</v>
      </c>
      <c r="B42">
        <v>1</v>
      </c>
      <c r="C42">
        <v>8079</v>
      </c>
      <c r="D42">
        <v>0.43867010382327537</v>
      </c>
      <c r="E42">
        <v>18</v>
      </c>
      <c r="F42">
        <v>0</v>
      </c>
      <c r="G42">
        <v>0.19316095247465256</v>
      </c>
      <c r="H42">
        <v>4559.2347930000014</v>
      </c>
      <c r="I42">
        <v>71</v>
      </c>
      <c r="J42">
        <v>180</v>
      </c>
      <c r="K42">
        <v>4</v>
      </c>
      <c r="L42">
        <v>4</v>
      </c>
      <c r="M42">
        <v>5</v>
      </c>
      <c r="N42">
        <v>5</v>
      </c>
      <c r="T42" s="124"/>
      <c r="U42" s="125"/>
      <c r="V42" s="124"/>
      <c r="W42" s="123"/>
      <c r="X42" s="124"/>
      <c r="Y42" s="124"/>
      <c r="Z42" s="124"/>
      <c r="AA42" s="124"/>
      <c r="AB42" s="123"/>
      <c r="AC42" s="123"/>
      <c r="AD42" s="123"/>
      <c r="AE42" s="123"/>
      <c r="AF42" s="123"/>
    </row>
    <row r="43" spans="1:32">
      <c r="A43">
        <v>20</v>
      </c>
      <c r="B43">
        <v>2</v>
      </c>
      <c r="C43">
        <v>910</v>
      </c>
      <c r="D43">
        <v>0.35264151757781903</v>
      </c>
      <c r="E43">
        <v>9</v>
      </c>
      <c r="F43">
        <v>0</v>
      </c>
      <c r="G43">
        <v>0.10415431487816171</v>
      </c>
      <c r="H43">
        <v>5671.4819449999977</v>
      </c>
      <c r="I43">
        <v>69</v>
      </c>
      <c r="J43">
        <v>180</v>
      </c>
      <c r="K43">
        <v>2</v>
      </c>
      <c r="L43">
        <v>2</v>
      </c>
      <c r="M43">
        <v>3</v>
      </c>
      <c r="N43">
        <v>2</v>
      </c>
      <c r="T43" s="124"/>
      <c r="U43" s="125"/>
      <c r="V43" s="124"/>
      <c r="W43" s="123"/>
      <c r="X43" s="124"/>
      <c r="Y43" s="124"/>
      <c r="Z43" s="124"/>
      <c r="AA43" s="124"/>
      <c r="AB43" s="123"/>
      <c r="AC43" s="123"/>
      <c r="AD43" s="123"/>
      <c r="AE43" s="123"/>
      <c r="AF43" s="123"/>
    </row>
    <row r="44" spans="1:32">
      <c r="A44">
        <v>21</v>
      </c>
      <c r="B44">
        <v>1</v>
      </c>
      <c r="C44">
        <v>8462</v>
      </c>
      <c r="D44">
        <v>0.23555456237324393</v>
      </c>
      <c r="E44">
        <v>20</v>
      </c>
      <c r="F44">
        <v>0</v>
      </c>
      <c r="G44">
        <v>0.21619208692249561</v>
      </c>
      <c r="H44">
        <v>8490.6018370000165</v>
      </c>
      <c r="I44">
        <v>74</v>
      </c>
      <c r="J44">
        <v>180</v>
      </c>
      <c r="K44">
        <v>8</v>
      </c>
      <c r="L44">
        <v>4</v>
      </c>
      <c r="M44">
        <v>7</v>
      </c>
      <c r="N44">
        <v>1</v>
      </c>
      <c r="T44" s="124"/>
      <c r="U44" s="125"/>
      <c r="V44" s="124"/>
      <c r="W44" s="123"/>
      <c r="X44" s="124"/>
      <c r="Y44" s="124"/>
      <c r="Z44" s="124"/>
      <c r="AA44" s="124"/>
      <c r="AB44" s="123"/>
      <c r="AC44" s="123"/>
      <c r="AD44" s="123"/>
      <c r="AE44" s="123"/>
      <c r="AF44" s="123"/>
    </row>
    <row r="45" spans="1:32">
      <c r="A45">
        <v>21</v>
      </c>
      <c r="B45">
        <v>2</v>
      </c>
      <c r="C45">
        <v>311</v>
      </c>
      <c r="D45">
        <v>0.18230140606706396</v>
      </c>
      <c r="E45">
        <v>7</v>
      </c>
      <c r="F45">
        <v>0</v>
      </c>
      <c r="G45">
        <v>8.7636131452724697E-2</v>
      </c>
      <c r="H45">
        <v>10970.842426000005</v>
      </c>
      <c r="I45">
        <v>70</v>
      </c>
      <c r="J45">
        <v>180</v>
      </c>
      <c r="K45">
        <v>2</v>
      </c>
      <c r="L45">
        <v>2</v>
      </c>
      <c r="M45">
        <v>2</v>
      </c>
      <c r="N45">
        <v>1</v>
      </c>
      <c r="T45" s="124"/>
      <c r="U45" s="125"/>
      <c r="V45" s="124"/>
      <c r="W45" s="123"/>
      <c r="X45" s="124"/>
      <c r="Y45" s="124"/>
      <c r="Z45" s="124"/>
      <c r="AA45" s="124"/>
      <c r="AB45" s="123"/>
      <c r="AC45" s="123"/>
      <c r="AD45" s="123"/>
      <c r="AE45" s="123"/>
      <c r="AF45" s="123"/>
    </row>
    <row r="46" spans="1:32">
      <c r="A46">
        <v>22</v>
      </c>
      <c r="B46">
        <v>1</v>
      </c>
      <c r="C46">
        <v>8804</v>
      </c>
      <c r="D46">
        <v>0.20963381074120108</v>
      </c>
      <c r="E46">
        <v>13</v>
      </c>
      <c r="F46">
        <v>0</v>
      </c>
      <c r="G46">
        <v>0.14683369898479223</v>
      </c>
      <c r="H46">
        <v>9540.4457560000046</v>
      </c>
      <c r="I46">
        <v>70</v>
      </c>
      <c r="J46">
        <v>180</v>
      </c>
      <c r="K46">
        <v>5</v>
      </c>
      <c r="L46">
        <v>4</v>
      </c>
      <c r="M46">
        <v>2</v>
      </c>
      <c r="N46">
        <v>2</v>
      </c>
      <c r="T46" s="124"/>
      <c r="U46" s="125"/>
      <c r="V46" s="124"/>
      <c r="W46" s="123"/>
      <c r="X46" s="124"/>
      <c r="Y46" s="124"/>
      <c r="Z46" s="124"/>
      <c r="AA46" s="124"/>
      <c r="AB46" s="123"/>
      <c r="AC46" s="123"/>
      <c r="AD46" s="123"/>
      <c r="AE46" s="123"/>
      <c r="AF46" s="123"/>
    </row>
    <row r="47" spans="1:32">
      <c r="A47">
        <v>22</v>
      </c>
      <c r="B47">
        <v>2</v>
      </c>
      <c r="C47">
        <v>2261</v>
      </c>
      <c r="D47">
        <v>0.17250817186326159</v>
      </c>
      <c r="E47">
        <v>8</v>
      </c>
      <c r="F47">
        <v>0</v>
      </c>
      <c r="G47">
        <v>9.7963740624575302E-2</v>
      </c>
      <c r="H47">
        <v>11593.653670999991</v>
      </c>
      <c r="I47">
        <v>70</v>
      </c>
      <c r="J47">
        <v>180</v>
      </c>
      <c r="K47">
        <v>3</v>
      </c>
      <c r="L47">
        <v>1</v>
      </c>
      <c r="M47">
        <v>3</v>
      </c>
      <c r="N47">
        <v>1</v>
      </c>
      <c r="T47" s="124"/>
      <c r="U47" s="125"/>
      <c r="V47" s="124"/>
      <c r="W47" s="123"/>
      <c r="X47" s="124"/>
      <c r="Y47" s="124"/>
      <c r="Z47" s="124"/>
      <c r="AA47" s="124"/>
      <c r="AB47" s="123"/>
      <c r="AC47" s="123"/>
      <c r="AD47" s="123"/>
      <c r="AE47" s="123"/>
      <c r="AF47" s="123"/>
    </row>
    <row r="48" spans="1:32">
      <c r="A48">
        <v>23</v>
      </c>
      <c r="B48">
        <v>1</v>
      </c>
      <c r="C48">
        <v>5360</v>
      </c>
      <c r="D48">
        <v>0.2300004727130712</v>
      </c>
      <c r="E48">
        <v>15</v>
      </c>
      <c r="F48">
        <v>0</v>
      </c>
      <c r="G48">
        <v>0.16632138804870114</v>
      </c>
      <c r="H48">
        <v>8695.6343020000131</v>
      </c>
      <c r="I48">
        <v>67</v>
      </c>
      <c r="J48">
        <v>180</v>
      </c>
      <c r="K48">
        <v>7</v>
      </c>
      <c r="L48">
        <v>3</v>
      </c>
      <c r="M48">
        <v>3</v>
      </c>
      <c r="N48">
        <v>2</v>
      </c>
      <c r="T48" s="124"/>
      <c r="U48" s="125"/>
      <c r="V48" s="124"/>
      <c r="W48" s="123"/>
      <c r="X48" s="124"/>
      <c r="Y48" s="124"/>
      <c r="Z48" s="124"/>
      <c r="AA48" s="124"/>
      <c r="AB48" s="123"/>
      <c r="AC48" s="123"/>
      <c r="AD48" s="123"/>
      <c r="AE48" s="123"/>
      <c r="AF48" s="123"/>
    </row>
    <row r="49" spans="1:32">
      <c r="A49">
        <v>23</v>
      </c>
      <c r="B49">
        <v>2</v>
      </c>
      <c r="C49">
        <v>286</v>
      </c>
      <c r="D49">
        <v>0.18608894071998927</v>
      </c>
      <c r="E49">
        <v>8</v>
      </c>
      <c r="F49">
        <v>0</v>
      </c>
      <c r="G49">
        <v>9.7515658883947212E-2</v>
      </c>
      <c r="H49">
        <v>10747.548953000001</v>
      </c>
      <c r="I49">
        <v>67</v>
      </c>
      <c r="J49">
        <v>180</v>
      </c>
      <c r="K49">
        <v>2</v>
      </c>
      <c r="L49">
        <v>2</v>
      </c>
      <c r="M49">
        <v>2</v>
      </c>
      <c r="N49">
        <v>2</v>
      </c>
      <c r="T49" s="124"/>
      <c r="U49" s="125"/>
      <c r="V49" s="124"/>
      <c r="W49" s="123"/>
      <c r="X49" s="124"/>
      <c r="Y49" s="124"/>
      <c r="Z49" s="124"/>
      <c r="AA49" s="124"/>
      <c r="AB49" s="123"/>
      <c r="AC49" s="123"/>
      <c r="AD49" s="123"/>
      <c r="AE49" s="123"/>
      <c r="AF49" s="123"/>
    </row>
    <row r="50" spans="1:32">
      <c r="A50">
        <v>24</v>
      </c>
      <c r="B50">
        <v>1</v>
      </c>
      <c r="C50">
        <v>1567</v>
      </c>
      <c r="D50">
        <v>0.23072101577396859</v>
      </c>
      <c r="E50">
        <v>17</v>
      </c>
      <c r="F50">
        <v>0</v>
      </c>
      <c r="G50">
        <v>0.18630437973441805</v>
      </c>
      <c r="H50">
        <v>8668.4777859999904</v>
      </c>
      <c r="I50">
        <v>70</v>
      </c>
      <c r="J50">
        <v>180</v>
      </c>
      <c r="K50">
        <v>8</v>
      </c>
      <c r="L50">
        <v>3</v>
      </c>
      <c r="M50">
        <v>3</v>
      </c>
      <c r="N50">
        <v>3</v>
      </c>
      <c r="T50" s="124"/>
      <c r="U50" s="125"/>
      <c r="V50" s="124"/>
      <c r="W50" s="123"/>
      <c r="X50" s="124"/>
      <c r="Y50" s="124"/>
      <c r="Z50" s="124"/>
      <c r="AA50" s="124"/>
      <c r="AB50" s="123"/>
      <c r="AC50" s="123"/>
      <c r="AD50" s="123"/>
      <c r="AE50" s="123"/>
      <c r="AF50" s="123"/>
    </row>
    <row r="51" spans="1:32">
      <c r="A51">
        <v>24</v>
      </c>
      <c r="B51">
        <v>2</v>
      </c>
      <c r="C51">
        <v>82</v>
      </c>
      <c r="D51">
        <v>0.18103395401930583</v>
      </c>
      <c r="E51">
        <v>9</v>
      </c>
      <c r="F51">
        <v>0</v>
      </c>
      <c r="G51">
        <v>0.10767719370776842</v>
      </c>
      <c r="H51">
        <v>11047.651314000002</v>
      </c>
      <c r="I51">
        <v>68</v>
      </c>
      <c r="J51">
        <v>180</v>
      </c>
      <c r="K51">
        <v>4</v>
      </c>
      <c r="L51">
        <v>1</v>
      </c>
      <c r="M51">
        <v>2</v>
      </c>
      <c r="N51">
        <v>2</v>
      </c>
      <c r="T51" s="124"/>
      <c r="U51" s="125"/>
      <c r="V51" s="124"/>
      <c r="W51" s="123"/>
      <c r="X51" s="124"/>
      <c r="Y51" s="124"/>
      <c r="Z51" s="124"/>
      <c r="AA51" s="124"/>
      <c r="AB51" s="123"/>
      <c r="AC51" s="123"/>
      <c r="AD51" s="123"/>
      <c r="AE51" s="123"/>
      <c r="AF51" s="123"/>
    </row>
    <row r="52" spans="1:32">
      <c r="A52">
        <v>25</v>
      </c>
      <c r="B52">
        <v>1</v>
      </c>
      <c r="C52">
        <v>1992</v>
      </c>
      <c r="D52">
        <v>0.20454706009808801</v>
      </c>
      <c r="E52">
        <v>13</v>
      </c>
      <c r="F52">
        <v>0</v>
      </c>
      <c r="G52">
        <v>0.14697210015889209</v>
      </c>
      <c r="H52">
        <v>9777.7010289999998</v>
      </c>
      <c r="I52">
        <v>68</v>
      </c>
      <c r="J52">
        <v>180</v>
      </c>
      <c r="K52">
        <v>5</v>
      </c>
      <c r="L52">
        <v>3</v>
      </c>
      <c r="M52">
        <v>2</v>
      </c>
      <c r="N52">
        <v>3</v>
      </c>
      <c r="T52" s="124"/>
      <c r="U52" s="125"/>
      <c r="V52" s="124"/>
      <c r="W52" s="123"/>
      <c r="X52" s="124"/>
      <c r="Y52" s="124"/>
      <c r="Z52" s="124"/>
      <c r="AA52" s="124"/>
      <c r="AB52" s="123"/>
      <c r="AC52" s="123"/>
      <c r="AD52" s="123"/>
      <c r="AE52" s="123"/>
      <c r="AF52" s="123"/>
    </row>
    <row r="53" spans="1:32">
      <c r="A53">
        <v>25</v>
      </c>
      <c r="B53">
        <v>2</v>
      </c>
      <c r="C53">
        <v>530</v>
      </c>
      <c r="D53">
        <v>0.16589857441917483</v>
      </c>
      <c r="E53">
        <v>7</v>
      </c>
      <c r="F53">
        <v>0</v>
      </c>
      <c r="G53">
        <v>8.8199206324826779E-2</v>
      </c>
      <c r="H53">
        <v>12055.558687000006</v>
      </c>
      <c r="I53">
        <v>69</v>
      </c>
      <c r="J53">
        <v>180</v>
      </c>
      <c r="K53">
        <v>2</v>
      </c>
      <c r="L53">
        <v>2</v>
      </c>
      <c r="M53">
        <v>2</v>
      </c>
      <c r="N53">
        <v>1</v>
      </c>
      <c r="T53" s="124"/>
      <c r="U53" s="125"/>
      <c r="V53" s="124"/>
      <c r="W53" s="123"/>
      <c r="X53" s="124"/>
      <c r="Y53" s="124"/>
      <c r="Z53" s="124"/>
      <c r="AA53" s="124"/>
      <c r="AB53" s="123"/>
      <c r="AC53" s="123"/>
      <c r="AD53" s="123"/>
      <c r="AE53" s="123"/>
      <c r="AF53" s="123"/>
    </row>
    <row r="54" spans="1:32">
      <c r="A54">
        <v>26</v>
      </c>
      <c r="B54">
        <v>1</v>
      </c>
      <c r="C54">
        <v>987</v>
      </c>
      <c r="D54">
        <v>0.20083612606125573</v>
      </c>
      <c r="E54">
        <v>15</v>
      </c>
      <c r="F54">
        <v>0</v>
      </c>
      <c r="G54">
        <v>0.16707599640822265</v>
      </c>
      <c r="H54">
        <v>9958.3677460000054</v>
      </c>
      <c r="I54">
        <v>69</v>
      </c>
      <c r="J54">
        <v>180</v>
      </c>
      <c r="K54">
        <v>5</v>
      </c>
      <c r="L54">
        <v>5</v>
      </c>
      <c r="M54">
        <v>1</v>
      </c>
      <c r="N54">
        <v>4</v>
      </c>
      <c r="T54" s="124"/>
      <c r="U54" s="125"/>
      <c r="V54" s="124"/>
      <c r="W54" s="123"/>
      <c r="X54" s="124"/>
      <c r="Y54" s="124"/>
      <c r="Z54" s="124"/>
      <c r="AA54" s="124"/>
      <c r="AB54" s="123"/>
      <c r="AC54" s="123"/>
      <c r="AD54" s="123"/>
      <c r="AE54" s="123"/>
      <c r="AF54" s="123"/>
    </row>
    <row r="55" spans="1:32">
      <c r="A55">
        <v>26</v>
      </c>
      <c r="B55">
        <v>2</v>
      </c>
      <c r="C55">
        <v>215</v>
      </c>
      <c r="D55">
        <v>0.16551148461135987</v>
      </c>
      <c r="E55">
        <v>7</v>
      </c>
      <c r="F55">
        <v>0</v>
      </c>
      <c r="G55">
        <v>8.8213383070064585E-2</v>
      </c>
      <c r="H55">
        <v>12083.753611999988</v>
      </c>
      <c r="I55">
        <v>63</v>
      </c>
      <c r="J55">
        <v>180</v>
      </c>
      <c r="K55">
        <v>2</v>
      </c>
      <c r="L55">
        <v>2</v>
      </c>
      <c r="M55">
        <v>1</v>
      </c>
      <c r="N55">
        <v>2</v>
      </c>
      <c r="T55" s="124"/>
      <c r="U55" s="125"/>
      <c r="V55" s="124"/>
      <c r="W55" s="123"/>
      <c r="X55" s="124"/>
      <c r="Y55" s="124"/>
      <c r="Z55" s="124"/>
      <c r="AA55" s="124"/>
      <c r="AB55" s="123"/>
      <c r="AC55" s="123"/>
      <c r="AD55" s="123"/>
      <c r="AE55" s="123"/>
      <c r="AF55" s="123"/>
    </row>
    <row r="56" spans="1:32">
      <c r="A56">
        <v>27</v>
      </c>
      <c r="B56">
        <v>1</v>
      </c>
      <c r="C56">
        <v>5169</v>
      </c>
      <c r="D56">
        <v>0.21502109297414992</v>
      </c>
      <c r="E56">
        <v>15</v>
      </c>
      <c r="F56">
        <v>0</v>
      </c>
      <c r="G56">
        <v>0.16669192065534716</v>
      </c>
      <c r="H56">
        <v>9301.4130489999989</v>
      </c>
      <c r="I56">
        <v>64</v>
      </c>
      <c r="J56">
        <v>180</v>
      </c>
      <c r="K56">
        <v>6</v>
      </c>
      <c r="L56">
        <v>3</v>
      </c>
      <c r="M56">
        <v>5</v>
      </c>
      <c r="N56">
        <v>1</v>
      </c>
      <c r="T56" s="124"/>
      <c r="U56" s="125"/>
      <c r="V56" s="124"/>
      <c r="W56" s="123"/>
      <c r="X56" s="124"/>
      <c r="Y56" s="124"/>
      <c r="Z56" s="124"/>
      <c r="AA56" s="124"/>
      <c r="AB56" s="123"/>
      <c r="AC56" s="123"/>
      <c r="AD56" s="123"/>
      <c r="AE56" s="123"/>
      <c r="AF56" s="123"/>
    </row>
    <row r="57" spans="1:32">
      <c r="A57">
        <v>27</v>
      </c>
      <c r="B57">
        <v>2</v>
      </c>
      <c r="C57">
        <v>1383</v>
      </c>
      <c r="D57">
        <v>0.16833246783694028</v>
      </c>
      <c r="E57">
        <v>7</v>
      </c>
      <c r="F57">
        <v>0</v>
      </c>
      <c r="G57">
        <v>8.8111066971497468E-2</v>
      </c>
      <c r="H57">
        <v>11881.249207000003</v>
      </c>
      <c r="I57">
        <v>68</v>
      </c>
      <c r="J57">
        <v>180</v>
      </c>
      <c r="K57">
        <v>3</v>
      </c>
      <c r="L57">
        <v>2</v>
      </c>
      <c r="M57">
        <v>1</v>
      </c>
      <c r="N57">
        <v>1</v>
      </c>
      <c r="T57" s="124"/>
      <c r="U57" s="125"/>
      <c r="V57" s="124"/>
      <c r="W57" s="123"/>
      <c r="X57" s="124"/>
      <c r="Y57" s="124"/>
      <c r="Z57" s="124"/>
      <c r="AA57" s="124"/>
      <c r="AB57" s="123"/>
      <c r="AC57" s="123"/>
      <c r="AD57" s="123"/>
      <c r="AE57" s="123"/>
      <c r="AF57" s="123"/>
    </row>
    <row r="58" spans="1:32">
      <c r="A58">
        <v>28</v>
      </c>
      <c r="B58">
        <v>1</v>
      </c>
      <c r="C58">
        <v>1620</v>
      </c>
      <c r="D58">
        <v>0.22262699723607648</v>
      </c>
      <c r="E58">
        <v>18</v>
      </c>
      <c r="F58">
        <v>0</v>
      </c>
      <c r="G58">
        <v>0.19649962436732857</v>
      </c>
      <c r="H58">
        <v>8983.636417999991</v>
      </c>
      <c r="I58">
        <v>64</v>
      </c>
      <c r="J58">
        <v>180</v>
      </c>
      <c r="K58">
        <v>10</v>
      </c>
      <c r="L58">
        <v>2</v>
      </c>
      <c r="M58">
        <v>4</v>
      </c>
      <c r="N58">
        <v>2</v>
      </c>
      <c r="T58" s="124"/>
      <c r="U58" s="125"/>
      <c r="V58" s="124"/>
      <c r="W58" s="123"/>
      <c r="X58" s="124"/>
      <c r="Y58" s="124"/>
      <c r="Z58" s="124"/>
      <c r="AA58" s="124"/>
      <c r="AB58" s="123"/>
      <c r="AC58" s="123"/>
      <c r="AD58" s="123"/>
      <c r="AE58" s="123"/>
      <c r="AF58" s="123"/>
    </row>
    <row r="59" spans="1:32">
      <c r="A59">
        <v>28</v>
      </c>
      <c r="B59">
        <v>2</v>
      </c>
      <c r="C59">
        <v>368</v>
      </c>
      <c r="D59">
        <v>0.12747337937263933</v>
      </c>
      <c r="E59">
        <v>4</v>
      </c>
      <c r="F59">
        <v>0</v>
      </c>
      <c r="G59">
        <v>5.9869800206222609E-2</v>
      </c>
      <c r="H59">
        <v>15689.550318999989</v>
      </c>
      <c r="I59">
        <v>63</v>
      </c>
      <c r="J59">
        <v>180</v>
      </c>
      <c r="K59">
        <v>1</v>
      </c>
      <c r="L59">
        <v>1</v>
      </c>
      <c r="M59">
        <v>1</v>
      </c>
      <c r="N59">
        <v>1</v>
      </c>
      <c r="T59" s="124"/>
      <c r="U59" s="125"/>
      <c r="V59" s="124"/>
      <c r="W59" s="123"/>
      <c r="X59" s="124"/>
      <c r="Y59" s="124"/>
      <c r="Z59" s="124"/>
      <c r="AA59" s="124"/>
      <c r="AB59" s="123"/>
      <c r="AC59" s="123"/>
      <c r="AD59" s="123"/>
      <c r="AE59" s="123"/>
      <c r="AF59" s="123"/>
    </row>
    <row r="60" spans="1:32">
      <c r="A60">
        <v>29</v>
      </c>
      <c r="B60">
        <v>1</v>
      </c>
      <c r="C60">
        <v>1461</v>
      </c>
      <c r="D60">
        <v>0.22199804504436779</v>
      </c>
      <c r="E60">
        <v>16</v>
      </c>
      <c r="F60">
        <v>0</v>
      </c>
      <c r="G60">
        <v>0.17651519160653933</v>
      </c>
      <c r="H60">
        <v>9009.0883439999961</v>
      </c>
      <c r="I60">
        <v>62</v>
      </c>
      <c r="J60">
        <v>180</v>
      </c>
      <c r="K60">
        <v>5</v>
      </c>
      <c r="L60">
        <v>7</v>
      </c>
      <c r="M60">
        <v>2</v>
      </c>
      <c r="N60">
        <v>2</v>
      </c>
      <c r="T60" s="124"/>
      <c r="U60" s="125"/>
      <c r="V60" s="124"/>
      <c r="W60" s="123"/>
      <c r="X60" s="124"/>
      <c r="Y60" s="124"/>
      <c r="Z60" s="124"/>
      <c r="AA60" s="124"/>
      <c r="AB60" s="123"/>
      <c r="AC60" s="123"/>
      <c r="AD60" s="123"/>
      <c r="AE60" s="123"/>
      <c r="AF60" s="123"/>
    </row>
    <row r="61" spans="1:32">
      <c r="A61">
        <v>29</v>
      </c>
      <c r="B61">
        <v>2</v>
      </c>
      <c r="C61">
        <v>1361</v>
      </c>
      <c r="D61">
        <v>0.17015720221641376</v>
      </c>
      <c r="E61">
        <v>7</v>
      </c>
      <c r="F61">
        <v>0</v>
      </c>
      <c r="G61">
        <v>8.8046094251894386E-2</v>
      </c>
      <c r="H61">
        <v>11753.836886999987</v>
      </c>
      <c r="I61">
        <v>61</v>
      </c>
      <c r="J61">
        <v>180</v>
      </c>
      <c r="K61">
        <v>2</v>
      </c>
      <c r="L61">
        <v>2</v>
      </c>
      <c r="M61">
        <v>1</v>
      </c>
      <c r="N61">
        <v>2</v>
      </c>
      <c r="T61" s="124"/>
      <c r="U61" s="125"/>
      <c r="V61" s="124"/>
      <c r="W61" s="123"/>
      <c r="X61" s="124"/>
      <c r="Y61" s="124"/>
      <c r="Z61" s="124"/>
      <c r="AA61" s="124"/>
      <c r="AB61" s="123"/>
      <c r="AC61" s="123"/>
      <c r="AD61" s="123"/>
      <c r="AE61" s="123"/>
      <c r="AF61" s="123"/>
    </row>
    <row r="62" spans="1:32">
      <c r="A62">
        <v>30</v>
      </c>
      <c r="B62">
        <v>1</v>
      </c>
      <c r="C62">
        <v>347</v>
      </c>
      <c r="D62">
        <v>0.20101960193579343</v>
      </c>
      <c r="E62">
        <v>14</v>
      </c>
      <c r="F62">
        <v>0</v>
      </c>
      <c r="G62">
        <v>0.15707079958988804</v>
      </c>
      <c r="H62">
        <v>9949.2784820000234</v>
      </c>
      <c r="I62">
        <v>66</v>
      </c>
      <c r="J62">
        <v>180</v>
      </c>
      <c r="K62">
        <v>5</v>
      </c>
      <c r="L62">
        <v>3</v>
      </c>
      <c r="M62">
        <v>5</v>
      </c>
      <c r="N62">
        <v>1</v>
      </c>
      <c r="T62" s="124"/>
      <c r="U62" s="125"/>
      <c r="V62" s="124"/>
      <c r="W62" s="123"/>
      <c r="X62" s="124"/>
      <c r="Y62" s="124"/>
      <c r="Z62" s="124"/>
      <c r="AA62" s="124"/>
      <c r="AB62" s="123"/>
      <c r="AC62" s="123"/>
      <c r="AD62" s="123"/>
      <c r="AE62" s="123"/>
      <c r="AF62" s="123"/>
    </row>
    <row r="63" spans="1:32">
      <c r="A63">
        <v>30</v>
      </c>
      <c r="B63">
        <v>2</v>
      </c>
      <c r="C63">
        <v>774</v>
      </c>
      <c r="D63">
        <v>0.16128932633289653</v>
      </c>
      <c r="E63">
        <v>7</v>
      </c>
      <c r="F63">
        <v>0</v>
      </c>
      <c r="G63">
        <v>8.8370943324376061E-2</v>
      </c>
      <c r="H63">
        <v>12400.076592000003</v>
      </c>
      <c r="I63">
        <v>61</v>
      </c>
      <c r="J63">
        <v>180</v>
      </c>
      <c r="K63">
        <v>2</v>
      </c>
      <c r="L63">
        <v>2</v>
      </c>
      <c r="M63">
        <v>1</v>
      </c>
      <c r="N63">
        <v>2</v>
      </c>
      <c r="T63" s="124"/>
      <c r="U63" s="125"/>
      <c r="V63" s="124"/>
      <c r="W63" s="123"/>
      <c r="X63" s="124"/>
      <c r="Y63" s="124"/>
      <c r="Z63" s="124"/>
      <c r="AA63" s="124"/>
      <c r="AB63" s="123"/>
      <c r="AC63" s="123"/>
      <c r="AD63" s="123"/>
      <c r="AE63" s="123"/>
      <c r="AF63" s="123"/>
    </row>
    <row r="64" spans="1:32">
      <c r="A64">
        <v>31</v>
      </c>
      <c r="B64">
        <v>1</v>
      </c>
      <c r="C64">
        <v>377</v>
      </c>
      <c r="D64">
        <v>0.22925276624689578</v>
      </c>
      <c r="E64">
        <v>8</v>
      </c>
      <c r="F64">
        <v>0</v>
      </c>
      <c r="G64">
        <v>9.6339112827974596E-2</v>
      </c>
      <c r="H64">
        <v>8723.9950589999971</v>
      </c>
      <c r="I64">
        <v>58</v>
      </c>
      <c r="J64">
        <v>180</v>
      </c>
      <c r="K64">
        <v>3</v>
      </c>
      <c r="L64">
        <v>1</v>
      </c>
      <c r="M64">
        <v>2</v>
      </c>
      <c r="N64">
        <v>2</v>
      </c>
      <c r="T64" s="124"/>
      <c r="U64" s="125"/>
      <c r="V64" s="124"/>
      <c r="W64" s="123"/>
      <c r="X64" s="124"/>
      <c r="Y64" s="124"/>
      <c r="Z64" s="124"/>
      <c r="AA64" s="124"/>
      <c r="AB64" s="123"/>
      <c r="AC64" s="123"/>
      <c r="AD64" s="123"/>
      <c r="AE64" s="123"/>
      <c r="AF64" s="123"/>
    </row>
    <row r="65" spans="1:32">
      <c r="A65">
        <v>31</v>
      </c>
      <c r="B65">
        <v>2</v>
      </c>
      <c r="C65">
        <v>68</v>
      </c>
      <c r="D65">
        <v>0.19611461011514986</v>
      </c>
      <c r="E65">
        <v>5</v>
      </c>
      <c r="F65">
        <v>0</v>
      </c>
      <c r="G65">
        <v>6.7211947671102987E-2</v>
      </c>
      <c r="H65">
        <v>10198.118329000008</v>
      </c>
      <c r="I65">
        <v>64</v>
      </c>
      <c r="J65">
        <v>180</v>
      </c>
      <c r="K65">
        <v>2</v>
      </c>
      <c r="L65">
        <v>1</v>
      </c>
      <c r="M65">
        <v>1</v>
      </c>
      <c r="N65">
        <v>1</v>
      </c>
      <c r="T65" s="124"/>
      <c r="U65" s="125"/>
      <c r="V65" s="124"/>
      <c r="W65" s="123"/>
      <c r="X65" s="124"/>
      <c r="Y65" s="124"/>
      <c r="Z65" s="124"/>
      <c r="AA65" s="124"/>
      <c r="AB65" s="123"/>
      <c r="AC65" s="123"/>
      <c r="AD65" s="123"/>
      <c r="AE65" s="123"/>
      <c r="AF65" s="123"/>
    </row>
    <row r="66" spans="1:32">
      <c r="A66">
        <v>32</v>
      </c>
      <c r="B66">
        <v>1</v>
      </c>
      <c r="C66">
        <v>105</v>
      </c>
      <c r="D66">
        <v>0.22974135789607322</v>
      </c>
      <c r="E66">
        <v>7</v>
      </c>
      <c r="F66">
        <v>0</v>
      </c>
      <c r="G66">
        <v>8.6327521793433434E-2</v>
      </c>
      <c r="H66">
        <v>8705.4417120000162</v>
      </c>
      <c r="I66">
        <v>65</v>
      </c>
      <c r="J66">
        <v>180</v>
      </c>
      <c r="K66">
        <v>2</v>
      </c>
      <c r="L66">
        <v>2</v>
      </c>
      <c r="M66">
        <v>2</v>
      </c>
      <c r="N66">
        <v>1</v>
      </c>
      <c r="T66" s="124"/>
      <c r="U66" s="125"/>
      <c r="V66" s="124"/>
      <c r="W66" s="123"/>
      <c r="X66" s="124"/>
      <c r="Y66" s="124"/>
      <c r="Z66" s="124"/>
      <c r="AA66" s="124"/>
      <c r="AB66" s="123"/>
      <c r="AC66" s="123"/>
      <c r="AD66" s="123"/>
      <c r="AE66" s="123"/>
      <c r="AF66" s="123"/>
    </row>
    <row r="67" spans="1:32">
      <c r="A67">
        <v>32</v>
      </c>
      <c r="B67">
        <v>2</v>
      </c>
      <c r="C67">
        <v>68</v>
      </c>
      <c r="D67">
        <v>0.19676080670443652</v>
      </c>
      <c r="E67">
        <v>5</v>
      </c>
      <c r="F67">
        <v>0</v>
      </c>
      <c r="G67">
        <v>6.7193084666513317E-2</v>
      </c>
      <c r="H67">
        <v>10164.625940999989</v>
      </c>
      <c r="I67">
        <v>67</v>
      </c>
      <c r="J67">
        <v>180</v>
      </c>
      <c r="K67">
        <v>2</v>
      </c>
      <c r="L67">
        <v>1</v>
      </c>
      <c r="M67">
        <v>1</v>
      </c>
      <c r="N67">
        <v>1</v>
      </c>
      <c r="T67" s="124"/>
      <c r="U67" s="125"/>
      <c r="V67" s="124"/>
      <c r="W67" s="123"/>
      <c r="X67" s="124"/>
      <c r="Y67" s="124"/>
      <c r="Z67" s="124"/>
      <c r="AA67" s="124"/>
      <c r="AB67" s="123"/>
      <c r="AC67" s="123"/>
      <c r="AD67" s="123"/>
      <c r="AE67" s="123"/>
      <c r="AF67" s="123"/>
    </row>
    <row r="68" spans="1:32">
      <c r="A68">
        <v>33</v>
      </c>
      <c r="B68">
        <v>1</v>
      </c>
      <c r="C68">
        <v>3</v>
      </c>
      <c r="D68">
        <v>0.23247996574050636</v>
      </c>
      <c r="E68">
        <v>7</v>
      </c>
      <c r="F68">
        <v>0</v>
      </c>
      <c r="G68">
        <v>8.6263155793069327E-2</v>
      </c>
      <c r="H68">
        <v>8602.8918389999926</v>
      </c>
      <c r="I68">
        <v>64</v>
      </c>
      <c r="J68">
        <v>180</v>
      </c>
      <c r="K68">
        <v>2</v>
      </c>
      <c r="L68">
        <v>2</v>
      </c>
      <c r="M68">
        <v>2</v>
      </c>
      <c r="N68">
        <v>1</v>
      </c>
      <c r="T68" s="124"/>
      <c r="U68" s="125"/>
      <c r="V68" s="124"/>
      <c r="W68" s="123"/>
      <c r="X68" s="124"/>
      <c r="Y68" s="124"/>
      <c r="Z68" s="124"/>
      <c r="AA68" s="124"/>
      <c r="AB68" s="123"/>
      <c r="AC68" s="123"/>
      <c r="AD68" s="123"/>
      <c r="AE68" s="123"/>
      <c r="AF68" s="123"/>
    </row>
    <row r="69" spans="1:32">
      <c r="A69">
        <v>33</v>
      </c>
      <c r="B69">
        <v>2</v>
      </c>
      <c r="C69">
        <v>54</v>
      </c>
      <c r="D69">
        <v>0.19944760468852724</v>
      </c>
      <c r="E69">
        <v>5</v>
      </c>
      <c r="F69">
        <v>0</v>
      </c>
      <c r="G69">
        <v>6.7115531562057948E-2</v>
      </c>
      <c r="H69">
        <v>10027.696262000009</v>
      </c>
      <c r="I69">
        <v>66</v>
      </c>
      <c r="J69">
        <v>180</v>
      </c>
      <c r="K69">
        <v>2</v>
      </c>
      <c r="L69">
        <v>1</v>
      </c>
      <c r="M69">
        <v>1</v>
      </c>
      <c r="N69">
        <v>1</v>
      </c>
      <c r="T69" s="124"/>
      <c r="U69" s="125"/>
      <c r="V69" s="124"/>
      <c r="W69" s="123"/>
      <c r="X69" s="124"/>
      <c r="Y69" s="124"/>
      <c r="Z69" s="124"/>
      <c r="AA69" s="124"/>
      <c r="AB69" s="123"/>
      <c r="AC69" s="123"/>
      <c r="AD69" s="123"/>
      <c r="AE69" s="123"/>
      <c r="AF69" s="123"/>
    </row>
    <row r="70" spans="1:32">
      <c r="A70">
        <v>34</v>
      </c>
      <c r="B70">
        <v>1</v>
      </c>
      <c r="C70">
        <v>90</v>
      </c>
      <c r="D70">
        <v>0.22679830897212255</v>
      </c>
      <c r="E70">
        <v>7</v>
      </c>
      <c r="F70">
        <v>0</v>
      </c>
      <c r="G70">
        <v>8.6397843201148114E-2</v>
      </c>
      <c r="H70">
        <v>8818.4079019999863</v>
      </c>
      <c r="I70">
        <v>66</v>
      </c>
      <c r="J70">
        <v>180</v>
      </c>
      <c r="K70">
        <v>2</v>
      </c>
      <c r="L70">
        <v>2</v>
      </c>
      <c r="M70">
        <v>2</v>
      </c>
      <c r="N70">
        <v>1</v>
      </c>
      <c r="T70" s="124"/>
      <c r="U70" s="125"/>
      <c r="V70" s="124"/>
      <c r="W70" s="123"/>
      <c r="X70" s="124"/>
      <c r="Y70" s="124"/>
      <c r="Z70" s="124"/>
      <c r="AA70" s="124"/>
      <c r="AB70" s="123"/>
      <c r="AC70" s="123"/>
      <c r="AD70" s="123"/>
      <c r="AE70" s="123"/>
      <c r="AF70" s="123"/>
    </row>
    <row r="71" spans="1:32">
      <c r="A71">
        <v>34</v>
      </c>
      <c r="B71">
        <v>2</v>
      </c>
      <c r="C71">
        <v>291</v>
      </c>
      <c r="D71">
        <v>0.1967365447989749</v>
      </c>
      <c r="E71">
        <v>5</v>
      </c>
      <c r="F71">
        <v>0</v>
      </c>
      <c r="G71">
        <v>6.7193791398196895E-2</v>
      </c>
      <c r="H71">
        <v>10165.879460999973</v>
      </c>
      <c r="I71">
        <v>65</v>
      </c>
      <c r="J71">
        <v>180</v>
      </c>
      <c r="K71">
        <v>2</v>
      </c>
      <c r="L71">
        <v>1</v>
      </c>
      <c r="M71">
        <v>1</v>
      </c>
      <c r="N71">
        <v>1</v>
      </c>
      <c r="T71" s="124"/>
      <c r="U71" s="125"/>
      <c r="V71" s="124"/>
      <c r="W71" s="123"/>
      <c r="X71" s="124"/>
      <c r="Y71" s="124"/>
      <c r="Z71" s="124"/>
      <c r="AA71" s="124"/>
      <c r="AB71" s="123"/>
      <c r="AC71" s="123"/>
      <c r="AD71" s="123"/>
      <c r="AE71" s="123"/>
      <c r="AF71" s="123"/>
    </row>
    <row r="72" spans="1:32">
      <c r="A72">
        <v>35</v>
      </c>
      <c r="B72">
        <v>1</v>
      </c>
      <c r="C72">
        <v>23</v>
      </c>
      <c r="D72">
        <v>0.23198796184214784</v>
      </c>
      <c r="E72">
        <v>8</v>
      </c>
      <c r="F72">
        <v>0</v>
      </c>
      <c r="G72">
        <v>9.6274644731324438E-2</v>
      </c>
      <c r="H72">
        <v>8621.136993999995</v>
      </c>
      <c r="I72">
        <v>60</v>
      </c>
      <c r="J72">
        <v>180</v>
      </c>
      <c r="K72">
        <v>3</v>
      </c>
      <c r="L72">
        <v>1</v>
      </c>
      <c r="M72">
        <v>2</v>
      </c>
      <c r="N72">
        <v>2</v>
      </c>
      <c r="T72" s="124"/>
      <c r="U72" s="125"/>
      <c r="V72" s="124"/>
      <c r="W72" s="123"/>
      <c r="X72" s="124"/>
      <c r="Y72" s="124"/>
      <c r="Z72" s="124"/>
      <c r="AA72" s="124"/>
      <c r="AB72" s="123"/>
      <c r="AC72" s="123"/>
      <c r="AD72" s="123"/>
      <c r="AE72" s="123"/>
      <c r="AF72" s="123"/>
    </row>
    <row r="73" spans="1:32">
      <c r="A73">
        <v>35</v>
      </c>
      <c r="B73">
        <v>2</v>
      </c>
      <c r="C73">
        <v>186</v>
      </c>
      <c r="D73">
        <v>0.19876609609187842</v>
      </c>
      <c r="E73">
        <v>5</v>
      </c>
      <c r="F73">
        <v>0</v>
      </c>
      <c r="G73">
        <v>6.7135070568378433E-2</v>
      </c>
      <c r="H73">
        <v>10062.07818799999</v>
      </c>
      <c r="I73">
        <v>66</v>
      </c>
      <c r="J73">
        <v>180</v>
      </c>
      <c r="K73">
        <v>2</v>
      </c>
      <c r="L73">
        <v>1</v>
      </c>
      <c r="M73">
        <v>1</v>
      </c>
      <c r="N73">
        <v>1</v>
      </c>
      <c r="T73" s="124"/>
      <c r="U73" s="125"/>
      <c r="V73" s="124"/>
      <c r="W73" s="123"/>
      <c r="X73" s="124"/>
      <c r="Y73" s="124"/>
      <c r="Z73" s="124"/>
      <c r="AA73" s="124"/>
      <c r="AB73" s="123"/>
      <c r="AC73" s="123"/>
      <c r="AD73" s="123"/>
      <c r="AE73" s="123"/>
      <c r="AF73" s="123"/>
    </row>
    <row r="74" spans="1:32">
      <c r="A74">
        <v>36</v>
      </c>
      <c r="B74">
        <v>1</v>
      </c>
      <c r="C74">
        <v>77</v>
      </c>
      <c r="D74">
        <v>0.23147507230108855</v>
      </c>
      <c r="E74">
        <v>7</v>
      </c>
      <c r="F74">
        <v>0</v>
      </c>
      <c r="G74">
        <v>8.6286656014084334E-2</v>
      </c>
      <c r="H74">
        <v>8640.2392279999931</v>
      </c>
      <c r="I74">
        <v>64</v>
      </c>
      <c r="J74">
        <v>180</v>
      </c>
      <c r="K74">
        <v>2</v>
      </c>
      <c r="L74">
        <v>2</v>
      </c>
      <c r="M74">
        <v>2</v>
      </c>
      <c r="N74">
        <v>1</v>
      </c>
      <c r="T74" s="124"/>
      <c r="U74" s="125"/>
      <c r="V74" s="124"/>
      <c r="W74" s="123"/>
      <c r="X74" s="124"/>
      <c r="Y74" s="124"/>
      <c r="Z74" s="124"/>
      <c r="AA74" s="124"/>
      <c r="AB74" s="123"/>
      <c r="AC74" s="123"/>
      <c r="AD74" s="123"/>
      <c r="AE74" s="123"/>
      <c r="AF74" s="123"/>
    </row>
    <row r="75" spans="1:32">
      <c r="A75">
        <v>36</v>
      </c>
      <c r="B75">
        <v>2</v>
      </c>
      <c r="C75">
        <v>85</v>
      </c>
      <c r="D75">
        <v>0.19754102268365309</v>
      </c>
      <c r="E75">
        <v>5</v>
      </c>
      <c r="F75">
        <v>0</v>
      </c>
      <c r="G75">
        <v>6.7170419300371431E-2</v>
      </c>
      <c r="H75">
        <v>10124.479324999991</v>
      </c>
      <c r="I75">
        <v>65</v>
      </c>
      <c r="J75">
        <v>180</v>
      </c>
      <c r="K75">
        <v>2</v>
      </c>
      <c r="L75">
        <v>1</v>
      </c>
      <c r="M75">
        <v>1</v>
      </c>
      <c r="N75">
        <v>1</v>
      </c>
      <c r="T75" s="124"/>
      <c r="U75" s="125"/>
      <c r="V75" s="124"/>
      <c r="W75" s="123"/>
      <c r="X75" s="124"/>
      <c r="Y75" s="124"/>
      <c r="Z75" s="124"/>
      <c r="AA75" s="124"/>
      <c r="AB75" s="123"/>
      <c r="AC75" s="123"/>
      <c r="AD75" s="123"/>
      <c r="AE75" s="123"/>
      <c r="AF75" s="123"/>
    </row>
    <row r="76" spans="1:32">
      <c r="A76">
        <v>37</v>
      </c>
      <c r="B76">
        <v>1</v>
      </c>
      <c r="C76">
        <v>266</v>
      </c>
      <c r="D76">
        <v>0.22695409236677386</v>
      </c>
      <c r="E76">
        <v>7</v>
      </c>
      <c r="F76">
        <v>0</v>
      </c>
      <c r="G76">
        <v>8.6394090465142709E-2</v>
      </c>
      <c r="H76">
        <v>8812.3548650000048</v>
      </c>
      <c r="I76">
        <v>68</v>
      </c>
      <c r="J76">
        <v>180</v>
      </c>
      <c r="K76">
        <v>3</v>
      </c>
      <c r="L76">
        <v>1</v>
      </c>
      <c r="M76">
        <v>2</v>
      </c>
      <c r="N76">
        <v>1</v>
      </c>
      <c r="T76" s="124"/>
      <c r="U76" s="125"/>
      <c r="V76" s="124"/>
      <c r="W76" s="123"/>
      <c r="X76" s="124"/>
      <c r="Y76" s="124"/>
      <c r="Z76" s="124"/>
      <c r="AA76" s="124"/>
      <c r="AB76" s="123"/>
      <c r="AC76" s="123"/>
      <c r="AD76" s="123"/>
      <c r="AE76" s="123"/>
      <c r="AF76" s="123"/>
    </row>
    <row r="77" spans="1:32">
      <c r="A77">
        <v>37</v>
      </c>
      <c r="B77">
        <v>2</v>
      </c>
      <c r="C77">
        <v>68</v>
      </c>
      <c r="D77">
        <v>0.20126735227949458</v>
      </c>
      <c r="E77">
        <v>5</v>
      </c>
      <c r="F77">
        <v>0</v>
      </c>
      <c r="G77">
        <v>6.7063792271912961E-2</v>
      </c>
      <c r="H77">
        <v>9937.0314029999936</v>
      </c>
      <c r="I77">
        <v>64</v>
      </c>
      <c r="J77">
        <v>180</v>
      </c>
      <c r="K77">
        <v>2</v>
      </c>
      <c r="L77">
        <v>1</v>
      </c>
      <c r="M77">
        <v>1</v>
      </c>
      <c r="N77">
        <v>1</v>
      </c>
      <c r="T77" s="124"/>
      <c r="U77" s="125"/>
      <c r="V77" s="124"/>
      <c r="W77" s="123"/>
      <c r="X77" s="124"/>
      <c r="Y77" s="124"/>
      <c r="Z77" s="124"/>
      <c r="AA77" s="124"/>
      <c r="AB77" s="123"/>
      <c r="AC77" s="123"/>
      <c r="AD77" s="123"/>
      <c r="AE77" s="123"/>
      <c r="AF77" s="123"/>
    </row>
    <row r="78" spans="1:32">
      <c r="A78">
        <v>38</v>
      </c>
      <c r="B78">
        <v>1</v>
      </c>
      <c r="C78">
        <v>17</v>
      </c>
      <c r="D78">
        <v>0.23239101472597712</v>
      </c>
      <c r="E78">
        <v>7</v>
      </c>
      <c r="F78">
        <v>0</v>
      </c>
      <c r="G78">
        <v>8.6265230514239996E-2</v>
      </c>
      <c r="H78">
        <v>8606.1847200000029</v>
      </c>
      <c r="I78">
        <v>62</v>
      </c>
      <c r="J78">
        <v>180</v>
      </c>
      <c r="K78">
        <v>2</v>
      </c>
      <c r="L78">
        <v>2</v>
      </c>
      <c r="M78">
        <v>2</v>
      </c>
      <c r="N78">
        <v>1</v>
      </c>
      <c r="T78" s="124"/>
      <c r="U78" s="125"/>
      <c r="V78" s="124"/>
      <c r="W78" s="123"/>
      <c r="X78" s="124"/>
      <c r="Y78" s="124"/>
      <c r="Z78" s="124"/>
      <c r="AA78" s="124"/>
      <c r="AB78" s="123"/>
      <c r="AC78" s="123"/>
      <c r="AD78" s="123"/>
      <c r="AE78" s="123"/>
      <c r="AF78" s="123"/>
    </row>
    <row r="79" spans="1:32">
      <c r="A79">
        <v>38</v>
      </c>
      <c r="B79">
        <v>2</v>
      </c>
      <c r="C79">
        <v>91</v>
      </c>
      <c r="D79">
        <v>0.20021384101569864</v>
      </c>
      <c r="E79">
        <v>5</v>
      </c>
      <c r="F79">
        <v>0</v>
      </c>
      <c r="G79">
        <v>6.709366942403365E-2</v>
      </c>
      <c r="H79">
        <v>9989.3193689999753</v>
      </c>
      <c r="I79">
        <v>63</v>
      </c>
      <c r="J79">
        <v>180</v>
      </c>
      <c r="K79">
        <v>2</v>
      </c>
      <c r="L79">
        <v>1</v>
      </c>
      <c r="M79">
        <v>1</v>
      </c>
      <c r="N79">
        <v>1</v>
      </c>
      <c r="T79" s="124"/>
      <c r="U79" s="125"/>
      <c r="V79" s="124"/>
      <c r="W79" s="123"/>
      <c r="X79" s="124"/>
      <c r="Y79" s="124"/>
      <c r="Z79" s="124"/>
      <c r="AA79" s="124"/>
      <c r="AB79" s="123"/>
      <c r="AC79" s="123"/>
      <c r="AD79" s="123"/>
      <c r="AE79" s="123"/>
      <c r="AF79" s="123"/>
    </row>
    <row r="80" spans="1:32">
      <c r="A80">
        <v>39</v>
      </c>
      <c r="B80">
        <v>1</v>
      </c>
      <c r="C80">
        <v>522</v>
      </c>
      <c r="D80">
        <v>0.22361762912459798</v>
      </c>
      <c r="E80">
        <v>7</v>
      </c>
      <c r="F80">
        <v>0</v>
      </c>
      <c r="G80">
        <v>8.6475223712175794E-2</v>
      </c>
      <c r="H80">
        <v>8943.8386759999848</v>
      </c>
      <c r="I80">
        <v>62</v>
      </c>
      <c r="J80">
        <v>180</v>
      </c>
      <c r="K80">
        <v>3</v>
      </c>
      <c r="L80">
        <v>1</v>
      </c>
      <c r="M80">
        <v>2</v>
      </c>
      <c r="N80">
        <v>1</v>
      </c>
      <c r="T80" s="124"/>
      <c r="U80" s="125"/>
      <c r="V80" s="124"/>
      <c r="W80" s="123"/>
      <c r="X80" s="124"/>
      <c r="Y80" s="124"/>
      <c r="Z80" s="124"/>
      <c r="AA80" s="124"/>
      <c r="AB80" s="123"/>
      <c r="AC80" s="123"/>
      <c r="AD80" s="123"/>
      <c r="AE80" s="123"/>
      <c r="AF80" s="123"/>
    </row>
    <row r="81" spans="1:32">
      <c r="A81">
        <v>39</v>
      </c>
      <c r="B81">
        <v>2</v>
      </c>
      <c r="C81">
        <v>79</v>
      </c>
      <c r="D81">
        <v>0.19840560781355676</v>
      </c>
      <c r="E81">
        <v>5</v>
      </c>
      <c r="F81">
        <v>0</v>
      </c>
      <c r="G81">
        <v>6.7145442007106509E-2</v>
      </c>
      <c r="H81">
        <v>10080.360238000001</v>
      </c>
      <c r="I81">
        <v>64</v>
      </c>
      <c r="J81">
        <v>180</v>
      </c>
      <c r="K81">
        <v>2</v>
      </c>
      <c r="L81">
        <v>1</v>
      </c>
      <c r="M81">
        <v>1</v>
      </c>
      <c r="N81">
        <v>1</v>
      </c>
      <c r="T81" s="124"/>
      <c r="U81" s="125"/>
      <c r="V81" s="124"/>
      <c r="W81" s="123"/>
      <c r="X81" s="124"/>
      <c r="Y81" s="124"/>
      <c r="Z81" s="124"/>
      <c r="AA81" s="124"/>
      <c r="AB81" s="123"/>
      <c r="AC81" s="123"/>
      <c r="AD81" s="123"/>
      <c r="AE81" s="123"/>
      <c r="AF81" s="123"/>
    </row>
    <row r="82" spans="1:32">
      <c r="A82">
        <v>40</v>
      </c>
      <c r="B82">
        <v>1</v>
      </c>
      <c r="C82">
        <v>3757</v>
      </c>
      <c r="D82">
        <v>0.23187691489847448</v>
      </c>
      <c r="E82">
        <v>7</v>
      </c>
      <c r="F82">
        <v>0</v>
      </c>
      <c r="G82">
        <v>8.6277242317971084E-2</v>
      </c>
      <c r="H82">
        <v>8625.2656969999989</v>
      </c>
      <c r="I82">
        <v>63</v>
      </c>
      <c r="J82">
        <v>180</v>
      </c>
      <c r="K82">
        <v>2</v>
      </c>
      <c r="L82">
        <v>2</v>
      </c>
      <c r="M82">
        <v>2</v>
      </c>
      <c r="N82">
        <v>1</v>
      </c>
      <c r="T82" s="124"/>
      <c r="U82" s="125"/>
      <c r="V82" s="124"/>
      <c r="W82" s="123"/>
      <c r="X82" s="124"/>
      <c r="Y82" s="124"/>
      <c r="Z82" s="124"/>
      <c r="AA82" s="124"/>
      <c r="AB82" s="123"/>
      <c r="AC82" s="123"/>
      <c r="AD82" s="123"/>
      <c r="AE82" s="123"/>
      <c r="AF82" s="123"/>
    </row>
    <row r="83" spans="1:32">
      <c r="A83">
        <v>40</v>
      </c>
      <c r="B83">
        <v>2</v>
      </c>
      <c r="C83">
        <v>154</v>
      </c>
      <c r="D83">
        <v>0.19907952751533251</v>
      </c>
      <c r="E83">
        <v>5</v>
      </c>
      <c r="F83">
        <v>0</v>
      </c>
      <c r="G83">
        <v>6.7126073342283099E-2</v>
      </c>
      <c r="H83">
        <v>10046.236420999974</v>
      </c>
      <c r="I83">
        <v>59</v>
      </c>
      <c r="J83">
        <v>180</v>
      </c>
      <c r="K83">
        <v>2</v>
      </c>
      <c r="L83">
        <v>1</v>
      </c>
      <c r="M83">
        <v>1</v>
      </c>
      <c r="N83">
        <v>1</v>
      </c>
      <c r="T83" s="124"/>
      <c r="U83" s="125"/>
      <c r="V83" s="124"/>
      <c r="W83" s="123"/>
      <c r="X83" s="124"/>
      <c r="Y83" s="124"/>
      <c r="Z83" s="124"/>
      <c r="AA83" s="124"/>
      <c r="AB83" s="123"/>
      <c r="AC83" s="123"/>
      <c r="AD83" s="123"/>
      <c r="AE83" s="123"/>
      <c r="AF83" s="123"/>
    </row>
    <row r="84" spans="1:32">
      <c r="A84">
        <v>41</v>
      </c>
      <c r="B84">
        <v>1</v>
      </c>
      <c r="C84">
        <v>7725</v>
      </c>
      <c r="D84">
        <v>0.22341537421271121</v>
      </c>
      <c r="E84">
        <v>17</v>
      </c>
      <c r="F84">
        <v>0</v>
      </c>
      <c r="G84">
        <v>0.18648019381164047</v>
      </c>
      <c r="H84">
        <v>8951.9354119999953</v>
      </c>
      <c r="I84">
        <v>65</v>
      </c>
      <c r="J84">
        <v>180</v>
      </c>
      <c r="K84">
        <v>4</v>
      </c>
      <c r="L84">
        <v>4</v>
      </c>
      <c r="M84">
        <v>6</v>
      </c>
      <c r="N84">
        <v>3</v>
      </c>
      <c r="T84" s="124"/>
      <c r="U84" s="125"/>
      <c r="V84" s="124"/>
      <c r="W84" s="123"/>
      <c r="X84" s="124"/>
      <c r="Y84" s="124"/>
      <c r="Z84" s="124"/>
      <c r="AA84" s="124"/>
      <c r="AB84" s="123"/>
      <c r="AC84" s="123"/>
      <c r="AD84" s="123"/>
      <c r="AE84" s="123"/>
      <c r="AF84" s="123"/>
    </row>
    <row r="85" spans="1:32">
      <c r="A85">
        <v>41</v>
      </c>
      <c r="B85">
        <v>2</v>
      </c>
      <c r="C85">
        <v>407</v>
      </c>
      <c r="D85">
        <v>0.17734023496483378</v>
      </c>
      <c r="E85">
        <v>9</v>
      </c>
      <c r="F85">
        <v>0</v>
      </c>
      <c r="G85">
        <v>0.10779908075566767</v>
      </c>
      <c r="H85">
        <v>11277.756570000012</v>
      </c>
      <c r="I85">
        <v>65</v>
      </c>
      <c r="J85">
        <v>180</v>
      </c>
      <c r="K85">
        <v>1</v>
      </c>
      <c r="L85">
        <v>4</v>
      </c>
      <c r="M85">
        <v>2</v>
      </c>
      <c r="N85">
        <v>2</v>
      </c>
      <c r="T85" s="124"/>
      <c r="U85" s="125"/>
      <c r="V85" s="124"/>
      <c r="W85" s="123"/>
      <c r="X85" s="124"/>
      <c r="Y85" s="124"/>
      <c r="Z85" s="124"/>
      <c r="AA85" s="124"/>
      <c r="AB85" s="123"/>
      <c r="AC85" s="123"/>
      <c r="AD85" s="123"/>
      <c r="AE85" s="123"/>
      <c r="AF85" s="123"/>
    </row>
    <row r="86" spans="1:32">
      <c r="A86">
        <v>42</v>
      </c>
      <c r="B86">
        <v>1</v>
      </c>
      <c r="C86">
        <v>6962</v>
      </c>
      <c r="D86">
        <v>0.21189774951905824</v>
      </c>
      <c r="E86">
        <v>19</v>
      </c>
      <c r="F86">
        <v>0</v>
      </c>
      <c r="G86">
        <v>0.20677353317235256</v>
      </c>
      <c r="H86">
        <v>9438.5145879999945</v>
      </c>
      <c r="I86">
        <v>66</v>
      </c>
      <c r="J86">
        <v>180</v>
      </c>
      <c r="K86">
        <v>3</v>
      </c>
      <c r="L86">
        <v>8</v>
      </c>
      <c r="M86">
        <v>6</v>
      </c>
      <c r="N86">
        <v>2</v>
      </c>
      <c r="T86" s="124"/>
      <c r="U86" s="125"/>
      <c r="V86" s="124"/>
      <c r="W86" s="123"/>
      <c r="X86" s="124"/>
      <c r="Y86" s="124"/>
      <c r="Z86" s="124"/>
      <c r="AA86" s="124"/>
      <c r="AB86" s="123"/>
      <c r="AC86" s="123"/>
      <c r="AD86" s="123"/>
      <c r="AE86" s="123"/>
      <c r="AF86" s="123"/>
    </row>
    <row r="87" spans="1:32">
      <c r="A87">
        <v>42</v>
      </c>
      <c r="B87">
        <v>2</v>
      </c>
      <c r="C87">
        <v>1709</v>
      </c>
      <c r="D87">
        <v>0.17030964994278475</v>
      </c>
      <c r="E87">
        <v>9</v>
      </c>
      <c r="F87">
        <v>0</v>
      </c>
      <c r="G87">
        <v>0.10804070816582609</v>
      </c>
      <c r="H87">
        <v>11743.315782000003</v>
      </c>
      <c r="I87">
        <v>64</v>
      </c>
      <c r="J87">
        <v>180</v>
      </c>
      <c r="K87">
        <v>1</v>
      </c>
      <c r="L87">
        <v>4</v>
      </c>
      <c r="M87">
        <v>3</v>
      </c>
      <c r="N87">
        <v>1</v>
      </c>
      <c r="T87" s="124"/>
      <c r="U87" s="125"/>
      <c r="V87" s="124"/>
      <c r="W87" s="123"/>
      <c r="X87" s="124"/>
      <c r="Y87" s="124"/>
      <c r="Z87" s="124"/>
      <c r="AA87" s="124"/>
      <c r="AB87" s="123"/>
      <c r="AC87" s="123"/>
      <c r="AD87" s="123"/>
      <c r="AE87" s="123"/>
      <c r="AF87" s="123"/>
    </row>
    <row r="88" spans="1:32">
      <c r="A88">
        <v>43</v>
      </c>
      <c r="B88">
        <v>1</v>
      </c>
      <c r="C88">
        <v>1894</v>
      </c>
      <c r="D88">
        <v>0.23845502866585308</v>
      </c>
      <c r="E88">
        <v>20</v>
      </c>
      <c r="F88">
        <v>0</v>
      </c>
      <c r="G88">
        <v>0.2161261676880499</v>
      </c>
      <c r="H88">
        <v>8387.3257409999896</v>
      </c>
      <c r="I88">
        <v>65</v>
      </c>
      <c r="J88">
        <v>180</v>
      </c>
      <c r="K88">
        <v>4</v>
      </c>
      <c r="L88">
        <v>6</v>
      </c>
      <c r="M88">
        <v>7</v>
      </c>
      <c r="N88">
        <v>3</v>
      </c>
      <c r="T88" s="124"/>
      <c r="U88" s="125"/>
      <c r="V88" s="124"/>
      <c r="W88" s="123"/>
      <c r="X88" s="124"/>
      <c r="Y88" s="124"/>
      <c r="Z88" s="124"/>
      <c r="AA88" s="124"/>
      <c r="AB88" s="123"/>
      <c r="AC88" s="123"/>
      <c r="AD88" s="123"/>
      <c r="AE88" s="123"/>
      <c r="AF88" s="123"/>
    </row>
    <row r="89" spans="1:32">
      <c r="A89">
        <v>43</v>
      </c>
      <c r="B89">
        <v>2</v>
      </c>
      <c r="C89">
        <v>2844</v>
      </c>
      <c r="D89">
        <v>0.1884100173575011</v>
      </c>
      <c r="E89">
        <v>10</v>
      </c>
      <c r="F89">
        <v>0</v>
      </c>
      <c r="G89">
        <v>0.11744343468753543</v>
      </c>
      <c r="H89">
        <v>10615.146837999984</v>
      </c>
      <c r="I89">
        <v>61</v>
      </c>
      <c r="J89">
        <v>180</v>
      </c>
      <c r="K89">
        <v>1</v>
      </c>
      <c r="L89">
        <v>5</v>
      </c>
      <c r="M89">
        <v>2</v>
      </c>
      <c r="N89">
        <v>2</v>
      </c>
      <c r="T89" s="124"/>
      <c r="U89" s="125"/>
      <c r="V89" s="124"/>
      <c r="W89" s="123"/>
      <c r="X89" s="124"/>
      <c r="Y89" s="124"/>
      <c r="Z89" s="124"/>
      <c r="AA89" s="124"/>
      <c r="AB89" s="123"/>
      <c r="AC89" s="123"/>
      <c r="AD89" s="123"/>
      <c r="AE89" s="123"/>
      <c r="AF89" s="123"/>
    </row>
    <row r="90" spans="1:32">
      <c r="A90">
        <v>44</v>
      </c>
      <c r="B90">
        <v>1</v>
      </c>
      <c r="C90">
        <v>8067</v>
      </c>
      <c r="D90">
        <v>0.22056310186917341</v>
      </c>
      <c r="E90">
        <v>16</v>
      </c>
      <c r="F90">
        <v>0</v>
      </c>
      <c r="G90">
        <v>0.17655092915561177</v>
      </c>
      <c r="H90">
        <v>9067.6998240000103</v>
      </c>
      <c r="I90">
        <v>66</v>
      </c>
      <c r="J90">
        <v>180</v>
      </c>
      <c r="K90">
        <v>3</v>
      </c>
      <c r="L90">
        <v>5</v>
      </c>
      <c r="M90">
        <v>5</v>
      </c>
      <c r="N90">
        <v>3</v>
      </c>
      <c r="T90" s="124"/>
      <c r="U90" s="125"/>
      <c r="V90" s="124"/>
      <c r="W90" s="123"/>
      <c r="X90" s="124"/>
      <c r="Y90" s="124"/>
      <c r="Z90" s="124"/>
      <c r="AA90" s="124"/>
      <c r="AB90" s="123"/>
      <c r="AC90" s="123"/>
      <c r="AD90" s="123"/>
      <c r="AE90" s="123"/>
      <c r="AF90" s="123"/>
    </row>
    <row r="91" spans="1:32">
      <c r="A91">
        <v>44</v>
      </c>
      <c r="B91">
        <v>2</v>
      </c>
      <c r="C91">
        <v>1369</v>
      </c>
      <c r="D91">
        <v>0.17409386893642673</v>
      </c>
      <c r="E91">
        <v>8</v>
      </c>
      <c r="F91">
        <v>0</v>
      </c>
      <c r="G91">
        <v>9.7909034553747581E-2</v>
      </c>
      <c r="H91">
        <v>11488.05533599999</v>
      </c>
      <c r="I91">
        <v>67</v>
      </c>
      <c r="J91">
        <v>180</v>
      </c>
      <c r="K91">
        <v>2</v>
      </c>
      <c r="L91">
        <v>2</v>
      </c>
      <c r="M91">
        <v>2</v>
      </c>
      <c r="N91">
        <v>2</v>
      </c>
      <c r="T91" s="124"/>
      <c r="U91" s="125"/>
      <c r="V91" s="124"/>
      <c r="W91" s="123"/>
      <c r="X91" s="124"/>
      <c r="Y91" s="124"/>
      <c r="Z91" s="124"/>
      <c r="AA91" s="124"/>
      <c r="AB91" s="123"/>
      <c r="AC91" s="123"/>
      <c r="AD91" s="123"/>
      <c r="AE91" s="123"/>
      <c r="AF91" s="123"/>
    </row>
    <row r="92" spans="1:32">
      <c r="A92">
        <v>45</v>
      </c>
      <c r="B92">
        <v>1</v>
      </c>
      <c r="C92">
        <v>1624</v>
      </c>
      <c r="D92">
        <v>0.23455735951447187</v>
      </c>
      <c r="E92">
        <v>21</v>
      </c>
      <c r="F92">
        <v>0</v>
      </c>
      <c r="G92">
        <v>0.22621500095796829</v>
      </c>
      <c r="H92">
        <v>8526.6989880000019</v>
      </c>
      <c r="I92">
        <v>66</v>
      </c>
      <c r="J92">
        <v>180</v>
      </c>
      <c r="K92">
        <v>3</v>
      </c>
      <c r="L92">
        <v>7</v>
      </c>
      <c r="M92">
        <v>8</v>
      </c>
      <c r="N92">
        <v>3</v>
      </c>
      <c r="T92" s="124"/>
      <c r="U92" s="125"/>
      <c r="V92" s="124"/>
      <c r="W92" s="123"/>
      <c r="X92" s="124"/>
      <c r="Y92" s="124"/>
      <c r="Z92" s="124"/>
      <c r="AA92" s="124"/>
      <c r="AB92" s="123"/>
      <c r="AC92" s="123"/>
      <c r="AD92" s="123"/>
      <c r="AE92" s="123"/>
      <c r="AF92" s="123"/>
    </row>
    <row r="93" spans="1:32">
      <c r="A93">
        <v>45</v>
      </c>
      <c r="B93">
        <v>2</v>
      </c>
      <c r="C93">
        <v>1043</v>
      </c>
      <c r="D93">
        <v>0.18345725420467335</v>
      </c>
      <c r="E93">
        <v>9</v>
      </c>
      <c r="F93">
        <v>0</v>
      </c>
      <c r="G93">
        <v>0.10759901535792257</v>
      </c>
      <c r="H93">
        <v>10901.72208599998</v>
      </c>
      <c r="I93">
        <v>65</v>
      </c>
      <c r="J93">
        <v>180</v>
      </c>
      <c r="K93">
        <v>2</v>
      </c>
      <c r="L93">
        <v>3</v>
      </c>
      <c r="M93">
        <v>2</v>
      </c>
      <c r="N93">
        <v>2</v>
      </c>
      <c r="T93" s="124"/>
      <c r="U93" s="125"/>
      <c r="V93" s="124"/>
      <c r="W93" s="123"/>
      <c r="X93" s="124"/>
      <c r="Y93" s="124"/>
      <c r="Z93" s="124"/>
      <c r="AA93" s="124"/>
      <c r="AB93" s="123"/>
      <c r="AC93" s="123"/>
      <c r="AD93" s="123"/>
      <c r="AE93" s="123"/>
      <c r="AF93" s="123"/>
    </row>
    <row r="94" spans="1:32">
      <c r="A94">
        <v>46</v>
      </c>
      <c r="B94">
        <v>1</v>
      </c>
      <c r="C94">
        <v>1122</v>
      </c>
      <c r="D94">
        <v>0.22344732034615855</v>
      </c>
      <c r="E94">
        <v>24</v>
      </c>
      <c r="F94">
        <v>0</v>
      </c>
      <c r="G94">
        <v>0.25647940838630023</v>
      </c>
      <c r="H94">
        <v>8950.6555590000098</v>
      </c>
      <c r="I94">
        <v>66</v>
      </c>
      <c r="J94">
        <v>180</v>
      </c>
      <c r="K94">
        <v>3</v>
      </c>
      <c r="L94">
        <v>8</v>
      </c>
      <c r="M94">
        <v>10</v>
      </c>
      <c r="N94">
        <v>3</v>
      </c>
      <c r="T94" s="124"/>
      <c r="U94" s="125"/>
      <c r="V94" s="124"/>
      <c r="W94" s="123"/>
      <c r="X94" s="124"/>
      <c r="Y94" s="124"/>
      <c r="Z94" s="124"/>
      <c r="AA94" s="124"/>
      <c r="AB94" s="123"/>
      <c r="AC94" s="123"/>
      <c r="AD94" s="123"/>
      <c r="AE94" s="123"/>
      <c r="AF94" s="123"/>
    </row>
    <row r="95" spans="1:32">
      <c r="A95">
        <v>46</v>
      </c>
      <c r="B95">
        <v>2</v>
      </c>
      <c r="C95">
        <v>940</v>
      </c>
      <c r="D95">
        <v>0.17228963885783649</v>
      </c>
      <c r="E95">
        <v>9</v>
      </c>
      <c r="F95">
        <v>0</v>
      </c>
      <c r="G95">
        <v>0.10797133251391221</v>
      </c>
      <c r="H95">
        <v>11608.359116999978</v>
      </c>
      <c r="I95">
        <v>61</v>
      </c>
      <c r="J95">
        <v>180</v>
      </c>
      <c r="K95">
        <v>1</v>
      </c>
      <c r="L95">
        <v>3</v>
      </c>
      <c r="M95">
        <v>3</v>
      </c>
      <c r="N95">
        <v>2</v>
      </c>
      <c r="T95" s="124"/>
      <c r="U95" s="125"/>
      <c r="V95" s="124"/>
      <c r="W95" s="123"/>
      <c r="X95" s="124"/>
      <c r="Y95" s="124"/>
      <c r="Z95" s="124"/>
      <c r="AA95" s="124"/>
      <c r="AB95" s="123"/>
      <c r="AC95" s="123"/>
      <c r="AD95" s="123"/>
      <c r="AE95" s="123"/>
      <c r="AF95" s="123"/>
    </row>
    <row r="96" spans="1:32">
      <c r="A96">
        <v>47</v>
      </c>
      <c r="B96">
        <v>1</v>
      </c>
      <c r="C96">
        <v>3834</v>
      </c>
      <c r="D96">
        <v>0.22385223197192761</v>
      </c>
      <c r="E96">
        <v>15</v>
      </c>
      <c r="F96">
        <v>0</v>
      </c>
      <c r="G96">
        <v>0.1664694662155167</v>
      </c>
      <c r="H96">
        <v>8934.4653050000052</v>
      </c>
      <c r="I96">
        <v>67</v>
      </c>
      <c r="J96">
        <v>180</v>
      </c>
      <c r="K96">
        <v>3</v>
      </c>
      <c r="L96">
        <v>5</v>
      </c>
      <c r="M96">
        <v>5</v>
      </c>
      <c r="N96">
        <v>2</v>
      </c>
      <c r="T96" s="124"/>
      <c r="U96" s="125"/>
      <c r="V96" s="124"/>
      <c r="W96" s="123"/>
      <c r="X96" s="124"/>
      <c r="Y96" s="124"/>
      <c r="Z96" s="124"/>
      <c r="AA96" s="124"/>
      <c r="AB96" s="123"/>
      <c r="AC96" s="123"/>
      <c r="AD96" s="123"/>
      <c r="AE96" s="123"/>
      <c r="AF96" s="123"/>
    </row>
    <row r="97" spans="1:32">
      <c r="A97">
        <v>47</v>
      </c>
      <c r="B97">
        <v>2</v>
      </c>
      <c r="C97">
        <v>3872</v>
      </c>
      <c r="D97">
        <v>0.17932048612206775</v>
      </c>
      <c r="E97">
        <v>8</v>
      </c>
      <c r="F97">
        <v>0</v>
      </c>
      <c r="G97">
        <v>9.7733319174589536E-2</v>
      </c>
      <c r="H97">
        <v>11153.215359000043</v>
      </c>
      <c r="I97">
        <v>67</v>
      </c>
      <c r="J97">
        <v>180</v>
      </c>
      <c r="K97">
        <v>2</v>
      </c>
      <c r="L97">
        <v>2</v>
      </c>
      <c r="M97">
        <v>3</v>
      </c>
      <c r="N97">
        <v>1</v>
      </c>
      <c r="T97" s="124"/>
      <c r="U97" s="125"/>
      <c r="V97" s="124"/>
      <c r="W97" s="123"/>
      <c r="X97" s="124"/>
      <c r="Y97" s="124"/>
      <c r="Z97" s="124"/>
      <c r="AA97" s="124"/>
      <c r="AB97" s="123"/>
      <c r="AC97" s="123"/>
      <c r="AD97" s="123"/>
      <c r="AE97" s="123"/>
      <c r="AF97" s="123"/>
    </row>
    <row r="98" spans="1:32">
      <c r="A98">
        <v>48</v>
      </c>
      <c r="B98">
        <v>1</v>
      </c>
      <c r="C98">
        <v>3801</v>
      </c>
      <c r="D98">
        <v>0.21860846431007058</v>
      </c>
      <c r="E98">
        <v>14</v>
      </c>
      <c r="F98">
        <v>0</v>
      </c>
      <c r="G98">
        <v>0.15660011164281135</v>
      </c>
      <c r="H98">
        <v>9148.7765870000057</v>
      </c>
      <c r="I98">
        <v>64</v>
      </c>
      <c r="J98">
        <v>180</v>
      </c>
      <c r="K98">
        <v>3</v>
      </c>
      <c r="L98">
        <v>4</v>
      </c>
      <c r="M98">
        <v>5</v>
      </c>
      <c r="N98">
        <v>2</v>
      </c>
      <c r="T98" s="124"/>
      <c r="U98" s="125"/>
      <c r="V98" s="124"/>
      <c r="W98" s="123"/>
      <c r="X98" s="124"/>
      <c r="Y98" s="124"/>
      <c r="Z98" s="124"/>
      <c r="AA98" s="124"/>
      <c r="AB98" s="123"/>
      <c r="AC98" s="123"/>
      <c r="AD98" s="123"/>
      <c r="AE98" s="123"/>
      <c r="AF98" s="123"/>
    </row>
    <row r="99" spans="1:32">
      <c r="A99">
        <v>48</v>
      </c>
      <c r="B99">
        <v>2</v>
      </c>
      <c r="C99">
        <v>3752</v>
      </c>
      <c r="D99">
        <v>0.17937229182172373</v>
      </c>
      <c r="E99">
        <v>8</v>
      </c>
      <c r="F99">
        <v>0</v>
      </c>
      <c r="G99">
        <v>9.7731611784416195E-2</v>
      </c>
      <c r="H99">
        <v>11149.994124999972</v>
      </c>
      <c r="I99">
        <v>68</v>
      </c>
      <c r="J99">
        <v>180</v>
      </c>
      <c r="K99">
        <v>2</v>
      </c>
      <c r="L99">
        <v>2</v>
      </c>
      <c r="M99">
        <v>3</v>
      </c>
      <c r="N99">
        <v>1</v>
      </c>
      <c r="T99" s="124"/>
      <c r="U99" s="125"/>
      <c r="V99" s="124"/>
      <c r="W99" s="123"/>
      <c r="X99" s="124"/>
      <c r="Y99" s="124"/>
      <c r="Z99" s="124"/>
      <c r="AA99" s="124"/>
      <c r="AB99" s="123"/>
      <c r="AC99" s="123"/>
      <c r="AD99" s="123"/>
      <c r="AE99" s="123"/>
      <c r="AF99" s="123"/>
    </row>
    <row r="100" spans="1:32">
      <c r="A100">
        <v>49</v>
      </c>
      <c r="B100">
        <v>1</v>
      </c>
      <c r="C100">
        <v>1425</v>
      </c>
      <c r="D100">
        <v>0.22792388519598034</v>
      </c>
      <c r="E100">
        <v>15</v>
      </c>
      <c r="F100">
        <v>0</v>
      </c>
      <c r="G100">
        <v>0.16637080568277959</v>
      </c>
      <c r="H100">
        <v>8774.8591960000158</v>
      </c>
      <c r="I100">
        <v>66</v>
      </c>
      <c r="J100">
        <v>180</v>
      </c>
      <c r="K100">
        <v>3</v>
      </c>
      <c r="L100">
        <v>5</v>
      </c>
      <c r="M100">
        <v>5</v>
      </c>
      <c r="N100">
        <v>2</v>
      </c>
      <c r="T100" s="124"/>
      <c r="U100" s="125"/>
      <c r="V100" s="124"/>
      <c r="W100" s="123"/>
      <c r="X100" s="124"/>
      <c r="Y100" s="124"/>
      <c r="Z100" s="124"/>
      <c r="AA100" s="124"/>
      <c r="AB100" s="123"/>
      <c r="AC100" s="123"/>
      <c r="AD100" s="123"/>
      <c r="AE100" s="123"/>
      <c r="AF100" s="123"/>
    </row>
    <row r="101" spans="1:32">
      <c r="A101">
        <v>49</v>
      </c>
      <c r="B101">
        <v>2</v>
      </c>
      <c r="C101">
        <v>633</v>
      </c>
      <c r="D101">
        <v>0.18122309798270225</v>
      </c>
      <c r="E101">
        <v>8</v>
      </c>
      <c r="F101">
        <v>0</v>
      </c>
      <c r="G101">
        <v>9.7671041625213548E-2</v>
      </c>
      <c r="H101">
        <v>11036.120794</v>
      </c>
      <c r="I101">
        <v>65</v>
      </c>
      <c r="J101">
        <v>180</v>
      </c>
      <c r="K101">
        <v>2</v>
      </c>
      <c r="L101">
        <v>2</v>
      </c>
      <c r="M101">
        <v>2</v>
      </c>
      <c r="N101">
        <v>2</v>
      </c>
      <c r="T101" s="124"/>
      <c r="U101" s="125"/>
      <c r="V101" s="124"/>
      <c r="W101" s="123"/>
      <c r="X101" s="124"/>
      <c r="Y101" s="124"/>
      <c r="Z101" s="124"/>
      <c r="AA101" s="124"/>
      <c r="AB101" s="123"/>
      <c r="AC101" s="123"/>
      <c r="AD101" s="123"/>
      <c r="AE101" s="123"/>
      <c r="AF101" s="123"/>
    </row>
    <row r="102" spans="1:32">
      <c r="A102">
        <v>50</v>
      </c>
      <c r="B102">
        <v>1</v>
      </c>
      <c r="C102">
        <v>2868</v>
      </c>
      <c r="D102">
        <v>0.23860851944837166</v>
      </c>
      <c r="E102">
        <v>25</v>
      </c>
      <c r="F102">
        <v>0</v>
      </c>
      <c r="G102">
        <v>0.266122709095371</v>
      </c>
      <c r="H102">
        <v>8381.9303880000189</v>
      </c>
      <c r="I102">
        <v>63</v>
      </c>
      <c r="J102">
        <v>180</v>
      </c>
      <c r="K102">
        <v>6</v>
      </c>
      <c r="L102">
        <v>8</v>
      </c>
      <c r="M102">
        <v>8</v>
      </c>
      <c r="N102">
        <v>3</v>
      </c>
      <c r="T102" s="124"/>
      <c r="U102" s="125"/>
      <c r="V102" s="124"/>
      <c r="W102" s="123"/>
      <c r="X102" s="124"/>
      <c r="Y102" s="124"/>
      <c r="Z102" s="124"/>
      <c r="AA102" s="124"/>
      <c r="AB102" s="123"/>
      <c r="AC102" s="123"/>
      <c r="AD102" s="123"/>
      <c r="AE102" s="123"/>
      <c r="AF102" s="123"/>
    </row>
    <row r="103" spans="1:32">
      <c r="A103">
        <v>50</v>
      </c>
      <c r="B103">
        <v>2</v>
      </c>
      <c r="C103">
        <v>1464</v>
      </c>
      <c r="D103">
        <v>0.18289891012884196</v>
      </c>
      <c r="E103">
        <v>9</v>
      </c>
      <c r="F103">
        <v>0</v>
      </c>
      <c r="G103">
        <v>0.10761690561181092</v>
      </c>
      <c r="H103">
        <v>10935.002284000013</v>
      </c>
      <c r="I103">
        <v>63</v>
      </c>
      <c r="J103">
        <v>180</v>
      </c>
      <c r="K103">
        <v>2</v>
      </c>
      <c r="L103">
        <v>2</v>
      </c>
      <c r="M103">
        <v>3</v>
      </c>
      <c r="N103">
        <v>2</v>
      </c>
      <c r="T103" s="124"/>
      <c r="U103" s="125"/>
      <c r="V103" s="124"/>
      <c r="W103" s="123"/>
      <c r="X103" s="124"/>
      <c r="Y103" s="124"/>
      <c r="Z103" s="124"/>
      <c r="AA103" s="124"/>
      <c r="AB103" s="123"/>
      <c r="AC103" s="123"/>
      <c r="AD103" s="123"/>
      <c r="AE103" s="123"/>
      <c r="AF103" s="123"/>
    </row>
    <row r="104" spans="1:32">
      <c r="A104">
        <v>51</v>
      </c>
      <c r="B104">
        <v>1</v>
      </c>
      <c r="C104">
        <v>823</v>
      </c>
      <c r="D104">
        <v>0.23500539005248844</v>
      </c>
      <c r="E104">
        <v>8</v>
      </c>
      <c r="F104">
        <v>0</v>
      </c>
      <c r="G104">
        <v>9.6204689936005117E-2</v>
      </c>
      <c r="H104">
        <v>8510.4430989999855</v>
      </c>
      <c r="I104">
        <v>66</v>
      </c>
      <c r="J104">
        <v>180</v>
      </c>
      <c r="K104">
        <v>2</v>
      </c>
      <c r="L104">
        <v>2</v>
      </c>
      <c r="M104">
        <v>2</v>
      </c>
      <c r="N104">
        <v>2</v>
      </c>
      <c r="T104" s="124"/>
      <c r="U104" s="125"/>
      <c r="V104" s="124"/>
      <c r="W104" s="123"/>
      <c r="X104" s="124"/>
      <c r="Y104" s="124"/>
      <c r="Z104" s="124"/>
      <c r="AA104" s="124"/>
      <c r="AB104" s="123"/>
      <c r="AC104" s="123"/>
      <c r="AD104" s="123"/>
      <c r="AE104" s="123"/>
      <c r="AF104" s="123"/>
    </row>
    <row r="105" spans="1:32">
      <c r="A105">
        <v>51</v>
      </c>
      <c r="B105">
        <v>2</v>
      </c>
      <c r="C105">
        <v>823</v>
      </c>
      <c r="D105">
        <v>0.20955195349072714</v>
      </c>
      <c r="E105">
        <v>6</v>
      </c>
      <c r="F105">
        <v>0</v>
      </c>
      <c r="G105">
        <v>7.6835890614610089E-2</v>
      </c>
      <c r="H105">
        <v>9544.1725389999847</v>
      </c>
      <c r="I105">
        <v>66</v>
      </c>
      <c r="J105">
        <v>180</v>
      </c>
      <c r="K105">
        <v>1</v>
      </c>
      <c r="L105">
        <v>2</v>
      </c>
      <c r="M105">
        <v>2</v>
      </c>
      <c r="N105">
        <v>1</v>
      </c>
      <c r="T105" s="124"/>
      <c r="U105" s="125"/>
      <c r="V105" s="124"/>
      <c r="W105" s="123"/>
      <c r="X105" s="124"/>
      <c r="Y105" s="124"/>
      <c r="Z105" s="124"/>
      <c r="AA105" s="124"/>
      <c r="AB105" s="123"/>
      <c r="AC105" s="123"/>
      <c r="AD105" s="123"/>
      <c r="AE105" s="123"/>
      <c r="AF105" s="123"/>
    </row>
    <row r="106" spans="1:32">
      <c r="A106">
        <v>52</v>
      </c>
      <c r="B106">
        <v>1</v>
      </c>
      <c r="C106">
        <v>1317</v>
      </c>
      <c r="D106">
        <v>0.2352225547822879</v>
      </c>
      <c r="E106">
        <v>8</v>
      </c>
      <c r="F106">
        <v>0</v>
      </c>
      <c r="G106">
        <v>9.6199701510402316E-2</v>
      </c>
      <c r="H106">
        <v>8502.585994999994</v>
      </c>
      <c r="I106">
        <v>67</v>
      </c>
      <c r="J106">
        <v>180</v>
      </c>
      <c r="K106">
        <v>2</v>
      </c>
      <c r="L106">
        <v>2</v>
      </c>
      <c r="M106">
        <v>2</v>
      </c>
      <c r="N106">
        <v>2</v>
      </c>
      <c r="T106" s="124"/>
      <c r="U106" s="125"/>
      <c r="V106" s="124"/>
      <c r="W106" s="123"/>
      <c r="X106" s="124"/>
      <c r="Y106" s="124"/>
      <c r="Z106" s="124"/>
      <c r="AA106" s="124"/>
      <c r="AB106" s="123"/>
      <c r="AC106" s="123"/>
      <c r="AD106" s="123"/>
      <c r="AE106" s="123"/>
      <c r="AF106" s="123"/>
    </row>
    <row r="107" spans="1:32">
      <c r="A107">
        <v>52</v>
      </c>
      <c r="B107">
        <v>2</v>
      </c>
      <c r="C107">
        <v>4005</v>
      </c>
      <c r="D107">
        <v>0.21021181598860336</v>
      </c>
      <c r="E107">
        <v>6</v>
      </c>
      <c r="F107">
        <v>0</v>
      </c>
      <c r="G107">
        <v>7.6818255993172199E-2</v>
      </c>
      <c r="H107">
        <v>9514.2130359999846</v>
      </c>
      <c r="I107">
        <v>60</v>
      </c>
      <c r="J107">
        <v>180</v>
      </c>
      <c r="K107">
        <v>1</v>
      </c>
      <c r="L107">
        <v>2</v>
      </c>
      <c r="M107">
        <v>2</v>
      </c>
      <c r="N107">
        <v>1</v>
      </c>
      <c r="T107" s="124"/>
      <c r="U107" s="125"/>
      <c r="V107" s="124"/>
      <c r="W107" s="123"/>
      <c r="X107" s="124"/>
      <c r="Y107" s="124"/>
      <c r="Z107" s="124"/>
      <c r="AA107" s="124"/>
      <c r="AB107" s="123"/>
      <c r="AC107" s="123"/>
      <c r="AD107" s="123"/>
      <c r="AE107" s="123"/>
      <c r="AF107" s="123"/>
    </row>
    <row r="108" spans="1:32">
      <c r="A108">
        <v>53</v>
      </c>
      <c r="B108">
        <v>1</v>
      </c>
      <c r="C108">
        <v>633</v>
      </c>
      <c r="D108">
        <v>0.22756676297710812</v>
      </c>
      <c r="E108">
        <v>8</v>
      </c>
      <c r="F108">
        <v>0</v>
      </c>
      <c r="G108">
        <v>9.6379364816199187E-2</v>
      </c>
      <c r="H108">
        <v>8788.6296479999946</v>
      </c>
      <c r="I108">
        <v>62</v>
      </c>
      <c r="J108">
        <v>180</v>
      </c>
      <c r="K108">
        <v>1</v>
      </c>
      <c r="L108">
        <v>3</v>
      </c>
      <c r="M108">
        <v>3</v>
      </c>
      <c r="N108">
        <v>1</v>
      </c>
      <c r="T108" s="124"/>
      <c r="U108" s="125"/>
      <c r="V108" s="124"/>
      <c r="W108" s="123"/>
      <c r="X108" s="124"/>
      <c r="Y108" s="124"/>
      <c r="Z108" s="124"/>
      <c r="AA108" s="124"/>
      <c r="AB108" s="123"/>
      <c r="AC108" s="123"/>
      <c r="AD108" s="123"/>
      <c r="AE108" s="123"/>
      <c r="AF108" s="123"/>
    </row>
    <row r="109" spans="1:32">
      <c r="A109">
        <v>53</v>
      </c>
      <c r="B109">
        <v>2</v>
      </c>
      <c r="C109">
        <v>1505</v>
      </c>
      <c r="D109">
        <v>0.21034698988798295</v>
      </c>
      <c r="E109">
        <v>6</v>
      </c>
      <c r="F109">
        <v>0</v>
      </c>
      <c r="G109">
        <v>7.6814652619533519E-2</v>
      </c>
      <c r="H109">
        <v>9508.0989799999952</v>
      </c>
      <c r="I109">
        <v>62</v>
      </c>
      <c r="J109">
        <v>180</v>
      </c>
      <c r="K109">
        <v>1</v>
      </c>
      <c r="L109">
        <v>2</v>
      </c>
      <c r="M109">
        <v>2</v>
      </c>
      <c r="N109">
        <v>1</v>
      </c>
      <c r="T109" s="124"/>
      <c r="U109" s="125"/>
      <c r="V109" s="124"/>
      <c r="W109" s="123"/>
      <c r="X109" s="124"/>
      <c r="Y109" s="124"/>
      <c r="Z109" s="124"/>
      <c r="AA109" s="124"/>
      <c r="AB109" s="123"/>
      <c r="AC109" s="123"/>
      <c r="AD109" s="123"/>
      <c r="AE109" s="123"/>
      <c r="AF109" s="123"/>
    </row>
    <row r="110" spans="1:32">
      <c r="A110">
        <v>54</v>
      </c>
      <c r="B110">
        <v>1</v>
      </c>
      <c r="C110">
        <v>880</v>
      </c>
      <c r="D110">
        <v>0.23190701133380712</v>
      </c>
      <c r="E110">
        <v>8</v>
      </c>
      <c r="F110">
        <v>0</v>
      </c>
      <c r="G110">
        <v>9.6276538144688131E-2</v>
      </c>
      <c r="H110">
        <v>8624.1463270000004</v>
      </c>
      <c r="I110">
        <v>62</v>
      </c>
      <c r="J110">
        <v>180</v>
      </c>
      <c r="K110">
        <v>2</v>
      </c>
      <c r="L110">
        <v>2</v>
      </c>
      <c r="M110">
        <v>2</v>
      </c>
      <c r="N110">
        <v>2</v>
      </c>
      <c r="T110" s="124"/>
      <c r="U110" s="125"/>
      <c r="V110" s="124"/>
      <c r="W110" s="123"/>
      <c r="X110" s="124"/>
      <c r="Y110" s="124"/>
      <c r="Z110" s="124"/>
      <c r="AA110" s="124"/>
      <c r="AB110" s="123"/>
      <c r="AC110" s="123"/>
      <c r="AD110" s="123"/>
      <c r="AE110" s="123"/>
      <c r="AF110" s="123"/>
    </row>
    <row r="111" spans="1:32">
      <c r="A111">
        <v>54</v>
      </c>
      <c r="B111">
        <v>2</v>
      </c>
      <c r="C111">
        <v>630</v>
      </c>
      <c r="D111">
        <v>0.20729752852015443</v>
      </c>
      <c r="E111">
        <v>6</v>
      </c>
      <c r="F111">
        <v>0</v>
      </c>
      <c r="G111">
        <v>7.6896702540483655E-2</v>
      </c>
      <c r="H111">
        <v>9647.968377999985</v>
      </c>
      <c r="I111">
        <v>62</v>
      </c>
      <c r="J111">
        <v>180</v>
      </c>
      <c r="K111">
        <v>1</v>
      </c>
      <c r="L111">
        <v>2</v>
      </c>
      <c r="M111">
        <v>2</v>
      </c>
      <c r="N111">
        <v>1</v>
      </c>
      <c r="T111" s="124"/>
      <c r="U111" s="125"/>
      <c r="V111" s="124"/>
      <c r="W111" s="123"/>
      <c r="X111" s="124"/>
      <c r="Y111" s="124"/>
      <c r="Z111" s="124"/>
      <c r="AA111" s="124"/>
      <c r="AB111" s="123"/>
      <c r="AC111" s="123"/>
      <c r="AD111" s="123"/>
      <c r="AE111" s="123"/>
      <c r="AF111" s="123"/>
    </row>
    <row r="112" spans="1:32">
      <c r="A112">
        <v>55</v>
      </c>
      <c r="B112">
        <v>1</v>
      </c>
      <c r="C112">
        <v>1212</v>
      </c>
      <c r="D112">
        <v>0.23722788690719915</v>
      </c>
      <c r="E112">
        <v>9</v>
      </c>
      <c r="F112">
        <v>0</v>
      </c>
      <c r="G112">
        <v>0.106153925905156</v>
      </c>
      <c r="H112">
        <v>8430.712029999986</v>
      </c>
      <c r="I112">
        <v>55</v>
      </c>
      <c r="J112">
        <v>180</v>
      </c>
      <c r="K112">
        <v>1</v>
      </c>
      <c r="L112">
        <v>4</v>
      </c>
      <c r="M112">
        <v>2</v>
      </c>
      <c r="N112">
        <v>2</v>
      </c>
      <c r="T112" s="124"/>
      <c r="U112" s="125"/>
      <c r="V112" s="124"/>
      <c r="W112" s="123"/>
      <c r="X112" s="124"/>
      <c r="Y112" s="124"/>
      <c r="Z112" s="124"/>
      <c r="AA112" s="124"/>
      <c r="AB112" s="123"/>
      <c r="AC112" s="123"/>
      <c r="AD112" s="123"/>
      <c r="AE112" s="123"/>
      <c r="AF112" s="123"/>
    </row>
    <row r="113" spans="1:32">
      <c r="A113">
        <v>55</v>
      </c>
      <c r="B113">
        <v>2</v>
      </c>
      <c r="C113">
        <v>2456</v>
      </c>
      <c r="D113">
        <v>0.21236227066419056</v>
      </c>
      <c r="E113">
        <v>6</v>
      </c>
      <c r="F113">
        <v>0</v>
      </c>
      <c r="G113">
        <v>7.6761294104202182E-2</v>
      </c>
      <c r="H113">
        <v>9417.8687849999933</v>
      </c>
      <c r="I113">
        <v>60</v>
      </c>
      <c r="J113">
        <v>180</v>
      </c>
      <c r="K113">
        <v>1</v>
      </c>
      <c r="L113">
        <v>2</v>
      </c>
      <c r="M113">
        <v>2</v>
      </c>
      <c r="N113">
        <v>1</v>
      </c>
      <c r="T113" s="124"/>
      <c r="U113" s="125"/>
      <c r="V113" s="124"/>
      <c r="W113" s="123"/>
      <c r="X113" s="124"/>
      <c r="Y113" s="124"/>
      <c r="Z113" s="124"/>
      <c r="AA113" s="124"/>
      <c r="AB113" s="123"/>
      <c r="AC113" s="123"/>
      <c r="AD113" s="123"/>
      <c r="AE113" s="123"/>
      <c r="AF113" s="123"/>
    </row>
    <row r="114" spans="1:32">
      <c r="A114">
        <v>56</v>
      </c>
      <c r="B114">
        <v>1</v>
      </c>
      <c r="C114">
        <v>937</v>
      </c>
      <c r="D114">
        <v>0.22988730603335553</v>
      </c>
      <c r="E114">
        <v>8</v>
      </c>
      <c r="F114">
        <v>0</v>
      </c>
      <c r="G114">
        <v>9.6324065787238969E-2</v>
      </c>
      <c r="H114">
        <v>8699.9149040000048</v>
      </c>
      <c r="I114">
        <v>67</v>
      </c>
      <c r="J114">
        <v>180</v>
      </c>
      <c r="K114">
        <v>2</v>
      </c>
      <c r="L114">
        <v>2</v>
      </c>
      <c r="M114">
        <v>3</v>
      </c>
      <c r="N114">
        <v>1</v>
      </c>
      <c r="T114" s="124"/>
      <c r="U114" s="125"/>
      <c r="V114" s="124"/>
      <c r="W114" s="123"/>
      <c r="X114" s="124"/>
      <c r="Y114" s="124"/>
      <c r="Z114" s="124"/>
      <c r="AA114" s="124"/>
      <c r="AB114" s="123"/>
      <c r="AC114" s="123"/>
      <c r="AD114" s="123"/>
      <c r="AE114" s="123"/>
      <c r="AF114" s="123"/>
    </row>
    <row r="115" spans="1:32">
      <c r="A115">
        <v>56</v>
      </c>
      <c r="B115">
        <v>2</v>
      </c>
      <c r="C115">
        <v>774</v>
      </c>
      <c r="D115">
        <v>0.20939637341567077</v>
      </c>
      <c r="E115">
        <v>6</v>
      </c>
      <c r="F115">
        <v>0</v>
      </c>
      <c r="G115">
        <v>7.6840059232935604E-2</v>
      </c>
      <c r="H115">
        <v>9551.2637939999986</v>
      </c>
      <c r="I115">
        <v>61</v>
      </c>
      <c r="J115">
        <v>180</v>
      </c>
      <c r="K115">
        <v>1</v>
      </c>
      <c r="L115">
        <v>2</v>
      </c>
      <c r="M115">
        <v>2</v>
      </c>
      <c r="N115">
        <v>1</v>
      </c>
      <c r="T115" s="124"/>
      <c r="U115" s="125"/>
      <c r="V115" s="124"/>
      <c r="W115" s="123"/>
      <c r="X115" s="124"/>
      <c r="Y115" s="124"/>
      <c r="Z115" s="124"/>
      <c r="AA115" s="124"/>
      <c r="AB115" s="123"/>
      <c r="AC115" s="123"/>
      <c r="AD115" s="123"/>
      <c r="AE115" s="123"/>
      <c r="AF115" s="123"/>
    </row>
    <row r="116" spans="1:32">
      <c r="A116">
        <v>57</v>
      </c>
      <c r="B116">
        <v>1</v>
      </c>
      <c r="C116">
        <v>1617</v>
      </c>
      <c r="D116">
        <v>0.22886479408194438</v>
      </c>
      <c r="E116">
        <v>8</v>
      </c>
      <c r="F116">
        <v>0</v>
      </c>
      <c r="G116">
        <v>9.6348340317274794E-2</v>
      </c>
      <c r="H116">
        <v>8738.7839970000186</v>
      </c>
      <c r="I116">
        <v>55</v>
      </c>
      <c r="J116">
        <v>180</v>
      </c>
      <c r="K116">
        <v>1</v>
      </c>
      <c r="L116">
        <v>3</v>
      </c>
      <c r="M116">
        <v>2</v>
      </c>
      <c r="N116">
        <v>2</v>
      </c>
      <c r="T116" s="124"/>
      <c r="U116" s="125"/>
      <c r="V116" s="124"/>
      <c r="W116" s="123"/>
      <c r="X116" s="124"/>
      <c r="Y116" s="124"/>
      <c r="Z116" s="124"/>
      <c r="AA116" s="124"/>
      <c r="AB116" s="123"/>
      <c r="AC116" s="123"/>
      <c r="AD116" s="123"/>
      <c r="AE116" s="123"/>
      <c r="AF116" s="123"/>
    </row>
    <row r="117" spans="1:32">
      <c r="A117">
        <v>57</v>
      </c>
      <c r="B117">
        <v>2</v>
      </c>
      <c r="C117">
        <v>1052</v>
      </c>
      <c r="D117">
        <v>0.20974601169993243</v>
      </c>
      <c r="E117">
        <v>6</v>
      </c>
      <c r="F117">
        <v>0</v>
      </c>
      <c r="G117">
        <v>7.683069679174491E-2</v>
      </c>
      <c r="H117">
        <v>9535.3422160000209</v>
      </c>
      <c r="I117">
        <v>61</v>
      </c>
      <c r="J117">
        <v>180</v>
      </c>
      <c r="K117">
        <v>1</v>
      </c>
      <c r="L117">
        <v>2</v>
      </c>
      <c r="M117">
        <v>2</v>
      </c>
      <c r="N117">
        <v>1</v>
      </c>
      <c r="T117" s="124"/>
      <c r="U117" s="125"/>
      <c r="V117" s="124"/>
      <c r="W117" s="123"/>
      <c r="X117" s="124"/>
      <c r="Y117" s="124"/>
      <c r="Z117" s="124"/>
      <c r="AA117" s="124"/>
      <c r="AB117" s="123"/>
      <c r="AC117" s="123"/>
      <c r="AD117" s="123"/>
      <c r="AE117" s="123"/>
      <c r="AF117" s="123"/>
    </row>
    <row r="118" spans="1:32">
      <c r="A118">
        <v>58</v>
      </c>
      <c r="B118">
        <v>1</v>
      </c>
      <c r="C118">
        <v>906</v>
      </c>
      <c r="D118">
        <v>0.22874461799712342</v>
      </c>
      <c r="E118">
        <v>8</v>
      </c>
      <c r="F118">
        <v>0</v>
      </c>
      <c r="G118">
        <v>9.6351202804397629E-2</v>
      </c>
      <c r="H118">
        <v>8743.3751120000161</v>
      </c>
      <c r="I118">
        <v>68</v>
      </c>
      <c r="J118">
        <v>180</v>
      </c>
      <c r="K118">
        <v>2</v>
      </c>
      <c r="L118">
        <v>2</v>
      </c>
      <c r="M118">
        <v>3</v>
      </c>
      <c r="N118">
        <v>1</v>
      </c>
      <c r="T118" s="124"/>
      <c r="U118" s="125"/>
      <c r="V118" s="124"/>
      <c r="W118" s="123"/>
      <c r="X118" s="124"/>
      <c r="Y118" s="124"/>
      <c r="Z118" s="124"/>
      <c r="AA118" s="124"/>
      <c r="AB118" s="123"/>
      <c r="AC118" s="123"/>
      <c r="AD118" s="123"/>
      <c r="AE118" s="123"/>
      <c r="AF118" s="123"/>
    </row>
    <row r="119" spans="1:32">
      <c r="A119">
        <v>58</v>
      </c>
      <c r="B119">
        <v>2</v>
      </c>
      <c r="C119">
        <v>1502</v>
      </c>
      <c r="D119">
        <v>0.20973055507977548</v>
      </c>
      <c r="E119">
        <v>6</v>
      </c>
      <c r="F119">
        <v>0</v>
      </c>
      <c r="G119">
        <v>7.6831110241749462E-2</v>
      </c>
      <c r="H119">
        <v>9536.0449470000094</v>
      </c>
      <c r="I119">
        <v>63</v>
      </c>
      <c r="J119">
        <v>180</v>
      </c>
      <c r="K119">
        <v>1</v>
      </c>
      <c r="L119">
        <v>2</v>
      </c>
      <c r="M119">
        <v>2</v>
      </c>
      <c r="N119">
        <v>1</v>
      </c>
      <c r="T119" s="124"/>
      <c r="U119" s="125"/>
      <c r="V119" s="124"/>
      <c r="W119" s="123"/>
      <c r="X119" s="124"/>
      <c r="Y119" s="124"/>
      <c r="Z119" s="124"/>
      <c r="AA119" s="124"/>
      <c r="AB119" s="123"/>
      <c r="AC119" s="123"/>
      <c r="AD119" s="123"/>
      <c r="AE119" s="123"/>
      <c r="AF119" s="123"/>
    </row>
    <row r="120" spans="1:32">
      <c r="A120">
        <v>59</v>
      </c>
      <c r="B120">
        <v>1</v>
      </c>
      <c r="C120">
        <v>686</v>
      </c>
      <c r="D120">
        <v>0.22771179587876755</v>
      </c>
      <c r="E120">
        <v>8</v>
      </c>
      <c r="F120">
        <v>0</v>
      </c>
      <c r="G120">
        <v>9.6375886660378121E-2</v>
      </c>
      <c r="H120">
        <v>8783.0320439999887</v>
      </c>
      <c r="I120">
        <v>61</v>
      </c>
      <c r="J120">
        <v>180</v>
      </c>
      <c r="K120">
        <v>1</v>
      </c>
      <c r="L120">
        <v>3</v>
      </c>
      <c r="M120">
        <v>3</v>
      </c>
      <c r="N120">
        <v>1</v>
      </c>
      <c r="T120" s="124"/>
      <c r="U120" s="125"/>
      <c r="V120" s="124"/>
      <c r="W120" s="123"/>
      <c r="X120" s="124"/>
      <c r="Y120" s="124"/>
      <c r="Z120" s="124"/>
      <c r="AA120" s="124"/>
      <c r="AB120" s="123"/>
      <c r="AC120" s="123"/>
      <c r="AD120" s="123"/>
      <c r="AE120" s="123"/>
      <c r="AF120" s="123"/>
    </row>
    <row r="121" spans="1:32">
      <c r="A121">
        <v>59</v>
      </c>
      <c r="B121">
        <v>2</v>
      </c>
      <c r="C121">
        <v>1606</v>
      </c>
      <c r="D121">
        <v>0.21122829244133617</v>
      </c>
      <c r="E121">
        <v>6</v>
      </c>
      <c r="F121">
        <v>0</v>
      </c>
      <c r="G121">
        <v>7.6791234901851052E-2</v>
      </c>
      <c r="H121">
        <v>9468.4285749999817</v>
      </c>
      <c r="I121">
        <v>62</v>
      </c>
      <c r="J121">
        <v>180</v>
      </c>
      <c r="K121">
        <v>1</v>
      </c>
      <c r="L121">
        <v>2</v>
      </c>
      <c r="M121">
        <v>2</v>
      </c>
      <c r="N121">
        <v>1</v>
      </c>
      <c r="T121" s="124"/>
      <c r="U121" s="125"/>
      <c r="V121" s="124"/>
      <c r="W121" s="123"/>
      <c r="X121" s="124"/>
      <c r="Y121" s="124"/>
      <c r="Z121" s="124"/>
      <c r="AA121" s="124"/>
      <c r="AB121" s="123"/>
      <c r="AC121" s="123"/>
      <c r="AD121" s="123"/>
      <c r="AE121" s="123"/>
      <c r="AF121" s="123"/>
    </row>
    <row r="122" spans="1:32">
      <c r="A122">
        <v>60</v>
      </c>
      <c r="B122">
        <v>1</v>
      </c>
      <c r="C122">
        <v>8710</v>
      </c>
      <c r="D122">
        <v>0.23480894270233968</v>
      </c>
      <c r="E122">
        <v>10</v>
      </c>
      <c r="F122">
        <v>0</v>
      </c>
      <c r="G122">
        <v>0.11620920776655901</v>
      </c>
      <c r="H122">
        <v>8517.5631600000033</v>
      </c>
      <c r="I122">
        <v>55</v>
      </c>
      <c r="J122">
        <v>180</v>
      </c>
      <c r="K122">
        <v>1</v>
      </c>
      <c r="L122">
        <v>4</v>
      </c>
      <c r="M122">
        <v>3</v>
      </c>
      <c r="N122">
        <v>2</v>
      </c>
      <c r="T122" s="124"/>
      <c r="U122" s="125"/>
      <c r="V122" s="124"/>
      <c r="W122" s="123"/>
      <c r="X122" s="124"/>
      <c r="Y122" s="124"/>
      <c r="Z122" s="124"/>
      <c r="AA122" s="124"/>
      <c r="AB122" s="123"/>
      <c r="AC122" s="123"/>
      <c r="AD122" s="123"/>
      <c r="AE122" s="123"/>
      <c r="AF122" s="123"/>
    </row>
    <row r="123" spans="1:32">
      <c r="A123">
        <v>60</v>
      </c>
      <c r="B123">
        <v>2</v>
      </c>
      <c r="C123">
        <v>1515</v>
      </c>
      <c r="D123">
        <v>0.20748587250272651</v>
      </c>
      <c r="E123">
        <v>6</v>
      </c>
      <c r="F123">
        <v>0</v>
      </c>
      <c r="G123">
        <v>7.6891588367924299E-2</v>
      </c>
      <c r="H123">
        <v>9639.2104960000033</v>
      </c>
      <c r="I123">
        <v>60</v>
      </c>
      <c r="J123">
        <v>180</v>
      </c>
      <c r="K123">
        <v>1</v>
      </c>
      <c r="L123">
        <v>2</v>
      </c>
      <c r="M123">
        <v>2</v>
      </c>
      <c r="N123">
        <v>1</v>
      </c>
      <c r="T123" s="124"/>
      <c r="U123" s="125"/>
      <c r="V123" s="124"/>
      <c r="W123" s="123"/>
      <c r="X123" s="124"/>
      <c r="Y123" s="124"/>
      <c r="Z123" s="124"/>
      <c r="AA123" s="124"/>
      <c r="AB123" s="123"/>
      <c r="AC123" s="123"/>
      <c r="AD123" s="123"/>
      <c r="AE123" s="123"/>
      <c r="AF123" s="123"/>
    </row>
    <row r="124" spans="1:32">
      <c r="A124">
        <v>61</v>
      </c>
      <c r="B124">
        <v>1</v>
      </c>
      <c r="C124">
        <v>1527</v>
      </c>
      <c r="D124">
        <v>0.22826889295504083</v>
      </c>
      <c r="E124">
        <v>18</v>
      </c>
      <c r="F124">
        <v>0</v>
      </c>
      <c r="G124">
        <v>0.19636255386068643</v>
      </c>
      <c r="H124">
        <v>8761.5967909999636</v>
      </c>
      <c r="I124">
        <v>59</v>
      </c>
      <c r="J124">
        <v>180</v>
      </c>
      <c r="K124">
        <v>1</v>
      </c>
      <c r="L124">
        <v>5</v>
      </c>
      <c r="M124">
        <v>5</v>
      </c>
      <c r="N124">
        <v>7</v>
      </c>
      <c r="T124" s="124"/>
      <c r="U124" s="125"/>
      <c r="V124" s="124"/>
      <c r="W124" s="123"/>
      <c r="X124" s="124"/>
      <c r="Y124" s="124"/>
      <c r="Z124" s="124"/>
      <c r="AA124" s="124"/>
      <c r="AB124" s="123"/>
      <c r="AC124" s="123"/>
      <c r="AD124" s="123"/>
      <c r="AE124" s="123"/>
      <c r="AF124" s="123"/>
    </row>
    <row r="125" spans="1:32">
      <c r="A125">
        <v>61</v>
      </c>
      <c r="B125">
        <v>2</v>
      </c>
      <c r="C125">
        <v>711</v>
      </c>
      <c r="D125">
        <v>0.17918926246103484</v>
      </c>
      <c r="E125">
        <v>7</v>
      </c>
      <c r="F125">
        <v>0</v>
      </c>
      <c r="G125">
        <v>8.7737646932515331E-2</v>
      </c>
      <c r="H125">
        <v>11161.383067999988</v>
      </c>
      <c r="I125">
        <v>62</v>
      </c>
      <c r="J125">
        <v>180</v>
      </c>
      <c r="K125">
        <v>1</v>
      </c>
      <c r="L125">
        <v>2</v>
      </c>
      <c r="M125">
        <v>2</v>
      </c>
      <c r="N125">
        <v>2</v>
      </c>
      <c r="T125" s="124"/>
      <c r="U125" s="125"/>
      <c r="V125" s="124"/>
      <c r="W125" s="123"/>
      <c r="X125" s="124"/>
      <c r="Y125" s="124"/>
      <c r="Z125" s="124"/>
      <c r="AA125" s="124"/>
      <c r="AB125" s="123"/>
      <c r="AC125" s="123"/>
      <c r="AD125" s="123"/>
      <c r="AE125" s="123"/>
      <c r="AF125" s="123"/>
    </row>
    <row r="126" spans="1:32">
      <c r="A126">
        <v>62</v>
      </c>
      <c r="B126">
        <v>1</v>
      </c>
      <c r="C126">
        <v>3553</v>
      </c>
      <c r="D126">
        <v>0.20976764900084777</v>
      </c>
      <c r="E126">
        <v>16</v>
      </c>
      <c r="F126">
        <v>0</v>
      </c>
      <c r="G126">
        <v>0.17683011808259563</v>
      </c>
      <c r="H126">
        <v>9534.3586559999876</v>
      </c>
      <c r="I126">
        <v>61</v>
      </c>
      <c r="J126">
        <v>180</v>
      </c>
      <c r="K126">
        <v>3</v>
      </c>
      <c r="L126">
        <v>1</v>
      </c>
      <c r="M126">
        <v>5</v>
      </c>
      <c r="N126">
        <v>7</v>
      </c>
      <c r="T126" s="124"/>
      <c r="U126" s="125"/>
      <c r="V126" s="124"/>
      <c r="W126" s="123"/>
      <c r="X126" s="124"/>
      <c r="Y126" s="124"/>
      <c r="Z126" s="124"/>
      <c r="AA126" s="124"/>
      <c r="AB126" s="123"/>
      <c r="AC126" s="123"/>
      <c r="AD126" s="123"/>
      <c r="AE126" s="123"/>
      <c r="AF126" s="123"/>
    </row>
    <row r="127" spans="1:32">
      <c r="A127">
        <v>62</v>
      </c>
      <c r="B127">
        <v>2</v>
      </c>
      <c r="C127">
        <v>8112</v>
      </c>
      <c r="D127">
        <v>0.17452149849340123</v>
      </c>
      <c r="E127">
        <v>8</v>
      </c>
      <c r="F127">
        <v>0</v>
      </c>
      <c r="G127">
        <v>9.7894395103875306E-2</v>
      </c>
      <c r="H127">
        <v>11459.906185000018</v>
      </c>
      <c r="I127">
        <v>67</v>
      </c>
      <c r="J127">
        <v>180</v>
      </c>
      <c r="K127">
        <v>2</v>
      </c>
      <c r="L127">
        <v>2</v>
      </c>
      <c r="M127">
        <v>1</v>
      </c>
      <c r="N127">
        <v>3</v>
      </c>
      <c r="T127" s="124"/>
      <c r="U127" s="125"/>
      <c r="V127" s="124"/>
      <c r="W127" s="123"/>
      <c r="X127" s="124"/>
      <c r="Y127" s="124"/>
      <c r="Z127" s="124"/>
      <c r="AA127" s="124"/>
      <c r="AB127" s="123"/>
      <c r="AC127" s="123"/>
      <c r="AD127" s="123"/>
      <c r="AE127" s="123"/>
      <c r="AF127" s="123"/>
    </row>
    <row r="128" spans="1:32">
      <c r="A128">
        <v>63</v>
      </c>
      <c r="B128">
        <v>1</v>
      </c>
      <c r="C128">
        <v>871</v>
      </c>
      <c r="D128">
        <v>0.2100084999974336</v>
      </c>
      <c r="E128">
        <v>12</v>
      </c>
      <c r="F128">
        <v>0</v>
      </c>
      <c r="G128">
        <v>0.13682368167434938</v>
      </c>
      <c r="H128">
        <v>9523.4240519999948</v>
      </c>
      <c r="I128">
        <v>65</v>
      </c>
      <c r="J128">
        <v>180</v>
      </c>
      <c r="K128">
        <v>2</v>
      </c>
      <c r="L128">
        <v>2</v>
      </c>
      <c r="M128">
        <v>4</v>
      </c>
      <c r="N128">
        <v>4</v>
      </c>
      <c r="T128" s="124"/>
      <c r="U128" s="125"/>
      <c r="V128" s="124"/>
      <c r="W128" s="123"/>
      <c r="X128" s="124"/>
      <c r="Y128" s="124"/>
      <c r="Z128" s="124"/>
      <c r="AA128" s="124"/>
      <c r="AB128" s="123"/>
      <c r="AC128" s="123"/>
      <c r="AD128" s="123"/>
      <c r="AE128" s="123"/>
      <c r="AF128" s="123"/>
    </row>
    <row r="129" spans="1:32">
      <c r="A129">
        <v>63</v>
      </c>
      <c r="B129">
        <v>2</v>
      </c>
      <c r="C129">
        <v>3921</v>
      </c>
      <c r="D129">
        <v>0.16615198051505467</v>
      </c>
      <c r="E129">
        <v>7</v>
      </c>
      <c r="F129">
        <v>0</v>
      </c>
      <c r="G129">
        <v>8.8189949465837969E-2</v>
      </c>
      <c r="H129">
        <v>12037.172195000014</v>
      </c>
      <c r="I129">
        <v>65</v>
      </c>
      <c r="J129">
        <v>180</v>
      </c>
      <c r="K129">
        <v>2</v>
      </c>
      <c r="L129">
        <v>2</v>
      </c>
      <c r="M129">
        <v>1</v>
      </c>
      <c r="N129">
        <v>2</v>
      </c>
      <c r="T129" s="124"/>
      <c r="U129" s="125"/>
      <c r="V129" s="124"/>
      <c r="W129" s="123"/>
      <c r="X129" s="124"/>
      <c r="Y129" s="124"/>
      <c r="Z129" s="124"/>
      <c r="AA129" s="124"/>
      <c r="AB129" s="123"/>
      <c r="AC129" s="123"/>
      <c r="AD129" s="123"/>
      <c r="AE129" s="123"/>
      <c r="AF129" s="123"/>
    </row>
    <row r="130" spans="1:32">
      <c r="A130">
        <v>64</v>
      </c>
      <c r="B130">
        <v>1</v>
      </c>
      <c r="C130">
        <v>3101</v>
      </c>
      <c r="D130">
        <v>0.22964654672621129</v>
      </c>
      <c r="E130">
        <v>16</v>
      </c>
      <c r="F130">
        <v>0</v>
      </c>
      <c r="G130">
        <v>0.17632976846115622</v>
      </c>
      <c r="H130">
        <v>8709.0358140000062</v>
      </c>
      <c r="I130">
        <v>63</v>
      </c>
      <c r="J130">
        <v>180</v>
      </c>
      <c r="K130">
        <v>2</v>
      </c>
      <c r="L130">
        <v>4</v>
      </c>
      <c r="M130">
        <v>2</v>
      </c>
      <c r="N130">
        <v>8</v>
      </c>
      <c r="T130" s="124"/>
      <c r="U130" s="125"/>
      <c r="V130" s="124"/>
      <c r="W130" s="123"/>
      <c r="X130" s="124"/>
      <c r="Y130" s="124"/>
      <c r="Z130" s="124"/>
      <c r="AA130" s="124"/>
      <c r="AB130" s="123"/>
      <c r="AC130" s="123"/>
      <c r="AD130" s="123"/>
      <c r="AE130" s="123"/>
      <c r="AF130" s="123"/>
    </row>
    <row r="131" spans="1:32">
      <c r="A131">
        <v>64</v>
      </c>
      <c r="B131">
        <v>2</v>
      </c>
      <c r="C131">
        <v>718</v>
      </c>
      <c r="D131">
        <v>0.18386333847772002</v>
      </c>
      <c r="E131">
        <v>8</v>
      </c>
      <c r="F131">
        <v>0</v>
      </c>
      <c r="G131">
        <v>9.7586049294253019E-2</v>
      </c>
      <c r="H131">
        <v>10877.644323000008</v>
      </c>
      <c r="I131">
        <v>63</v>
      </c>
      <c r="J131">
        <v>180</v>
      </c>
      <c r="K131">
        <v>2</v>
      </c>
      <c r="L131">
        <v>2</v>
      </c>
      <c r="M131">
        <v>2</v>
      </c>
      <c r="N131">
        <v>2</v>
      </c>
      <c r="T131" s="124"/>
      <c r="U131" s="125"/>
      <c r="V131" s="124"/>
      <c r="W131" s="123"/>
      <c r="X131" s="124"/>
      <c r="Y131" s="124"/>
      <c r="Z131" s="124"/>
      <c r="AA131" s="124"/>
      <c r="AB131" s="123"/>
      <c r="AC131" s="123"/>
      <c r="AD131" s="123"/>
      <c r="AE131" s="123"/>
      <c r="AF131" s="123"/>
    </row>
    <row r="132" spans="1:32">
      <c r="A132">
        <v>65</v>
      </c>
      <c r="B132">
        <v>1</v>
      </c>
      <c r="C132">
        <v>3009</v>
      </c>
      <c r="D132">
        <v>0.21340431912170524</v>
      </c>
      <c r="E132">
        <v>14</v>
      </c>
      <c r="F132">
        <v>0</v>
      </c>
      <c r="G132">
        <v>0.15673396790490535</v>
      </c>
      <c r="H132">
        <v>9371.8815450000002</v>
      </c>
      <c r="I132">
        <v>65</v>
      </c>
      <c r="J132">
        <v>180</v>
      </c>
      <c r="K132">
        <v>2</v>
      </c>
      <c r="L132">
        <v>4</v>
      </c>
      <c r="M132">
        <v>4</v>
      </c>
      <c r="N132">
        <v>4</v>
      </c>
      <c r="T132" s="124"/>
      <c r="U132" s="125"/>
      <c r="V132" s="124"/>
      <c r="W132" s="123"/>
      <c r="X132" s="124"/>
      <c r="Y132" s="124"/>
      <c r="Z132" s="124"/>
      <c r="AA132" s="124"/>
      <c r="AB132" s="123"/>
      <c r="AC132" s="123"/>
      <c r="AD132" s="123"/>
      <c r="AE132" s="123"/>
      <c r="AF132" s="123"/>
    </row>
    <row r="133" spans="1:32">
      <c r="A133">
        <v>65</v>
      </c>
      <c r="B133">
        <v>2</v>
      </c>
      <c r="C133">
        <v>1307</v>
      </c>
      <c r="D133">
        <v>0.17069103729026261</v>
      </c>
      <c r="E133">
        <v>8</v>
      </c>
      <c r="F133">
        <v>0</v>
      </c>
      <c r="G133">
        <v>9.8027261592325984E-2</v>
      </c>
      <c r="H133">
        <v>11717.07684099998</v>
      </c>
      <c r="I133">
        <v>64</v>
      </c>
      <c r="J133">
        <v>180</v>
      </c>
      <c r="K133">
        <v>2</v>
      </c>
      <c r="L133">
        <v>2</v>
      </c>
      <c r="M133">
        <v>1</v>
      </c>
      <c r="N133">
        <v>3</v>
      </c>
      <c r="T133" s="124"/>
      <c r="U133" s="125"/>
      <c r="V133" s="124"/>
      <c r="W133" s="123"/>
      <c r="X133" s="124"/>
      <c r="Y133" s="124"/>
      <c r="Z133" s="124"/>
      <c r="AA133" s="124"/>
      <c r="AB133" s="123"/>
      <c r="AC133" s="123"/>
      <c r="AD133" s="123"/>
      <c r="AE133" s="123"/>
      <c r="AF133" s="123"/>
    </row>
    <row r="134" spans="1:32">
      <c r="A134">
        <v>66</v>
      </c>
      <c r="B134">
        <v>1</v>
      </c>
      <c r="C134">
        <v>833</v>
      </c>
      <c r="D134">
        <v>0.22895914809748402</v>
      </c>
      <c r="E134">
        <v>17</v>
      </c>
      <c r="F134">
        <v>0</v>
      </c>
      <c r="G134">
        <v>0.18634609429287846</v>
      </c>
      <c r="H134">
        <v>8735.1827459999949</v>
      </c>
      <c r="I134">
        <v>61</v>
      </c>
      <c r="J134">
        <v>180</v>
      </c>
      <c r="K134">
        <v>3</v>
      </c>
      <c r="L134">
        <v>3</v>
      </c>
      <c r="M134">
        <v>4</v>
      </c>
      <c r="N134">
        <v>7</v>
      </c>
      <c r="T134" s="124"/>
      <c r="U134" s="125"/>
      <c r="V134" s="124"/>
      <c r="W134" s="123"/>
      <c r="X134" s="124"/>
      <c r="Y134" s="124"/>
      <c r="Z134" s="124"/>
      <c r="AA134" s="124"/>
      <c r="AB134" s="123"/>
      <c r="AC134" s="123"/>
      <c r="AD134" s="123"/>
      <c r="AE134" s="123"/>
      <c r="AF134" s="123"/>
    </row>
    <row r="135" spans="1:32">
      <c r="A135">
        <v>66</v>
      </c>
      <c r="B135">
        <v>2</v>
      </c>
      <c r="C135">
        <v>1749</v>
      </c>
      <c r="D135">
        <v>0.17717868895753286</v>
      </c>
      <c r="E135">
        <v>10</v>
      </c>
      <c r="F135">
        <v>0</v>
      </c>
      <c r="G135">
        <v>0.11780448866147161</v>
      </c>
      <c r="H135">
        <v>11288.039277000016</v>
      </c>
      <c r="I135">
        <v>61</v>
      </c>
      <c r="J135">
        <v>180</v>
      </c>
      <c r="K135">
        <v>3</v>
      </c>
      <c r="L135">
        <v>1</v>
      </c>
      <c r="M135">
        <v>1</v>
      </c>
      <c r="N135">
        <v>5</v>
      </c>
      <c r="T135" s="124"/>
      <c r="U135" s="125"/>
      <c r="V135" s="124"/>
      <c r="W135" s="123"/>
      <c r="X135" s="124"/>
      <c r="Y135" s="124"/>
      <c r="Z135" s="124"/>
      <c r="AA135" s="124"/>
      <c r="AB135" s="123"/>
      <c r="AC135" s="123"/>
      <c r="AD135" s="123"/>
      <c r="AE135" s="123"/>
      <c r="AF135" s="123"/>
    </row>
    <row r="136" spans="1:32">
      <c r="A136">
        <v>67</v>
      </c>
      <c r="B136">
        <v>1</v>
      </c>
      <c r="C136">
        <v>3523</v>
      </c>
      <c r="D136">
        <v>0.21064783446743557</v>
      </c>
      <c r="E136">
        <v>13</v>
      </c>
      <c r="F136">
        <v>0</v>
      </c>
      <c r="G136">
        <v>0.1468066439808032</v>
      </c>
      <c r="H136">
        <v>9494.5196329999944</v>
      </c>
      <c r="I136">
        <v>62</v>
      </c>
      <c r="J136">
        <v>180</v>
      </c>
      <c r="K136">
        <v>3</v>
      </c>
      <c r="L136">
        <v>2</v>
      </c>
      <c r="M136">
        <v>3</v>
      </c>
      <c r="N136">
        <v>5</v>
      </c>
      <c r="T136" s="124"/>
      <c r="U136" s="125"/>
      <c r="V136" s="124"/>
      <c r="W136" s="123"/>
      <c r="X136" s="124"/>
      <c r="Y136" s="124"/>
      <c r="Z136" s="124"/>
      <c r="AA136" s="124"/>
      <c r="AB136" s="123"/>
      <c r="AC136" s="123"/>
      <c r="AD136" s="123"/>
      <c r="AE136" s="123"/>
      <c r="AF136" s="123"/>
    </row>
    <row r="137" spans="1:32">
      <c r="A137">
        <v>67</v>
      </c>
      <c r="B137">
        <v>2</v>
      </c>
      <c r="C137">
        <v>1137</v>
      </c>
      <c r="D137">
        <v>0.16450051225545895</v>
      </c>
      <c r="E137">
        <v>7</v>
      </c>
      <c r="F137">
        <v>0</v>
      </c>
      <c r="G137">
        <v>8.8250618281924403E-2</v>
      </c>
      <c r="H137">
        <v>12158.016850999988</v>
      </c>
      <c r="I137">
        <v>58</v>
      </c>
      <c r="J137">
        <v>180</v>
      </c>
      <c r="K137">
        <v>1</v>
      </c>
      <c r="L137">
        <v>1</v>
      </c>
      <c r="M137">
        <v>3</v>
      </c>
      <c r="N137">
        <v>2</v>
      </c>
      <c r="T137" s="124"/>
      <c r="U137" s="125"/>
      <c r="V137" s="124"/>
      <c r="W137" s="123"/>
      <c r="X137" s="124"/>
      <c r="Y137" s="124"/>
      <c r="Z137" s="124"/>
      <c r="AA137" s="124"/>
      <c r="AB137" s="123"/>
      <c r="AC137" s="123"/>
      <c r="AD137" s="123"/>
      <c r="AE137" s="123"/>
      <c r="AF137" s="123"/>
    </row>
    <row r="138" spans="1:32">
      <c r="A138">
        <v>68</v>
      </c>
      <c r="B138">
        <v>1</v>
      </c>
      <c r="C138">
        <v>5729</v>
      </c>
      <c r="D138">
        <v>0.2240531119335776</v>
      </c>
      <c r="E138">
        <v>14</v>
      </c>
      <c r="F138">
        <v>0</v>
      </c>
      <c r="G138">
        <v>0.15646454271777638</v>
      </c>
      <c r="H138">
        <v>8926.4549050000096</v>
      </c>
      <c r="I138">
        <v>61</v>
      </c>
      <c r="J138">
        <v>180</v>
      </c>
      <c r="K138">
        <v>2</v>
      </c>
      <c r="L138">
        <v>4</v>
      </c>
      <c r="M138">
        <v>3</v>
      </c>
      <c r="N138">
        <v>5</v>
      </c>
      <c r="T138" s="124"/>
      <c r="U138" s="125"/>
      <c r="V138" s="124"/>
      <c r="W138" s="123"/>
      <c r="X138" s="124"/>
      <c r="Y138" s="124"/>
      <c r="Z138" s="124"/>
      <c r="AA138" s="124"/>
      <c r="AB138" s="123"/>
      <c r="AC138" s="123"/>
      <c r="AD138" s="123"/>
      <c r="AE138" s="123"/>
      <c r="AF138" s="123"/>
    </row>
    <row r="139" spans="1:32">
      <c r="A139">
        <v>68</v>
      </c>
      <c r="B139">
        <v>2</v>
      </c>
      <c r="C139">
        <v>1681</v>
      </c>
      <c r="D139">
        <v>0.17645989150136068</v>
      </c>
      <c r="E139">
        <v>8</v>
      </c>
      <c r="F139">
        <v>0</v>
      </c>
      <c r="G139">
        <v>9.7828631037863628E-2</v>
      </c>
      <c r="H139">
        <v>11334.020343000029</v>
      </c>
      <c r="I139">
        <v>59</v>
      </c>
      <c r="J139">
        <v>180</v>
      </c>
      <c r="K139">
        <v>1</v>
      </c>
      <c r="L139">
        <v>3</v>
      </c>
      <c r="M139">
        <v>1</v>
      </c>
      <c r="N139">
        <v>3</v>
      </c>
      <c r="T139" s="124"/>
      <c r="U139" s="125"/>
      <c r="V139" s="124"/>
      <c r="W139" s="123"/>
      <c r="X139" s="124"/>
      <c r="Y139" s="124"/>
      <c r="Z139" s="124"/>
      <c r="AA139" s="124"/>
      <c r="AB139" s="123"/>
      <c r="AC139" s="123"/>
      <c r="AD139" s="123"/>
      <c r="AE139" s="123"/>
      <c r="AF139" s="123"/>
    </row>
    <row r="140" spans="1:32">
      <c r="A140">
        <v>69</v>
      </c>
      <c r="B140">
        <v>1</v>
      </c>
      <c r="C140">
        <v>5907</v>
      </c>
      <c r="D140">
        <v>0.22321812272419897</v>
      </c>
      <c r="E140">
        <v>14</v>
      </c>
      <c r="F140">
        <v>0</v>
      </c>
      <c r="G140">
        <v>0.15648504674153238</v>
      </c>
      <c r="H140">
        <v>8959.8459820000135</v>
      </c>
      <c r="I140">
        <v>63</v>
      </c>
      <c r="J140">
        <v>180</v>
      </c>
      <c r="K140">
        <v>3</v>
      </c>
      <c r="L140">
        <v>2</v>
      </c>
      <c r="M140">
        <v>4</v>
      </c>
      <c r="N140">
        <v>5</v>
      </c>
      <c r="T140" s="124"/>
      <c r="U140" s="125"/>
      <c r="V140" s="124"/>
      <c r="W140" s="123"/>
      <c r="X140" s="124"/>
      <c r="Y140" s="124"/>
      <c r="Z140" s="124"/>
      <c r="AA140" s="124"/>
      <c r="AB140" s="123"/>
      <c r="AC140" s="123"/>
      <c r="AD140" s="123"/>
      <c r="AE140" s="123"/>
      <c r="AF140" s="123"/>
    </row>
    <row r="141" spans="1:32">
      <c r="A141">
        <v>69</v>
      </c>
      <c r="B141">
        <v>2</v>
      </c>
      <c r="C141">
        <v>1184</v>
      </c>
      <c r="D141">
        <v>0.17733854623394876</v>
      </c>
      <c r="E141">
        <v>8</v>
      </c>
      <c r="F141">
        <v>0</v>
      </c>
      <c r="G141">
        <v>9.7799137253559459E-2</v>
      </c>
      <c r="H141">
        <v>11277.863964000007</v>
      </c>
      <c r="I141">
        <v>60</v>
      </c>
      <c r="J141">
        <v>180</v>
      </c>
      <c r="K141">
        <v>1</v>
      </c>
      <c r="L141">
        <v>2</v>
      </c>
      <c r="M141">
        <v>1</v>
      </c>
      <c r="N141">
        <v>4</v>
      </c>
      <c r="T141" s="124"/>
      <c r="U141" s="125"/>
      <c r="V141" s="124"/>
      <c r="W141" s="123"/>
      <c r="X141" s="124"/>
      <c r="Y141" s="124"/>
      <c r="Z141" s="124"/>
      <c r="AA141" s="124"/>
      <c r="AB141" s="123"/>
      <c r="AC141" s="123"/>
      <c r="AD141" s="123"/>
      <c r="AE141" s="123"/>
      <c r="AF141" s="123"/>
    </row>
    <row r="142" spans="1:32">
      <c r="A142">
        <v>70</v>
      </c>
      <c r="B142">
        <v>1</v>
      </c>
      <c r="C142">
        <v>1612</v>
      </c>
      <c r="D142">
        <v>0.23256393254018964</v>
      </c>
      <c r="E142">
        <v>22</v>
      </c>
      <c r="F142">
        <v>0</v>
      </c>
      <c r="G142">
        <v>0.23626119829618134</v>
      </c>
      <c r="H142">
        <v>8599.7857799999911</v>
      </c>
      <c r="I142">
        <v>61</v>
      </c>
      <c r="J142">
        <v>180</v>
      </c>
      <c r="K142">
        <v>1</v>
      </c>
      <c r="L142">
        <v>10</v>
      </c>
      <c r="M142">
        <v>3</v>
      </c>
      <c r="N142">
        <v>8</v>
      </c>
      <c r="T142" s="124"/>
      <c r="U142" s="125"/>
      <c r="V142" s="124"/>
      <c r="W142" s="123"/>
      <c r="X142" s="124"/>
      <c r="Y142" s="124"/>
      <c r="Z142" s="124"/>
      <c r="AA142" s="124"/>
      <c r="AB142" s="123"/>
      <c r="AC142" s="123"/>
      <c r="AD142" s="123"/>
      <c r="AE142" s="123"/>
      <c r="AF142" s="123"/>
    </row>
    <row r="143" spans="1:32">
      <c r="A143">
        <v>70</v>
      </c>
      <c r="B143">
        <v>2</v>
      </c>
      <c r="C143">
        <v>1956</v>
      </c>
      <c r="D143">
        <v>0.18531982200918781</v>
      </c>
      <c r="E143">
        <v>9</v>
      </c>
      <c r="F143">
        <v>0</v>
      </c>
      <c r="G143">
        <v>0.10753985673991842</v>
      </c>
      <c r="H143">
        <v>10792.153684999997</v>
      </c>
      <c r="I143">
        <v>68</v>
      </c>
      <c r="J143">
        <v>180</v>
      </c>
      <c r="K143">
        <v>2</v>
      </c>
      <c r="L143">
        <v>2</v>
      </c>
      <c r="M143">
        <v>1</v>
      </c>
      <c r="N143">
        <v>4</v>
      </c>
      <c r="T143" s="124"/>
      <c r="U143" s="125"/>
      <c r="V143" s="124"/>
      <c r="W143" s="123"/>
      <c r="X143" s="124"/>
      <c r="Y143" s="124"/>
      <c r="Z143" s="124"/>
      <c r="AA143" s="124"/>
      <c r="AB143" s="123"/>
      <c r="AC143" s="123"/>
      <c r="AD143" s="123"/>
      <c r="AE143" s="123"/>
      <c r="AF143" s="123"/>
    </row>
    <row r="144" spans="1:32">
      <c r="A144">
        <v>71</v>
      </c>
      <c r="B144">
        <v>1</v>
      </c>
      <c r="C144">
        <v>788</v>
      </c>
      <c r="D144">
        <v>0.21749372625698846</v>
      </c>
      <c r="E144">
        <v>8</v>
      </c>
      <c r="F144">
        <v>0</v>
      </c>
      <c r="G144">
        <v>9.6628423955529993E-2</v>
      </c>
      <c r="H144">
        <v>9195.6675460000151</v>
      </c>
      <c r="I144">
        <v>71</v>
      </c>
      <c r="J144">
        <v>180</v>
      </c>
      <c r="K144">
        <v>2</v>
      </c>
      <c r="L144">
        <v>3</v>
      </c>
      <c r="M144">
        <v>1</v>
      </c>
      <c r="N144">
        <v>2</v>
      </c>
      <c r="T144" s="124"/>
      <c r="U144" s="125"/>
      <c r="V144" s="124"/>
      <c r="W144" s="123"/>
      <c r="X144" s="124"/>
      <c r="Y144" s="124"/>
      <c r="Z144" s="124"/>
      <c r="AA144" s="124"/>
      <c r="AB144" s="123"/>
      <c r="AC144" s="123"/>
      <c r="AD144" s="123"/>
      <c r="AE144" s="123"/>
      <c r="AF144" s="123"/>
    </row>
    <row r="145" spans="1:32">
      <c r="A145">
        <v>71</v>
      </c>
      <c r="B145">
        <v>2</v>
      </c>
      <c r="C145">
        <v>819</v>
      </c>
      <c r="D145">
        <v>0.19778012759600211</v>
      </c>
      <c r="E145">
        <v>5</v>
      </c>
      <c r="F145">
        <v>0</v>
      </c>
      <c r="G145">
        <v>6.7163497157054775E-2</v>
      </c>
      <c r="H145">
        <v>10112.239405999997</v>
      </c>
      <c r="I145">
        <v>63</v>
      </c>
      <c r="J145">
        <v>180</v>
      </c>
      <c r="K145">
        <v>1</v>
      </c>
      <c r="L145">
        <v>1</v>
      </c>
      <c r="M145">
        <v>1</v>
      </c>
      <c r="N145">
        <v>2</v>
      </c>
      <c r="T145" s="124"/>
      <c r="U145" s="125"/>
      <c r="V145" s="124"/>
      <c r="W145" s="123"/>
      <c r="X145" s="124"/>
      <c r="Y145" s="124"/>
      <c r="Z145" s="124"/>
      <c r="AA145" s="124"/>
      <c r="AB145" s="123"/>
      <c r="AC145" s="123"/>
      <c r="AD145" s="123"/>
      <c r="AE145" s="123"/>
      <c r="AF145" s="123"/>
    </row>
    <row r="146" spans="1:32">
      <c r="A146">
        <v>72</v>
      </c>
      <c r="B146">
        <v>1</v>
      </c>
      <c r="C146">
        <v>866</v>
      </c>
      <c r="D146">
        <v>0.22987230262343319</v>
      </c>
      <c r="E146">
        <v>8</v>
      </c>
      <c r="F146">
        <v>0</v>
      </c>
      <c r="G146">
        <v>9.6324420928360882E-2</v>
      </c>
      <c r="H146">
        <v>8700.4827339999847</v>
      </c>
      <c r="I146">
        <v>62</v>
      </c>
      <c r="J146">
        <v>180</v>
      </c>
      <c r="K146">
        <v>1</v>
      </c>
      <c r="L146">
        <v>2</v>
      </c>
      <c r="M146">
        <v>1</v>
      </c>
      <c r="N146">
        <v>4</v>
      </c>
      <c r="T146" s="124"/>
      <c r="U146" s="125"/>
      <c r="V146" s="124"/>
      <c r="W146" s="123"/>
      <c r="X146" s="124"/>
      <c r="Y146" s="124"/>
      <c r="Z146" s="124"/>
      <c r="AA146" s="124"/>
      <c r="AB146" s="123"/>
      <c r="AC146" s="123"/>
      <c r="AD146" s="123"/>
      <c r="AE146" s="123"/>
      <c r="AF146" s="123"/>
    </row>
    <row r="147" spans="1:32">
      <c r="A147">
        <v>72</v>
      </c>
      <c r="B147">
        <v>2</v>
      </c>
      <c r="C147">
        <v>1032</v>
      </c>
      <c r="D147">
        <v>0.19986146979958963</v>
      </c>
      <c r="E147">
        <v>5</v>
      </c>
      <c r="F147">
        <v>0</v>
      </c>
      <c r="G147">
        <v>6.7103709346009094E-2</v>
      </c>
      <c r="H147">
        <v>10006.931311000028</v>
      </c>
      <c r="I147">
        <v>62</v>
      </c>
      <c r="J147">
        <v>180</v>
      </c>
      <c r="K147">
        <v>1</v>
      </c>
      <c r="L147">
        <v>1</v>
      </c>
      <c r="M147">
        <v>1</v>
      </c>
      <c r="N147">
        <v>2</v>
      </c>
      <c r="T147" s="124"/>
      <c r="U147" s="125"/>
      <c r="V147" s="124"/>
      <c r="W147" s="123"/>
      <c r="X147" s="124"/>
      <c r="Y147" s="124"/>
      <c r="Z147" s="124"/>
      <c r="AA147" s="124"/>
      <c r="AB147" s="123"/>
      <c r="AC147" s="123"/>
      <c r="AD147" s="123"/>
      <c r="AE147" s="123"/>
      <c r="AF147" s="123"/>
    </row>
    <row r="148" spans="1:32">
      <c r="A148">
        <v>73</v>
      </c>
      <c r="B148">
        <v>1</v>
      </c>
      <c r="C148">
        <v>1444</v>
      </c>
      <c r="D148">
        <v>0.22870910980882733</v>
      </c>
      <c r="E148">
        <v>7</v>
      </c>
      <c r="F148">
        <v>0</v>
      </c>
      <c r="G148">
        <v>8.6352048961544664E-2</v>
      </c>
      <c r="H148">
        <v>8744.7325630000214</v>
      </c>
      <c r="I148">
        <v>67</v>
      </c>
      <c r="J148">
        <v>180</v>
      </c>
      <c r="K148">
        <v>1</v>
      </c>
      <c r="L148">
        <v>2</v>
      </c>
      <c r="M148">
        <v>2</v>
      </c>
      <c r="N148">
        <v>2</v>
      </c>
      <c r="T148" s="124"/>
      <c r="U148" s="125"/>
      <c r="V148" s="124"/>
      <c r="W148" s="123"/>
      <c r="X148" s="124"/>
      <c r="Y148" s="124"/>
      <c r="Z148" s="124"/>
      <c r="AA148" s="124"/>
      <c r="AB148" s="123"/>
      <c r="AC148" s="123"/>
      <c r="AD148" s="123"/>
      <c r="AE148" s="123"/>
      <c r="AF148" s="123"/>
    </row>
    <row r="149" spans="1:32">
      <c r="A149">
        <v>73</v>
      </c>
      <c r="B149">
        <v>2</v>
      </c>
      <c r="C149">
        <v>1372</v>
      </c>
      <c r="D149">
        <v>0.19728840423107552</v>
      </c>
      <c r="E149">
        <v>5</v>
      </c>
      <c r="F149">
        <v>0</v>
      </c>
      <c r="G149">
        <v>6.7177744810686835E-2</v>
      </c>
      <c r="H149">
        <v>10137.443241000039</v>
      </c>
      <c r="I149">
        <v>65</v>
      </c>
      <c r="J149">
        <v>180</v>
      </c>
      <c r="K149">
        <v>1</v>
      </c>
      <c r="L149">
        <v>1</v>
      </c>
      <c r="M149">
        <v>1</v>
      </c>
      <c r="N149">
        <v>2</v>
      </c>
      <c r="T149" s="124"/>
      <c r="U149" s="125"/>
      <c r="V149" s="124"/>
      <c r="W149" s="123"/>
      <c r="X149" s="124"/>
      <c r="Y149" s="124"/>
      <c r="Z149" s="124"/>
      <c r="AA149" s="124"/>
      <c r="AB149" s="123"/>
      <c r="AC149" s="123"/>
      <c r="AD149" s="123"/>
      <c r="AE149" s="123"/>
      <c r="AF149" s="123"/>
    </row>
    <row r="150" spans="1:32">
      <c r="A150">
        <v>74</v>
      </c>
      <c r="B150">
        <v>1</v>
      </c>
      <c r="C150">
        <v>829</v>
      </c>
      <c r="D150">
        <v>0.21781846420778142</v>
      </c>
      <c r="E150">
        <v>7</v>
      </c>
      <c r="F150">
        <v>0</v>
      </c>
      <c r="G150">
        <v>8.6620156266405693E-2</v>
      </c>
      <c r="H150">
        <v>9181.9580459999925</v>
      </c>
      <c r="I150">
        <v>59</v>
      </c>
      <c r="J150">
        <v>180</v>
      </c>
      <c r="K150">
        <v>1</v>
      </c>
      <c r="L150">
        <v>1</v>
      </c>
      <c r="M150">
        <v>2</v>
      </c>
      <c r="N150">
        <v>3</v>
      </c>
      <c r="T150" s="124"/>
      <c r="U150" s="125"/>
      <c r="V150" s="124"/>
      <c r="W150" s="123"/>
      <c r="X150" s="124"/>
      <c r="Y150" s="124"/>
      <c r="Z150" s="124"/>
      <c r="AA150" s="124"/>
      <c r="AB150" s="123"/>
      <c r="AC150" s="123"/>
      <c r="AD150" s="123"/>
      <c r="AE150" s="123"/>
      <c r="AF150" s="123"/>
    </row>
    <row r="151" spans="1:32">
      <c r="A151">
        <v>74</v>
      </c>
      <c r="B151">
        <v>2</v>
      </c>
      <c r="C151">
        <v>862</v>
      </c>
      <c r="D151">
        <v>0.19793621698454861</v>
      </c>
      <c r="E151">
        <v>5</v>
      </c>
      <c r="F151">
        <v>0</v>
      </c>
      <c r="G151">
        <v>6.7158984349272088E-2</v>
      </c>
      <c r="H151">
        <v>10104.265053000003</v>
      </c>
      <c r="I151">
        <v>64</v>
      </c>
      <c r="J151">
        <v>180</v>
      </c>
      <c r="K151">
        <v>1</v>
      </c>
      <c r="L151">
        <v>1</v>
      </c>
      <c r="M151">
        <v>1</v>
      </c>
      <c r="N151">
        <v>2</v>
      </c>
      <c r="T151" s="124"/>
      <c r="U151" s="125"/>
      <c r="V151" s="124"/>
      <c r="W151" s="123"/>
      <c r="X151" s="124"/>
      <c r="Y151" s="124"/>
      <c r="Z151" s="124"/>
      <c r="AA151" s="124"/>
      <c r="AB151" s="123"/>
      <c r="AC151" s="123"/>
      <c r="AD151" s="123"/>
      <c r="AE151" s="123"/>
      <c r="AF151" s="123"/>
    </row>
    <row r="152" spans="1:32">
      <c r="A152">
        <v>75</v>
      </c>
      <c r="B152">
        <v>1</v>
      </c>
      <c r="C152">
        <v>1003</v>
      </c>
      <c r="D152">
        <v>0.22832598846720881</v>
      </c>
      <c r="E152">
        <v>8</v>
      </c>
      <c r="F152">
        <v>0</v>
      </c>
      <c r="G152">
        <v>9.6361189866043459E-2</v>
      </c>
      <c r="H152">
        <v>8759.4058539999769</v>
      </c>
      <c r="I152">
        <v>64</v>
      </c>
      <c r="J152">
        <v>180</v>
      </c>
      <c r="K152">
        <v>1</v>
      </c>
      <c r="L152">
        <v>2</v>
      </c>
      <c r="M152">
        <v>1</v>
      </c>
      <c r="N152">
        <v>4</v>
      </c>
      <c r="T152" s="124"/>
      <c r="U152" s="125"/>
      <c r="V152" s="124"/>
      <c r="W152" s="123"/>
      <c r="X152" s="124"/>
      <c r="Y152" s="124"/>
      <c r="Z152" s="124"/>
      <c r="AA152" s="124"/>
      <c r="AB152" s="123"/>
      <c r="AC152" s="123"/>
      <c r="AD152" s="123"/>
      <c r="AE152" s="123"/>
      <c r="AF152" s="123"/>
    </row>
    <row r="153" spans="1:32">
      <c r="A153">
        <v>75</v>
      </c>
      <c r="B153">
        <v>2</v>
      </c>
      <c r="C153">
        <v>1653</v>
      </c>
      <c r="D153">
        <v>0.1999626168488064</v>
      </c>
      <c r="E153">
        <v>5</v>
      </c>
      <c r="F153">
        <v>0</v>
      </c>
      <c r="G153">
        <v>6.7100825004369438E-2</v>
      </c>
      <c r="H153">
        <v>10001.869506999994</v>
      </c>
      <c r="I153">
        <v>64</v>
      </c>
      <c r="J153">
        <v>180</v>
      </c>
      <c r="K153">
        <v>1</v>
      </c>
      <c r="L153">
        <v>1</v>
      </c>
      <c r="M153">
        <v>1</v>
      </c>
      <c r="N153">
        <v>2</v>
      </c>
      <c r="T153" s="124"/>
      <c r="U153" s="125"/>
      <c r="V153" s="124"/>
      <c r="W153" s="123"/>
      <c r="X153" s="124"/>
      <c r="Y153" s="124"/>
      <c r="Z153" s="124"/>
      <c r="AA153" s="124"/>
      <c r="AB153" s="123"/>
      <c r="AC153" s="123"/>
      <c r="AD153" s="123"/>
      <c r="AE153" s="123"/>
      <c r="AF153" s="123"/>
    </row>
    <row r="154" spans="1:32">
      <c r="A154">
        <v>76</v>
      </c>
      <c r="B154">
        <v>1</v>
      </c>
      <c r="C154">
        <v>1154</v>
      </c>
      <c r="D154">
        <v>0.23149328238741482</v>
      </c>
      <c r="E154">
        <v>9</v>
      </c>
      <c r="F154">
        <v>0</v>
      </c>
      <c r="G154">
        <v>0.10628622894742394</v>
      </c>
      <c r="H154">
        <v>8639.5595560000165</v>
      </c>
      <c r="I154">
        <v>63</v>
      </c>
      <c r="J154">
        <v>180</v>
      </c>
      <c r="K154">
        <v>1</v>
      </c>
      <c r="L154">
        <v>3</v>
      </c>
      <c r="M154">
        <v>1</v>
      </c>
      <c r="N154">
        <v>4</v>
      </c>
      <c r="T154" s="124"/>
      <c r="U154" s="125"/>
      <c r="V154" s="124"/>
      <c r="W154" s="123"/>
      <c r="X154" s="124"/>
      <c r="Y154" s="124"/>
      <c r="Z154" s="124"/>
      <c r="AA154" s="124"/>
      <c r="AB154" s="123"/>
      <c r="AC154" s="123"/>
      <c r="AD154" s="123"/>
      <c r="AE154" s="123"/>
      <c r="AF154" s="123"/>
    </row>
    <row r="155" spans="1:32">
      <c r="A155">
        <v>76</v>
      </c>
      <c r="B155">
        <v>2</v>
      </c>
      <c r="C155">
        <v>946</v>
      </c>
      <c r="D155">
        <v>0.19806233490572267</v>
      </c>
      <c r="E155">
        <v>5</v>
      </c>
      <c r="F155">
        <v>0</v>
      </c>
      <c r="G155">
        <v>6.7155341531593429E-2</v>
      </c>
      <c r="H155">
        <v>10097.831073999994</v>
      </c>
      <c r="I155">
        <v>63</v>
      </c>
      <c r="J155">
        <v>180</v>
      </c>
      <c r="K155">
        <v>1</v>
      </c>
      <c r="L155">
        <v>1</v>
      </c>
      <c r="M155">
        <v>1</v>
      </c>
      <c r="N155">
        <v>2</v>
      </c>
      <c r="T155" s="124"/>
      <c r="U155" s="125"/>
      <c r="V155" s="124"/>
      <c r="W155" s="123"/>
      <c r="X155" s="124"/>
      <c r="Y155" s="124"/>
      <c r="Z155" s="124"/>
      <c r="AA155" s="124"/>
      <c r="AB155" s="123"/>
      <c r="AC155" s="123"/>
      <c r="AD155" s="123"/>
      <c r="AE155" s="123"/>
      <c r="AF155" s="123"/>
    </row>
    <row r="156" spans="1:32">
      <c r="A156">
        <v>77</v>
      </c>
      <c r="B156">
        <v>1</v>
      </c>
      <c r="C156">
        <v>713</v>
      </c>
      <c r="D156">
        <v>0.22578917358074888</v>
      </c>
      <c r="E156">
        <v>7</v>
      </c>
      <c r="F156">
        <v>0</v>
      </c>
      <c r="G156">
        <v>8.6422236240266875E-2</v>
      </c>
      <c r="H156">
        <v>8857.8206310000114</v>
      </c>
      <c r="I156">
        <v>69</v>
      </c>
      <c r="J156">
        <v>180</v>
      </c>
      <c r="K156">
        <v>2</v>
      </c>
      <c r="L156">
        <v>1</v>
      </c>
      <c r="M156">
        <v>2</v>
      </c>
      <c r="N156">
        <v>2</v>
      </c>
      <c r="T156" s="124"/>
      <c r="U156" s="125"/>
      <c r="V156" s="124"/>
      <c r="W156" s="123"/>
      <c r="X156" s="124"/>
      <c r="Y156" s="124"/>
      <c r="Z156" s="124"/>
      <c r="AA156" s="124"/>
      <c r="AB156" s="123"/>
      <c r="AC156" s="123"/>
      <c r="AD156" s="123"/>
      <c r="AE156" s="123"/>
      <c r="AF156" s="123"/>
    </row>
    <row r="157" spans="1:32">
      <c r="A157">
        <v>77</v>
      </c>
      <c r="B157">
        <v>2</v>
      </c>
      <c r="C157">
        <v>916</v>
      </c>
      <c r="D157">
        <v>0.19900480051499173</v>
      </c>
      <c r="E157">
        <v>5</v>
      </c>
      <c r="F157">
        <v>0</v>
      </c>
      <c r="G157">
        <v>6.7128216707554159E-2</v>
      </c>
      <c r="H157">
        <v>10050.008818000011</v>
      </c>
      <c r="I157">
        <v>86337</v>
      </c>
      <c r="J157">
        <v>180</v>
      </c>
      <c r="K157">
        <v>1</v>
      </c>
      <c r="L157">
        <v>1</v>
      </c>
      <c r="M157">
        <v>1</v>
      </c>
      <c r="N157">
        <v>2</v>
      </c>
      <c r="T157" s="124"/>
      <c r="U157" s="125"/>
      <c r="V157" s="124"/>
      <c r="W157" s="123"/>
      <c r="X157" s="124"/>
      <c r="Y157" s="124"/>
      <c r="Z157" s="124"/>
      <c r="AA157" s="124"/>
      <c r="AB157" s="123"/>
      <c r="AC157" s="123"/>
      <c r="AD157" s="123"/>
      <c r="AE157" s="123"/>
      <c r="AF157" s="123"/>
    </row>
    <row r="158" spans="1:32">
      <c r="A158">
        <v>78</v>
      </c>
      <c r="B158">
        <v>1</v>
      </c>
      <c r="C158">
        <v>891</v>
      </c>
      <c r="D158">
        <v>0.22698487140407164</v>
      </c>
      <c r="E158">
        <v>7</v>
      </c>
      <c r="F158">
        <v>0</v>
      </c>
      <c r="G158">
        <v>8.6393349421436338E-2</v>
      </c>
      <c r="H158">
        <v>8811.1599139999962</v>
      </c>
      <c r="I158">
        <v>67</v>
      </c>
      <c r="J158">
        <v>180</v>
      </c>
      <c r="K158">
        <v>2</v>
      </c>
      <c r="L158">
        <v>1</v>
      </c>
      <c r="M158">
        <v>2</v>
      </c>
      <c r="N158">
        <v>2</v>
      </c>
      <c r="T158" s="124"/>
      <c r="U158" s="125"/>
      <c r="V158" s="124"/>
      <c r="W158" s="123"/>
      <c r="X158" s="124"/>
      <c r="Y158" s="124"/>
      <c r="Z158" s="124"/>
      <c r="AA158" s="124"/>
      <c r="AB158" s="123"/>
      <c r="AC158" s="123"/>
      <c r="AD158" s="123"/>
      <c r="AE158" s="123"/>
      <c r="AF158" s="123"/>
    </row>
    <row r="159" spans="1:32">
      <c r="A159">
        <v>78</v>
      </c>
      <c r="B159">
        <v>2</v>
      </c>
      <c r="C159">
        <v>1873</v>
      </c>
      <c r="D159">
        <v>0.19913207996198365</v>
      </c>
      <c r="E159">
        <v>5</v>
      </c>
      <c r="F159">
        <v>0</v>
      </c>
      <c r="G159">
        <v>6.7124566643410682E-2</v>
      </c>
      <c r="H159">
        <v>10043.585144000004</v>
      </c>
      <c r="I159">
        <v>62</v>
      </c>
      <c r="J159">
        <v>180</v>
      </c>
      <c r="K159">
        <v>1</v>
      </c>
      <c r="L159">
        <v>1</v>
      </c>
      <c r="M159">
        <v>1</v>
      </c>
      <c r="N159">
        <v>2</v>
      </c>
      <c r="T159" s="124"/>
      <c r="U159" s="125"/>
      <c r="V159" s="124"/>
      <c r="W159" s="123"/>
      <c r="X159" s="124"/>
      <c r="Y159" s="124"/>
      <c r="Z159" s="124"/>
      <c r="AA159" s="124"/>
      <c r="AB159" s="123"/>
      <c r="AC159" s="123"/>
      <c r="AD159" s="123"/>
      <c r="AE159" s="123"/>
      <c r="AF159" s="123"/>
    </row>
    <row r="160" spans="1:32">
      <c r="A160">
        <v>79</v>
      </c>
      <c r="B160">
        <v>1</v>
      </c>
      <c r="C160">
        <v>4268</v>
      </c>
      <c r="D160">
        <v>0.22640057996076648</v>
      </c>
      <c r="E160">
        <v>7</v>
      </c>
      <c r="F160">
        <v>0</v>
      </c>
      <c r="G160">
        <v>8.6407439882358203E-2</v>
      </c>
      <c r="H160">
        <v>8833.8996319999933</v>
      </c>
      <c r="I160">
        <v>66</v>
      </c>
      <c r="J160">
        <v>180</v>
      </c>
      <c r="K160">
        <v>2</v>
      </c>
      <c r="L160">
        <v>1</v>
      </c>
      <c r="M160">
        <v>2</v>
      </c>
      <c r="N160">
        <v>2</v>
      </c>
      <c r="T160" s="124"/>
      <c r="U160" s="125"/>
      <c r="V160" s="124"/>
      <c r="W160" s="123"/>
      <c r="X160" s="124"/>
      <c r="Y160" s="124"/>
      <c r="Z160" s="124"/>
      <c r="AA160" s="124"/>
      <c r="AB160" s="123"/>
      <c r="AC160" s="123"/>
      <c r="AD160" s="123"/>
      <c r="AE160" s="123"/>
      <c r="AF160" s="123"/>
    </row>
    <row r="161" spans="1:32">
      <c r="A161">
        <v>79</v>
      </c>
      <c r="B161">
        <v>2</v>
      </c>
      <c r="C161">
        <v>914</v>
      </c>
      <c r="D161">
        <v>0.19911811395747844</v>
      </c>
      <c r="E161">
        <v>5</v>
      </c>
      <c r="F161">
        <v>0</v>
      </c>
      <c r="G161">
        <v>6.7124967002405014E-2</v>
      </c>
      <c r="H161">
        <v>10044.289593999965</v>
      </c>
      <c r="I161">
        <v>63</v>
      </c>
      <c r="J161">
        <v>180</v>
      </c>
      <c r="K161">
        <v>1</v>
      </c>
      <c r="L161">
        <v>1</v>
      </c>
      <c r="M161">
        <v>1</v>
      </c>
      <c r="N161">
        <v>2</v>
      </c>
      <c r="T161" s="124"/>
      <c r="U161" s="125"/>
      <c r="V161" s="124"/>
      <c r="W161" s="123"/>
      <c r="X161" s="124"/>
      <c r="Y161" s="124"/>
      <c r="Z161" s="124"/>
      <c r="AA161" s="124"/>
      <c r="AB161" s="123"/>
      <c r="AC161" s="123"/>
      <c r="AD161" s="123"/>
      <c r="AE161" s="123"/>
      <c r="AF161" s="123"/>
    </row>
    <row r="162" spans="1:32">
      <c r="A162">
        <v>80</v>
      </c>
      <c r="B162">
        <v>1</v>
      </c>
      <c r="C162">
        <v>723</v>
      </c>
      <c r="D162">
        <v>0.22430734358579618</v>
      </c>
      <c r="E162">
        <v>7</v>
      </c>
      <c r="F162">
        <v>0</v>
      </c>
      <c r="G162">
        <v>8.6458320020179724E-2</v>
      </c>
      <c r="H162">
        <v>8916.3375929999911</v>
      </c>
      <c r="I162">
        <v>65</v>
      </c>
      <c r="J162">
        <v>180</v>
      </c>
      <c r="K162">
        <v>1</v>
      </c>
      <c r="L162">
        <v>2</v>
      </c>
      <c r="M162">
        <v>1</v>
      </c>
      <c r="N162">
        <v>3</v>
      </c>
      <c r="T162" s="124"/>
      <c r="U162" s="125"/>
      <c r="V162" s="124"/>
      <c r="W162" s="123"/>
      <c r="X162" s="124"/>
      <c r="Y162" s="124"/>
      <c r="Z162" s="124"/>
      <c r="AA162" s="124"/>
      <c r="AB162" s="123"/>
      <c r="AC162" s="123"/>
      <c r="AD162" s="123"/>
      <c r="AE162" s="123"/>
      <c r="AF162" s="123"/>
    </row>
    <row r="163" spans="1:32">
      <c r="A163">
        <v>80</v>
      </c>
      <c r="B163">
        <v>2</v>
      </c>
      <c r="C163">
        <v>649</v>
      </c>
      <c r="D163">
        <v>0.19945357260451421</v>
      </c>
      <c r="E163">
        <v>5</v>
      </c>
      <c r="F163">
        <v>0</v>
      </c>
      <c r="G163">
        <v>6.7115360853871098E-2</v>
      </c>
      <c r="H163">
        <v>10027.396219999993</v>
      </c>
      <c r="I163">
        <v>63</v>
      </c>
      <c r="J163">
        <v>180</v>
      </c>
      <c r="K163">
        <v>1</v>
      </c>
      <c r="L163">
        <v>1</v>
      </c>
      <c r="M163">
        <v>1</v>
      </c>
      <c r="N163">
        <v>2</v>
      </c>
      <c r="T163" s="124"/>
      <c r="U163" s="125"/>
      <c r="V163" s="124"/>
      <c r="W163" s="123"/>
      <c r="X163" s="124"/>
      <c r="Y163" s="124"/>
      <c r="Z163" s="124"/>
      <c r="AA163" s="124"/>
      <c r="AB163" s="123"/>
      <c r="AC163" s="123"/>
      <c r="AD163" s="123"/>
      <c r="AE163" s="123"/>
      <c r="AF163" s="123"/>
    </row>
    <row r="164" spans="1:32">
      <c r="E164">
        <f>AVERAGE(E4:E163)</f>
        <v>14.9</v>
      </c>
    </row>
    <row r="174" spans="1:32">
      <c r="A174">
        <v>1</v>
      </c>
      <c r="B174">
        <v>1</v>
      </c>
      <c r="C174">
        <v>2466</v>
      </c>
      <c r="D174">
        <v>0.38585595328151201</v>
      </c>
      <c r="E174">
        <v>64</v>
      </c>
      <c r="F174">
        <v>0</v>
      </c>
      <c r="G174">
        <v>0.6537359361982108</v>
      </c>
      <c r="H174">
        <v>5183.2814369999987</v>
      </c>
      <c r="I174">
        <v>65</v>
      </c>
      <c r="J174">
        <v>180</v>
      </c>
      <c r="K174">
        <v>13</v>
      </c>
      <c r="L174">
        <v>24</v>
      </c>
      <c r="M174">
        <v>12</v>
      </c>
      <c r="N174">
        <v>15</v>
      </c>
    </row>
    <row r="175" spans="1:32">
      <c r="A175">
        <v>1</v>
      </c>
      <c r="B175">
        <v>2</v>
      </c>
      <c r="C175">
        <v>8768</v>
      </c>
      <c r="D175">
        <v>0.32378373753390205</v>
      </c>
      <c r="E175">
        <v>28</v>
      </c>
      <c r="F175">
        <v>0</v>
      </c>
      <c r="G175">
        <v>0.29456291526921546</v>
      </c>
      <c r="H175">
        <v>6176.9624850000018</v>
      </c>
      <c r="I175">
        <v>65</v>
      </c>
      <c r="J175">
        <v>180</v>
      </c>
      <c r="K175">
        <v>8</v>
      </c>
      <c r="L175">
        <v>7</v>
      </c>
      <c r="M175">
        <v>8</v>
      </c>
      <c r="N175">
        <v>5</v>
      </c>
    </row>
    <row r="176" spans="1:32">
      <c r="A176">
        <v>2</v>
      </c>
      <c r="B176">
        <v>1</v>
      </c>
      <c r="C176">
        <v>6390</v>
      </c>
      <c r="D176">
        <v>0.37239121363219285</v>
      </c>
      <c r="E176">
        <v>42</v>
      </c>
      <c r="F176">
        <v>0</v>
      </c>
      <c r="G176">
        <v>0.43389953244118495</v>
      </c>
      <c r="H176">
        <v>5370.6959960000031</v>
      </c>
      <c r="I176">
        <v>65</v>
      </c>
      <c r="J176">
        <v>180</v>
      </c>
      <c r="K176">
        <v>13</v>
      </c>
      <c r="L176">
        <v>10</v>
      </c>
      <c r="M176">
        <v>12</v>
      </c>
      <c r="N176">
        <v>7</v>
      </c>
    </row>
    <row r="177" spans="1:14">
      <c r="A177">
        <v>2</v>
      </c>
      <c r="B177">
        <v>2</v>
      </c>
      <c r="C177">
        <v>6849</v>
      </c>
      <c r="D177">
        <v>0.31825006570773839</v>
      </c>
      <c r="E177">
        <v>22</v>
      </c>
      <c r="F177">
        <v>0</v>
      </c>
      <c r="G177">
        <v>0.23464683646741413</v>
      </c>
      <c r="H177">
        <v>6284.3663380000025</v>
      </c>
      <c r="I177">
        <v>63</v>
      </c>
      <c r="J177">
        <v>180</v>
      </c>
      <c r="K177">
        <v>5</v>
      </c>
      <c r="L177">
        <v>7</v>
      </c>
      <c r="M177">
        <v>6</v>
      </c>
      <c r="N177">
        <v>4</v>
      </c>
    </row>
    <row r="178" spans="1:14">
      <c r="A178">
        <v>3</v>
      </c>
      <c r="B178">
        <v>1</v>
      </c>
      <c r="C178">
        <v>6017</v>
      </c>
      <c r="D178">
        <v>0.40936417957215049</v>
      </c>
      <c r="E178">
        <v>68</v>
      </c>
      <c r="F178">
        <v>0</v>
      </c>
      <c r="G178">
        <v>0.69346780193030577</v>
      </c>
      <c r="H178">
        <v>4885.6253180000076</v>
      </c>
      <c r="I178">
        <v>63</v>
      </c>
      <c r="J178">
        <v>180</v>
      </c>
      <c r="K178">
        <v>14</v>
      </c>
      <c r="L178">
        <v>17</v>
      </c>
      <c r="M178">
        <v>24</v>
      </c>
      <c r="N178">
        <v>13</v>
      </c>
    </row>
    <row r="179" spans="1:14">
      <c r="A179">
        <v>3</v>
      </c>
      <c r="B179">
        <v>2</v>
      </c>
      <c r="C179">
        <v>7613</v>
      </c>
      <c r="D179">
        <v>0.3355229111148807</v>
      </c>
      <c r="E179">
        <v>23</v>
      </c>
      <c r="F179">
        <v>0</v>
      </c>
      <c r="G179">
        <v>0.24439105411437237</v>
      </c>
      <c r="H179">
        <v>5960.8448000000035</v>
      </c>
      <c r="I179">
        <v>63</v>
      </c>
      <c r="J179">
        <v>180</v>
      </c>
      <c r="K179">
        <v>4</v>
      </c>
      <c r="L179">
        <v>6</v>
      </c>
      <c r="M179">
        <v>8</v>
      </c>
      <c r="N179">
        <v>5</v>
      </c>
    </row>
    <row r="180" spans="1:14">
      <c r="A180">
        <v>4</v>
      </c>
      <c r="B180">
        <v>1</v>
      </c>
      <c r="C180">
        <v>6554</v>
      </c>
      <c r="D180">
        <v>0.41863856682552963</v>
      </c>
      <c r="E180">
        <v>93</v>
      </c>
      <c r="F180">
        <v>0</v>
      </c>
      <c r="G180">
        <v>0.94336760451549695</v>
      </c>
      <c r="H180">
        <v>4777.3907100000015</v>
      </c>
      <c r="I180">
        <v>63</v>
      </c>
      <c r="J180">
        <v>180</v>
      </c>
      <c r="K180">
        <v>37</v>
      </c>
      <c r="L180">
        <v>15</v>
      </c>
      <c r="M180">
        <v>25</v>
      </c>
      <c r="N180">
        <v>16</v>
      </c>
    </row>
    <row r="181" spans="1:14">
      <c r="A181">
        <v>4</v>
      </c>
      <c r="B181">
        <v>2</v>
      </c>
      <c r="C181">
        <v>2007</v>
      </c>
      <c r="D181">
        <v>0.34531488606030697</v>
      </c>
      <c r="E181">
        <v>29</v>
      </c>
      <c r="F181">
        <v>0</v>
      </c>
      <c r="G181">
        <v>0.30425372032379838</v>
      </c>
      <c r="H181">
        <v>5791.815182999997</v>
      </c>
      <c r="I181">
        <v>65</v>
      </c>
      <c r="J181">
        <v>180</v>
      </c>
      <c r="K181">
        <v>7</v>
      </c>
      <c r="L181">
        <v>7</v>
      </c>
      <c r="M181">
        <v>8</v>
      </c>
      <c r="N181">
        <v>7</v>
      </c>
    </row>
    <row r="182" spans="1:14">
      <c r="A182">
        <v>5</v>
      </c>
      <c r="B182">
        <v>1</v>
      </c>
      <c r="C182">
        <v>7124</v>
      </c>
      <c r="D182">
        <v>0.40090900672931562</v>
      </c>
      <c r="E182">
        <v>86</v>
      </c>
      <c r="F182">
        <v>0</v>
      </c>
      <c r="G182">
        <v>0.873561822698393</v>
      </c>
      <c r="H182">
        <v>4988.6631790000001</v>
      </c>
      <c r="I182">
        <v>63</v>
      </c>
      <c r="J182">
        <v>180</v>
      </c>
      <c r="K182">
        <v>28</v>
      </c>
      <c r="L182">
        <v>9</v>
      </c>
      <c r="M182">
        <v>21</v>
      </c>
      <c r="N182">
        <v>28</v>
      </c>
    </row>
    <row r="183" spans="1:14">
      <c r="A183">
        <v>5</v>
      </c>
      <c r="B183">
        <v>2</v>
      </c>
      <c r="C183">
        <v>5052</v>
      </c>
      <c r="D183">
        <v>0.31846137049937734</v>
      </c>
      <c r="E183">
        <v>21</v>
      </c>
      <c r="F183">
        <v>0</v>
      </c>
      <c r="G183">
        <v>0.22464359627170591</v>
      </c>
      <c r="H183">
        <v>6280.1965490000002</v>
      </c>
      <c r="I183">
        <v>62</v>
      </c>
      <c r="J183">
        <v>180</v>
      </c>
      <c r="K183">
        <v>5</v>
      </c>
      <c r="L183">
        <v>5</v>
      </c>
      <c r="M183">
        <v>7</v>
      </c>
      <c r="N183">
        <v>4</v>
      </c>
    </row>
    <row r="184" spans="1:14">
      <c r="A184">
        <v>6</v>
      </c>
      <c r="B184">
        <v>1</v>
      </c>
      <c r="C184">
        <v>6217</v>
      </c>
      <c r="D184">
        <v>0.42578677110554258</v>
      </c>
      <c r="E184">
        <v>63</v>
      </c>
      <c r="F184">
        <v>0</v>
      </c>
      <c r="G184">
        <v>0.64329237582704024</v>
      </c>
      <c r="H184">
        <v>4697.1867979999943</v>
      </c>
      <c r="I184">
        <v>63</v>
      </c>
      <c r="J184">
        <v>180</v>
      </c>
      <c r="K184">
        <v>18</v>
      </c>
      <c r="L184">
        <v>19</v>
      </c>
      <c r="M184">
        <v>15</v>
      </c>
      <c r="N184">
        <v>11</v>
      </c>
    </row>
    <row r="185" spans="1:14">
      <c r="A185">
        <v>6</v>
      </c>
      <c r="B185">
        <v>2</v>
      </c>
      <c r="C185">
        <v>3309</v>
      </c>
      <c r="D185">
        <v>0.33585113343430889</v>
      </c>
      <c r="E185">
        <v>22</v>
      </c>
      <c r="F185">
        <v>0</v>
      </c>
      <c r="G185">
        <v>0.2343863645319452</v>
      </c>
      <c r="H185">
        <v>5955.0193550000085</v>
      </c>
      <c r="I185">
        <v>63</v>
      </c>
      <c r="J185">
        <v>180</v>
      </c>
      <c r="K185">
        <v>4</v>
      </c>
      <c r="L185">
        <v>7</v>
      </c>
      <c r="M185">
        <v>7</v>
      </c>
      <c r="N185">
        <v>4</v>
      </c>
    </row>
    <row r="186" spans="1:14">
      <c r="A186">
        <v>7</v>
      </c>
      <c r="B186">
        <v>1</v>
      </c>
      <c r="C186">
        <v>4134</v>
      </c>
      <c r="D186">
        <v>0.42586795869185168</v>
      </c>
      <c r="E186">
        <v>164</v>
      </c>
      <c r="F186">
        <v>0</v>
      </c>
      <c r="G186">
        <v>1.6532915310859468</v>
      </c>
      <c r="H186">
        <v>4696.2913249999965</v>
      </c>
      <c r="I186">
        <v>62</v>
      </c>
      <c r="J186">
        <v>180</v>
      </c>
      <c r="K186">
        <v>31</v>
      </c>
      <c r="L186">
        <v>44</v>
      </c>
      <c r="M186">
        <v>63</v>
      </c>
      <c r="N186">
        <v>26</v>
      </c>
    </row>
    <row r="187" spans="1:14">
      <c r="A187">
        <v>7</v>
      </c>
      <c r="B187">
        <v>2</v>
      </c>
      <c r="C187">
        <v>2617</v>
      </c>
      <c r="D187">
        <v>0.3342157107697199</v>
      </c>
      <c r="E187">
        <v>31</v>
      </c>
      <c r="F187">
        <v>0</v>
      </c>
      <c r="G187">
        <v>0.32440979203057202</v>
      </c>
      <c r="H187">
        <v>5984.1591389999994</v>
      </c>
      <c r="I187">
        <v>64</v>
      </c>
      <c r="J187">
        <v>180</v>
      </c>
      <c r="K187">
        <v>7</v>
      </c>
      <c r="L187">
        <v>7</v>
      </c>
      <c r="M187">
        <v>10</v>
      </c>
      <c r="N187">
        <v>7</v>
      </c>
    </row>
    <row r="188" spans="1:14">
      <c r="A188">
        <v>8</v>
      </c>
      <c r="B188">
        <v>1</v>
      </c>
      <c r="C188">
        <v>6452</v>
      </c>
      <c r="D188">
        <v>0.39369194398003554</v>
      </c>
      <c r="E188">
        <v>39</v>
      </c>
      <c r="F188">
        <v>0</v>
      </c>
      <c r="G188">
        <v>0.40364419205832697</v>
      </c>
      <c r="H188">
        <v>5080.1141109999999</v>
      </c>
      <c r="I188">
        <v>62</v>
      </c>
      <c r="J188">
        <v>180</v>
      </c>
      <c r="K188">
        <v>9</v>
      </c>
      <c r="L188">
        <v>11</v>
      </c>
      <c r="M188">
        <v>10</v>
      </c>
      <c r="N188">
        <v>9</v>
      </c>
    </row>
    <row r="189" spans="1:14">
      <c r="A189">
        <v>8</v>
      </c>
      <c r="B189">
        <v>2</v>
      </c>
      <c r="C189">
        <v>2461</v>
      </c>
      <c r="D189">
        <v>0.32288337420735747</v>
      </c>
      <c r="E189">
        <v>26</v>
      </c>
      <c r="F189">
        <v>0</v>
      </c>
      <c r="G189">
        <v>0.27457643898207079</v>
      </c>
      <c r="H189">
        <v>6194.1870030000027</v>
      </c>
      <c r="I189">
        <v>67</v>
      </c>
      <c r="J189">
        <v>180</v>
      </c>
      <c r="K189">
        <v>8</v>
      </c>
      <c r="L189">
        <v>6</v>
      </c>
      <c r="M189">
        <v>10</v>
      </c>
      <c r="N189">
        <v>2</v>
      </c>
    </row>
    <row r="190" spans="1:14">
      <c r="A190">
        <v>9</v>
      </c>
      <c r="B190">
        <v>1</v>
      </c>
      <c r="C190">
        <v>1462</v>
      </c>
      <c r="D190">
        <v>0.40006969478129079</v>
      </c>
      <c r="E190">
        <v>65</v>
      </c>
      <c r="F190">
        <v>0</v>
      </c>
      <c r="G190">
        <v>0.66357129992143182</v>
      </c>
      <c r="H190">
        <v>4999.1289670000015</v>
      </c>
      <c r="I190">
        <v>62</v>
      </c>
      <c r="J190">
        <v>180</v>
      </c>
      <c r="K190">
        <v>19</v>
      </c>
      <c r="L190">
        <v>20</v>
      </c>
      <c r="M190">
        <v>11</v>
      </c>
      <c r="N190">
        <v>15</v>
      </c>
    </row>
    <row r="191" spans="1:14">
      <c r="A191">
        <v>9</v>
      </c>
      <c r="B191">
        <v>2</v>
      </c>
      <c r="C191">
        <v>8236</v>
      </c>
      <c r="D191">
        <v>0.33361450263531062</v>
      </c>
      <c r="E191">
        <v>27</v>
      </c>
      <c r="F191">
        <v>0</v>
      </c>
      <c r="G191">
        <v>0.28441844281890416</v>
      </c>
      <c r="H191">
        <v>5994.9432180000049</v>
      </c>
      <c r="I191">
        <v>64</v>
      </c>
      <c r="J191">
        <v>180</v>
      </c>
      <c r="K191">
        <v>7</v>
      </c>
      <c r="L191">
        <v>7</v>
      </c>
      <c r="M191">
        <v>5</v>
      </c>
      <c r="N191">
        <v>8</v>
      </c>
    </row>
    <row r="192" spans="1:14">
      <c r="A192">
        <v>10</v>
      </c>
      <c r="B192">
        <v>1</v>
      </c>
      <c r="C192">
        <v>6653</v>
      </c>
      <c r="D192">
        <v>0.39239062869274793</v>
      </c>
      <c r="E192">
        <v>62</v>
      </c>
      <c r="F192">
        <v>0</v>
      </c>
      <c r="G192">
        <v>0.63365925851050675</v>
      </c>
      <c r="H192">
        <v>5096.9616850000057</v>
      </c>
      <c r="I192">
        <v>64</v>
      </c>
      <c r="J192">
        <v>180</v>
      </c>
      <c r="K192">
        <v>19</v>
      </c>
      <c r="L192">
        <v>8</v>
      </c>
      <c r="M192">
        <v>19</v>
      </c>
      <c r="N192">
        <v>16</v>
      </c>
    </row>
    <row r="193" spans="1:14">
      <c r="A193">
        <v>10</v>
      </c>
      <c r="B193">
        <v>2</v>
      </c>
      <c r="C193">
        <v>5661</v>
      </c>
      <c r="D193">
        <v>0.3129788558400256</v>
      </c>
      <c r="E193">
        <v>21</v>
      </c>
      <c r="F193">
        <v>0</v>
      </c>
      <c r="G193">
        <v>0.22472860676260342</v>
      </c>
      <c r="H193">
        <v>6390.2080370000131</v>
      </c>
      <c r="I193">
        <v>65</v>
      </c>
      <c r="J193">
        <v>180</v>
      </c>
      <c r="K193">
        <v>6</v>
      </c>
      <c r="L193">
        <v>5</v>
      </c>
      <c r="M193">
        <v>6</v>
      </c>
      <c r="N193">
        <v>4</v>
      </c>
    </row>
    <row r="194" spans="1:14">
      <c r="A194">
        <v>11</v>
      </c>
      <c r="B194">
        <v>1</v>
      </c>
      <c r="C194">
        <v>2571</v>
      </c>
      <c r="D194">
        <v>0.43855443395402866</v>
      </c>
      <c r="E194">
        <v>18</v>
      </c>
      <c r="F194">
        <v>0</v>
      </c>
      <c r="G194">
        <v>0.19316210945138834</v>
      </c>
      <c r="H194">
        <v>4560.4373029999952</v>
      </c>
      <c r="I194">
        <v>62</v>
      </c>
      <c r="J194">
        <v>180</v>
      </c>
      <c r="K194">
        <v>4</v>
      </c>
      <c r="L194">
        <v>5</v>
      </c>
      <c r="M194">
        <v>5</v>
      </c>
      <c r="N194">
        <v>4</v>
      </c>
    </row>
    <row r="195" spans="1:14">
      <c r="A195">
        <v>11</v>
      </c>
      <c r="B195">
        <v>2</v>
      </c>
      <c r="C195">
        <v>802</v>
      </c>
      <c r="D195">
        <v>0.35586390482813435</v>
      </c>
      <c r="E195">
        <v>9</v>
      </c>
      <c r="F195">
        <v>0</v>
      </c>
      <c r="G195">
        <v>0.10411146230644165</v>
      </c>
      <c r="H195">
        <v>5620.1260450000027</v>
      </c>
      <c r="I195">
        <v>62</v>
      </c>
      <c r="J195">
        <v>180</v>
      </c>
      <c r="K195">
        <v>2</v>
      </c>
      <c r="L195">
        <v>2</v>
      </c>
      <c r="M195">
        <v>3</v>
      </c>
      <c r="N195">
        <v>2</v>
      </c>
    </row>
    <row r="196" spans="1:14">
      <c r="A196">
        <v>12</v>
      </c>
      <c r="B196">
        <v>1</v>
      </c>
      <c r="C196">
        <v>1195</v>
      </c>
      <c r="D196">
        <v>0.43641911129494076</v>
      </c>
      <c r="E196">
        <v>18</v>
      </c>
      <c r="F196">
        <v>0</v>
      </c>
      <c r="G196">
        <v>0.19318354117136172</v>
      </c>
      <c r="H196">
        <v>4582.7507279999936</v>
      </c>
      <c r="I196">
        <v>61</v>
      </c>
      <c r="J196">
        <v>180</v>
      </c>
      <c r="K196">
        <v>4</v>
      </c>
      <c r="L196">
        <v>4</v>
      </c>
      <c r="M196">
        <v>6</v>
      </c>
      <c r="N196">
        <v>4</v>
      </c>
    </row>
    <row r="197" spans="1:14">
      <c r="A197">
        <v>12</v>
      </c>
      <c r="B197">
        <v>2</v>
      </c>
      <c r="C197">
        <v>403</v>
      </c>
      <c r="D197">
        <v>0.34492927611514074</v>
      </c>
      <c r="E197">
        <v>9</v>
      </c>
      <c r="F197">
        <v>0</v>
      </c>
      <c r="G197">
        <v>0.10425902994305396</v>
      </c>
      <c r="H197">
        <v>5798.2900799999961</v>
      </c>
      <c r="I197">
        <v>61</v>
      </c>
      <c r="J197">
        <v>180</v>
      </c>
      <c r="K197">
        <v>2</v>
      </c>
      <c r="L197">
        <v>2</v>
      </c>
      <c r="M197">
        <v>2</v>
      </c>
      <c r="N197">
        <v>3</v>
      </c>
    </row>
    <row r="198" spans="1:14">
      <c r="A198">
        <v>13</v>
      </c>
      <c r="B198">
        <v>1</v>
      </c>
      <c r="C198">
        <v>3714</v>
      </c>
      <c r="D198">
        <v>0.44125156420701056</v>
      </c>
      <c r="E198">
        <v>19</v>
      </c>
      <c r="F198">
        <v>0</v>
      </c>
      <c r="G198">
        <v>0.20313523702481373</v>
      </c>
      <c r="H198">
        <v>4532.5618360000008</v>
      </c>
      <c r="I198">
        <v>64</v>
      </c>
      <c r="J198">
        <v>180</v>
      </c>
      <c r="K198">
        <v>5</v>
      </c>
      <c r="L198">
        <v>4</v>
      </c>
      <c r="M198">
        <v>5</v>
      </c>
      <c r="N198">
        <v>5</v>
      </c>
    </row>
    <row r="199" spans="1:14">
      <c r="A199">
        <v>13</v>
      </c>
      <c r="B199">
        <v>2</v>
      </c>
      <c r="C199">
        <v>535</v>
      </c>
      <c r="D199">
        <v>0.35396976716007295</v>
      </c>
      <c r="E199">
        <v>9</v>
      </c>
      <c r="F199">
        <v>0</v>
      </c>
      <c r="G199">
        <v>0.1041365882909658</v>
      </c>
      <c r="H199">
        <v>5650.2000610000005</v>
      </c>
      <c r="I199">
        <v>64</v>
      </c>
      <c r="J199">
        <v>180</v>
      </c>
      <c r="K199">
        <v>2</v>
      </c>
      <c r="L199">
        <v>3</v>
      </c>
      <c r="M199">
        <v>2</v>
      </c>
      <c r="N199">
        <v>2</v>
      </c>
    </row>
    <row r="200" spans="1:14">
      <c r="A200">
        <v>14</v>
      </c>
      <c r="B200">
        <v>1</v>
      </c>
      <c r="C200">
        <v>907</v>
      </c>
      <c r="D200">
        <v>0.4271842270368012</v>
      </c>
      <c r="E200">
        <v>16</v>
      </c>
      <c r="F200">
        <v>0</v>
      </c>
      <c r="G200">
        <v>0.17327786545842258</v>
      </c>
      <c r="H200">
        <v>4681.8208009999944</v>
      </c>
      <c r="I200">
        <v>64</v>
      </c>
      <c r="J200">
        <v>180</v>
      </c>
      <c r="K200">
        <v>4</v>
      </c>
      <c r="L200">
        <v>4</v>
      </c>
      <c r="M200">
        <v>4</v>
      </c>
      <c r="N200">
        <v>4</v>
      </c>
    </row>
    <row r="201" spans="1:14">
      <c r="A201">
        <v>14</v>
      </c>
      <c r="B201">
        <v>2</v>
      </c>
      <c r="C201">
        <v>1254</v>
      </c>
      <c r="D201">
        <v>0.33591993192555702</v>
      </c>
      <c r="E201">
        <v>8</v>
      </c>
      <c r="F201">
        <v>0</v>
      </c>
      <c r="G201">
        <v>9.4385382325911704E-2</v>
      </c>
      <c r="H201">
        <v>5953.7997300000006</v>
      </c>
      <c r="I201">
        <v>61</v>
      </c>
      <c r="J201">
        <v>180</v>
      </c>
      <c r="K201">
        <v>2</v>
      </c>
      <c r="L201">
        <v>2</v>
      </c>
      <c r="M201">
        <v>2</v>
      </c>
      <c r="N201">
        <v>2</v>
      </c>
    </row>
    <row r="202" spans="1:14">
      <c r="A202">
        <v>15</v>
      </c>
      <c r="B202">
        <v>1</v>
      </c>
      <c r="C202">
        <v>8175</v>
      </c>
      <c r="D202">
        <v>0.43639030292141789</v>
      </c>
      <c r="E202">
        <v>17</v>
      </c>
      <c r="F202">
        <v>0</v>
      </c>
      <c r="G202">
        <v>0.18318383126948315</v>
      </c>
      <c r="H202">
        <v>4583.0532589999966</v>
      </c>
      <c r="I202">
        <v>62</v>
      </c>
      <c r="J202">
        <v>180</v>
      </c>
      <c r="K202">
        <v>4</v>
      </c>
      <c r="L202">
        <v>4</v>
      </c>
      <c r="M202">
        <v>4</v>
      </c>
      <c r="N202">
        <v>5</v>
      </c>
    </row>
    <row r="203" spans="1:14">
      <c r="A203">
        <v>15</v>
      </c>
      <c r="B203">
        <v>2</v>
      </c>
      <c r="C203">
        <v>6661</v>
      </c>
      <c r="D203">
        <v>0.3538417704025863</v>
      </c>
      <c r="E203">
        <v>9</v>
      </c>
      <c r="F203">
        <v>0</v>
      </c>
      <c r="G203">
        <v>0.10413829264912784</v>
      </c>
      <c r="H203">
        <v>5652.243933000007</v>
      </c>
      <c r="I203">
        <v>59</v>
      </c>
      <c r="J203">
        <v>180</v>
      </c>
      <c r="K203">
        <v>2</v>
      </c>
      <c r="L203">
        <v>3</v>
      </c>
      <c r="M203">
        <v>2</v>
      </c>
      <c r="N203">
        <v>2</v>
      </c>
    </row>
    <row r="204" spans="1:14">
      <c r="A204">
        <v>16</v>
      </c>
      <c r="B204">
        <v>1</v>
      </c>
      <c r="C204">
        <v>3641</v>
      </c>
      <c r="D204">
        <v>0.43713101104732799</v>
      </c>
      <c r="E204">
        <v>22</v>
      </c>
      <c r="F204">
        <v>0</v>
      </c>
      <c r="G204">
        <v>0.233176380496425</v>
      </c>
      <c r="H204">
        <v>4575.2873839999902</v>
      </c>
      <c r="I204">
        <v>59</v>
      </c>
      <c r="J204">
        <v>180</v>
      </c>
      <c r="K204">
        <v>5</v>
      </c>
      <c r="L204">
        <v>7</v>
      </c>
      <c r="M204">
        <v>5</v>
      </c>
      <c r="N204">
        <v>5</v>
      </c>
    </row>
    <row r="205" spans="1:14">
      <c r="A205">
        <v>16</v>
      </c>
      <c r="B205">
        <v>2</v>
      </c>
      <c r="C205">
        <v>2368</v>
      </c>
      <c r="D205">
        <v>0.34770190434457238</v>
      </c>
      <c r="E205">
        <v>9</v>
      </c>
      <c r="F205">
        <v>0</v>
      </c>
      <c r="G205">
        <v>0.10422102752153795</v>
      </c>
      <c r="H205">
        <v>5752.0536269999866</v>
      </c>
      <c r="I205">
        <v>59</v>
      </c>
      <c r="J205">
        <v>180</v>
      </c>
      <c r="K205">
        <v>2</v>
      </c>
      <c r="L205">
        <v>3</v>
      </c>
      <c r="M205">
        <v>2</v>
      </c>
      <c r="N205">
        <v>2</v>
      </c>
    </row>
    <row r="206" spans="1:14">
      <c r="A206">
        <v>17</v>
      </c>
      <c r="B206">
        <v>1</v>
      </c>
      <c r="C206">
        <v>3362</v>
      </c>
      <c r="D206">
        <v>0.42759363722067523</v>
      </c>
      <c r="E206">
        <v>17</v>
      </c>
      <c r="F206">
        <v>0</v>
      </c>
      <c r="G206">
        <v>0.18327362636413361</v>
      </c>
      <c r="H206">
        <v>4677.3380749999969</v>
      </c>
      <c r="I206">
        <v>60</v>
      </c>
      <c r="J206">
        <v>180</v>
      </c>
      <c r="K206">
        <v>5</v>
      </c>
      <c r="L206">
        <v>3</v>
      </c>
      <c r="M206">
        <v>5</v>
      </c>
      <c r="N206">
        <v>4</v>
      </c>
    </row>
    <row r="207" spans="1:14">
      <c r="A207">
        <v>17</v>
      </c>
      <c r="B207">
        <v>2</v>
      </c>
      <c r="C207">
        <v>907</v>
      </c>
      <c r="D207">
        <v>0.33975999384613115</v>
      </c>
      <c r="E207">
        <v>8</v>
      </c>
      <c r="F207">
        <v>0</v>
      </c>
      <c r="G207">
        <v>9.4330980991583699E-2</v>
      </c>
      <c r="H207">
        <v>5886.5082299999985</v>
      </c>
      <c r="I207">
        <v>60</v>
      </c>
      <c r="J207">
        <v>180</v>
      </c>
      <c r="K207">
        <v>2</v>
      </c>
      <c r="L207">
        <v>2</v>
      </c>
      <c r="M207">
        <v>2</v>
      </c>
      <c r="N207">
        <v>2</v>
      </c>
    </row>
    <row r="208" spans="1:14">
      <c r="A208">
        <v>18</v>
      </c>
      <c r="B208">
        <v>1</v>
      </c>
      <c r="C208">
        <v>643</v>
      </c>
      <c r="D208">
        <v>0.43609097471574337</v>
      </c>
      <c r="E208">
        <v>19</v>
      </c>
      <c r="F208">
        <v>0</v>
      </c>
      <c r="G208">
        <v>0.20318684699344364</v>
      </c>
      <c r="H208">
        <v>4586.1990179999884</v>
      </c>
      <c r="I208">
        <v>61</v>
      </c>
      <c r="J208">
        <v>180</v>
      </c>
      <c r="K208">
        <v>5</v>
      </c>
      <c r="L208">
        <v>4</v>
      </c>
      <c r="M208">
        <v>5</v>
      </c>
      <c r="N208">
        <v>5</v>
      </c>
    </row>
    <row r="209" spans="1:14">
      <c r="A209">
        <v>18</v>
      </c>
      <c r="B209">
        <v>2</v>
      </c>
      <c r="C209">
        <v>4625</v>
      </c>
      <c r="D209">
        <v>0.34887840074630927</v>
      </c>
      <c r="E209">
        <v>9</v>
      </c>
      <c r="F209">
        <v>0</v>
      </c>
      <c r="G209">
        <v>0.10420502401824512</v>
      </c>
      <c r="H209">
        <v>5732.6564089999993</v>
      </c>
      <c r="I209">
        <v>64</v>
      </c>
      <c r="J209">
        <v>180</v>
      </c>
      <c r="K209">
        <v>2</v>
      </c>
      <c r="L209">
        <v>2</v>
      </c>
      <c r="M209">
        <v>3</v>
      </c>
      <c r="N209">
        <v>2</v>
      </c>
    </row>
    <row r="210" spans="1:14">
      <c r="A210">
        <v>19</v>
      </c>
      <c r="B210">
        <v>1</v>
      </c>
      <c r="C210">
        <v>1151</v>
      </c>
      <c r="D210">
        <v>0.43618421317713918</v>
      </c>
      <c r="E210">
        <v>17</v>
      </c>
      <c r="F210">
        <v>0</v>
      </c>
      <c r="G210">
        <v>0.18318590732246304</v>
      </c>
      <c r="H210">
        <v>4585.218675000001</v>
      </c>
      <c r="I210">
        <v>72</v>
      </c>
      <c r="J210">
        <v>180</v>
      </c>
      <c r="K210">
        <v>4</v>
      </c>
      <c r="L210">
        <v>4</v>
      </c>
      <c r="M210">
        <v>5</v>
      </c>
      <c r="N210">
        <v>4</v>
      </c>
    </row>
    <row r="211" spans="1:14">
      <c r="A211">
        <v>19</v>
      </c>
      <c r="B211">
        <v>2</v>
      </c>
      <c r="C211">
        <v>4254</v>
      </c>
      <c r="D211">
        <v>0.35389655156260219</v>
      </c>
      <c r="E211">
        <v>9</v>
      </c>
      <c r="F211">
        <v>0</v>
      </c>
      <c r="G211">
        <v>0.10413756310256467</v>
      </c>
      <c r="H211">
        <v>5651.3689980000045</v>
      </c>
      <c r="I211">
        <v>69</v>
      </c>
      <c r="J211">
        <v>180</v>
      </c>
      <c r="K211">
        <v>2</v>
      </c>
      <c r="L211">
        <v>3</v>
      </c>
      <c r="M211">
        <v>2</v>
      </c>
      <c r="N211">
        <v>2</v>
      </c>
    </row>
    <row r="212" spans="1:14">
      <c r="A212">
        <v>20</v>
      </c>
      <c r="B212">
        <v>1</v>
      </c>
      <c r="C212">
        <v>357</v>
      </c>
      <c r="D212">
        <v>0.43761734592888984</v>
      </c>
      <c r="E212">
        <v>18</v>
      </c>
      <c r="F212">
        <v>0</v>
      </c>
      <c r="G212">
        <v>0.19317149760896402</v>
      </c>
      <c r="H212">
        <v>4570.2027549999993</v>
      </c>
      <c r="I212">
        <v>70</v>
      </c>
      <c r="J212">
        <v>180</v>
      </c>
      <c r="K212">
        <v>4</v>
      </c>
      <c r="L212">
        <v>5</v>
      </c>
      <c r="M212">
        <v>4</v>
      </c>
      <c r="N212">
        <v>5</v>
      </c>
    </row>
    <row r="213" spans="1:14">
      <c r="A213">
        <v>20</v>
      </c>
      <c r="B213">
        <v>2</v>
      </c>
      <c r="C213">
        <v>414</v>
      </c>
      <c r="D213">
        <v>0.35264151757781903</v>
      </c>
      <c r="E213">
        <v>9</v>
      </c>
      <c r="F213">
        <v>0</v>
      </c>
      <c r="G213">
        <v>0.10415431487816171</v>
      </c>
      <c r="H213">
        <v>5671.4819449999977</v>
      </c>
      <c r="I213">
        <v>70</v>
      </c>
      <c r="J213">
        <v>180</v>
      </c>
      <c r="K213">
        <v>2</v>
      </c>
      <c r="L213">
        <v>2</v>
      </c>
      <c r="M213">
        <v>3</v>
      </c>
      <c r="N213">
        <v>2</v>
      </c>
    </row>
    <row r="214" spans="1:14">
      <c r="A214">
        <v>21</v>
      </c>
      <c r="B214">
        <v>1</v>
      </c>
      <c r="C214">
        <v>1710</v>
      </c>
      <c r="D214">
        <v>0.23612777963507961</v>
      </c>
      <c r="E214">
        <v>15</v>
      </c>
      <c r="F214">
        <v>0</v>
      </c>
      <c r="G214">
        <v>0.16617897381842264</v>
      </c>
      <c r="H214">
        <v>8469.9902869999969</v>
      </c>
      <c r="I214">
        <v>66</v>
      </c>
      <c r="J214">
        <v>180</v>
      </c>
      <c r="K214">
        <v>6</v>
      </c>
      <c r="L214">
        <v>4</v>
      </c>
      <c r="M214">
        <v>3</v>
      </c>
      <c r="N214">
        <v>2</v>
      </c>
    </row>
    <row r="215" spans="1:14">
      <c r="A215">
        <v>21</v>
      </c>
      <c r="B215">
        <v>2</v>
      </c>
      <c r="C215">
        <v>269</v>
      </c>
      <c r="D215">
        <v>0.18230140606706396</v>
      </c>
      <c r="E215">
        <v>7</v>
      </c>
      <c r="F215">
        <v>0</v>
      </c>
      <c r="G215">
        <v>8.7636131452724697E-2</v>
      </c>
      <c r="H215">
        <v>10970.842426000005</v>
      </c>
      <c r="I215">
        <v>70</v>
      </c>
      <c r="J215">
        <v>180</v>
      </c>
      <c r="K215">
        <v>2</v>
      </c>
      <c r="L215">
        <v>2</v>
      </c>
      <c r="M215">
        <v>2</v>
      </c>
      <c r="N215">
        <v>1</v>
      </c>
    </row>
    <row r="216" spans="1:14">
      <c r="A216">
        <v>22</v>
      </c>
      <c r="B216">
        <v>1</v>
      </c>
      <c r="C216">
        <v>1839</v>
      </c>
      <c r="D216">
        <v>0.21049087776686207</v>
      </c>
      <c r="E216">
        <v>13</v>
      </c>
      <c r="F216">
        <v>0</v>
      </c>
      <c r="G216">
        <v>0.14681082034545942</v>
      </c>
      <c r="H216">
        <v>9501.5994100000062</v>
      </c>
      <c r="I216">
        <v>68</v>
      </c>
      <c r="J216">
        <v>180</v>
      </c>
      <c r="K216">
        <v>5</v>
      </c>
      <c r="L216">
        <v>3</v>
      </c>
      <c r="M216">
        <v>3</v>
      </c>
      <c r="N216">
        <v>2</v>
      </c>
    </row>
    <row r="217" spans="1:14">
      <c r="A217">
        <v>22</v>
      </c>
      <c r="B217">
        <v>2</v>
      </c>
      <c r="C217">
        <v>2477</v>
      </c>
      <c r="D217">
        <v>0.17250817186326159</v>
      </c>
      <c r="E217">
        <v>8</v>
      </c>
      <c r="F217">
        <v>0</v>
      </c>
      <c r="G217">
        <v>9.7963740624575302E-2</v>
      </c>
      <c r="H217">
        <v>11593.653670999991</v>
      </c>
      <c r="I217">
        <v>71</v>
      </c>
      <c r="J217">
        <v>180</v>
      </c>
      <c r="K217">
        <v>3</v>
      </c>
      <c r="L217">
        <v>1</v>
      </c>
      <c r="M217">
        <v>3</v>
      </c>
      <c r="N217">
        <v>1</v>
      </c>
    </row>
    <row r="218" spans="1:14">
      <c r="A218">
        <v>23</v>
      </c>
      <c r="B218">
        <v>1</v>
      </c>
      <c r="C218">
        <v>5089</v>
      </c>
      <c r="D218">
        <v>0.22796758378877838</v>
      </c>
      <c r="E218">
        <v>16</v>
      </c>
      <c r="F218">
        <v>0</v>
      </c>
      <c r="G218">
        <v>0.17636975958830972</v>
      </c>
      <c r="H218">
        <v>8773.1771630000021</v>
      </c>
      <c r="I218">
        <v>69</v>
      </c>
      <c r="J218">
        <v>180</v>
      </c>
      <c r="K218">
        <v>4</v>
      </c>
      <c r="L218">
        <v>5</v>
      </c>
      <c r="M218">
        <v>5</v>
      </c>
      <c r="N218">
        <v>2</v>
      </c>
    </row>
    <row r="219" spans="1:14">
      <c r="A219">
        <v>23</v>
      </c>
      <c r="B219">
        <v>2</v>
      </c>
      <c r="C219">
        <v>1432</v>
      </c>
      <c r="D219">
        <v>0.18428292873130506</v>
      </c>
      <c r="E219">
        <v>8</v>
      </c>
      <c r="F219">
        <v>0</v>
      </c>
      <c r="G219">
        <v>9.7572692039104E-2</v>
      </c>
      <c r="H219">
        <v>10852.877224000022</v>
      </c>
      <c r="I219">
        <v>70</v>
      </c>
      <c r="J219">
        <v>180</v>
      </c>
      <c r="K219">
        <v>2</v>
      </c>
      <c r="L219">
        <v>3</v>
      </c>
      <c r="M219">
        <v>2</v>
      </c>
      <c r="N219">
        <v>1</v>
      </c>
    </row>
    <row r="220" spans="1:14">
      <c r="A220">
        <v>24</v>
      </c>
      <c r="B220">
        <v>1</v>
      </c>
      <c r="C220">
        <v>2093</v>
      </c>
      <c r="D220">
        <v>0.23036392003573639</v>
      </c>
      <c r="E220">
        <v>17</v>
      </c>
      <c r="F220">
        <v>0</v>
      </c>
      <c r="G220">
        <v>0.18631280006153758</v>
      </c>
      <c r="H220">
        <v>8681.9151179999881</v>
      </c>
      <c r="I220">
        <v>67</v>
      </c>
      <c r="J220">
        <v>180</v>
      </c>
      <c r="K220">
        <v>8</v>
      </c>
      <c r="L220">
        <v>3</v>
      </c>
      <c r="M220">
        <v>4</v>
      </c>
      <c r="N220">
        <v>2</v>
      </c>
    </row>
    <row r="221" spans="1:14">
      <c r="A221">
        <v>24</v>
      </c>
      <c r="B221">
        <v>2</v>
      </c>
      <c r="C221">
        <v>650</v>
      </c>
      <c r="D221">
        <v>0.18093441313813799</v>
      </c>
      <c r="E221">
        <v>8</v>
      </c>
      <c r="F221">
        <v>0</v>
      </c>
      <c r="G221">
        <v>9.7680434810119593E-2</v>
      </c>
      <c r="H221">
        <v>11053.729168000009</v>
      </c>
      <c r="I221">
        <v>71</v>
      </c>
      <c r="J221">
        <v>180</v>
      </c>
      <c r="K221">
        <v>3</v>
      </c>
      <c r="L221">
        <v>2</v>
      </c>
      <c r="M221">
        <v>2</v>
      </c>
      <c r="N221">
        <v>1</v>
      </c>
    </row>
    <row r="222" spans="1:14">
      <c r="A222">
        <v>25</v>
      </c>
      <c r="B222">
        <v>1</v>
      </c>
      <c r="C222">
        <v>2864</v>
      </c>
      <c r="D222">
        <v>0.20062208529068523</v>
      </c>
      <c r="E222">
        <v>12</v>
      </c>
      <c r="F222">
        <v>0</v>
      </c>
      <c r="G222">
        <v>0.13708206696020342</v>
      </c>
      <c r="H222">
        <v>9968.9921829999985</v>
      </c>
      <c r="I222">
        <v>70</v>
      </c>
      <c r="J222">
        <v>180</v>
      </c>
      <c r="K222">
        <v>5</v>
      </c>
      <c r="L222">
        <v>2</v>
      </c>
      <c r="M222">
        <v>3</v>
      </c>
      <c r="N222">
        <v>2</v>
      </c>
    </row>
    <row r="223" spans="1:14">
      <c r="A223">
        <v>25</v>
      </c>
      <c r="B223">
        <v>2</v>
      </c>
      <c r="C223">
        <v>483</v>
      </c>
      <c r="D223">
        <v>0.16200953066702228</v>
      </c>
      <c r="E223">
        <v>7</v>
      </c>
      <c r="F223">
        <v>0</v>
      </c>
      <c r="G223">
        <v>8.8343680551301484E-2</v>
      </c>
      <c r="H223">
        <v>12344.952743000003</v>
      </c>
      <c r="I223">
        <v>69</v>
      </c>
      <c r="J223">
        <v>180</v>
      </c>
      <c r="K223">
        <v>2</v>
      </c>
      <c r="L223">
        <v>2</v>
      </c>
      <c r="M223">
        <v>1</v>
      </c>
      <c r="N223">
        <v>2</v>
      </c>
    </row>
    <row r="224" spans="1:14">
      <c r="A224">
        <v>26</v>
      </c>
      <c r="B224">
        <v>1</v>
      </c>
      <c r="C224">
        <v>619</v>
      </c>
      <c r="D224">
        <v>0.20328791327086346</v>
      </c>
      <c r="E224">
        <v>12</v>
      </c>
      <c r="F224">
        <v>0</v>
      </c>
      <c r="G224">
        <v>0.13700706927386441</v>
      </c>
      <c r="H224">
        <v>9838.2632190000095</v>
      </c>
      <c r="I224">
        <v>70</v>
      </c>
      <c r="J224">
        <v>180</v>
      </c>
      <c r="K224">
        <v>5</v>
      </c>
      <c r="L224">
        <v>3</v>
      </c>
      <c r="M224">
        <v>2</v>
      </c>
      <c r="N224">
        <v>2</v>
      </c>
    </row>
    <row r="225" spans="1:14">
      <c r="A225">
        <v>26</v>
      </c>
      <c r="B225">
        <v>2</v>
      </c>
      <c r="C225">
        <v>483</v>
      </c>
      <c r="D225">
        <v>0.16195030659721055</v>
      </c>
      <c r="E225">
        <v>7</v>
      </c>
      <c r="F225">
        <v>0</v>
      </c>
      <c r="G225">
        <v>8.8345916329751598E-2</v>
      </c>
      <c r="H225">
        <v>12349.467204000022</v>
      </c>
      <c r="I225">
        <v>65</v>
      </c>
      <c r="J225">
        <v>180</v>
      </c>
      <c r="K225">
        <v>2</v>
      </c>
      <c r="L225">
        <v>1</v>
      </c>
      <c r="M225">
        <v>2</v>
      </c>
      <c r="N225">
        <v>2</v>
      </c>
    </row>
    <row r="226" spans="1:14">
      <c r="A226">
        <v>27</v>
      </c>
      <c r="B226">
        <v>1</v>
      </c>
      <c r="C226">
        <v>1361</v>
      </c>
      <c r="D226">
        <v>0.21857826914338788</v>
      </c>
      <c r="E226">
        <v>13</v>
      </c>
      <c r="F226">
        <v>0</v>
      </c>
      <c r="G226">
        <v>0.14660087600677821</v>
      </c>
      <c r="H226">
        <v>9150.0404310000049</v>
      </c>
      <c r="I226">
        <v>68</v>
      </c>
      <c r="J226">
        <v>180</v>
      </c>
      <c r="K226">
        <v>5</v>
      </c>
      <c r="L226">
        <v>3</v>
      </c>
      <c r="M226">
        <v>3</v>
      </c>
      <c r="N226">
        <v>2</v>
      </c>
    </row>
    <row r="227" spans="1:14">
      <c r="A227">
        <v>27</v>
      </c>
      <c r="B227">
        <v>2</v>
      </c>
      <c r="C227">
        <v>859</v>
      </c>
      <c r="D227">
        <v>0.1687264050263951</v>
      </c>
      <c r="E227">
        <v>7</v>
      </c>
      <c r="F227">
        <v>0</v>
      </c>
      <c r="G227">
        <v>8.8096960934767723E-2</v>
      </c>
      <c r="H227">
        <v>11853.50923400001</v>
      </c>
      <c r="I227">
        <v>71</v>
      </c>
      <c r="J227">
        <v>180</v>
      </c>
      <c r="K227">
        <v>3</v>
      </c>
      <c r="L227">
        <v>1</v>
      </c>
      <c r="M227">
        <v>2</v>
      </c>
      <c r="N227">
        <v>1</v>
      </c>
    </row>
    <row r="228" spans="1:14">
      <c r="A228">
        <v>28</v>
      </c>
      <c r="B228">
        <v>1</v>
      </c>
      <c r="C228">
        <v>6375</v>
      </c>
      <c r="D228">
        <v>0.22240331075724554</v>
      </c>
      <c r="E228">
        <v>18</v>
      </c>
      <c r="F228">
        <v>0</v>
      </c>
      <c r="G228">
        <v>0.19650515412047465</v>
      </c>
      <c r="H228">
        <v>8992.6718859999855</v>
      </c>
      <c r="I228">
        <v>67</v>
      </c>
      <c r="J228">
        <v>180</v>
      </c>
      <c r="K228">
        <v>5</v>
      </c>
      <c r="L228">
        <v>5</v>
      </c>
      <c r="M228">
        <v>5</v>
      </c>
      <c r="N228">
        <v>3</v>
      </c>
    </row>
    <row r="229" spans="1:14">
      <c r="A229">
        <v>28</v>
      </c>
      <c r="B229">
        <v>2</v>
      </c>
      <c r="C229">
        <v>452</v>
      </c>
      <c r="D229">
        <v>0.12747337937263933</v>
      </c>
      <c r="E229">
        <v>4</v>
      </c>
      <c r="F229">
        <v>0</v>
      </c>
      <c r="G229">
        <v>5.9869800206222609E-2</v>
      </c>
      <c r="H229">
        <v>15689.550318999989</v>
      </c>
      <c r="I229">
        <v>67</v>
      </c>
      <c r="J229">
        <v>180</v>
      </c>
      <c r="K229">
        <v>1</v>
      </c>
      <c r="L229">
        <v>1</v>
      </c>
      <c r="M229">
        <v>1</v>
      </c>
      <c r="N229">
        <v>1</v>
      </c>
    </row>
    <row r="230" spans="1:14">
      <c r="A230">
        <v>29</v>
      </c>
      <c r="B230">
        <v>1</v>
      </c>
      <c r="C230">
        <v>8525</v>
      </c>
      <c r="D230">
        <v>0.21990052511017247</v>
      </c>
      <c r="E230">
        <v>14</v>
      </c>
      <c r="F230">
        <v>0</v>
      </c>
      <c r="G230">
        <v>0.15656753555121927</v>
      </c>
      <c r="H230">
        <v>9095.0214830000023</v>
      </c>
      <c r="I230">
        <v>70</v>
      </c>
      <c r="J230">
        <v>180</v>
      </c>
      <c r="K230">
        <v>5</v>
      </c>
      <c r="L230">
        <v>4</v>
      </c>
      <c r="M230">
        <v>2</v>
      </c>
      <c r="N230">
        <v>3</v>
      </c>
    </row>
    <row r="231" spans="1:14">
      <c r="A231">
        <v>29</v>
      </c>
      <c r="B231">
        <v>2</v>
      </c>
      <c r="C231">
        <v>717</v>
      </c>
      <c r="D231">
        <v>0.17572141866564014</v>
      </c>
      <c r="E231">
        <v>8</v>
      </c>
      <c r="F231">
        <v>0</v>
      </c>
      <c r="G231">
        <v>9.785357119476093E-2</v>
      </c>
      <c r="H231">
        <v>11381.651793999954</v>
      </c>
      <c r="I231">
        <v>74</v>
      </c>
      <c r="J231">
        <v>180</v>
      </c>
      <c r="K231">
        <v>3</v>
      </c>
      <c r="L231">
        <v>3</v>
      </c>
      <c r="M231">
        <v>1</v>
      </c>
      <c r="N231">
        <v>1</v>
      </c>
    </row>
    <row r="232" spans="1:14">
      <c r="A232">
        <v>30</v>
      </c>
      <c r="B232">
        <v>1</v>
      </c>
      <c r="C232">
        <v>449</v>
      </c>
      <c r="D232">
        <v>0.20028162961855789</v>
      </c>
      <c r="E232">
        <v>15</v>
      </c>
      <c r="F232">
        <v>0</v>
      </c>
      <c r="G232">
        <v>0.16709174066213955</v>
      </c>
      <c r="H232">
        <v>9985.9383199999793</v>
      </c>
      <c r="I232">
        <v>69</v>
      </c>
      <c r="J232">
        <v>180</v>
      </c>
      <c r="K232">
        <v>5</v>
      </c>
      <c r="L232">
        <v>5</v>
      </c>
      <c r="M232">
        <v>1</v>
      </c>
      <c r="N232">
        <v>4</v>
      </c>
    </row>
    <row r="233" spans="1:14">
      <c r="A233">
        <v>30</v>
      </c>
      <c r="B233">
        <v>2</v>
      </c>
      <c r="C233">
        <v>548</v>
      </c>
      <c r="D233">
        <v>0.15997031011193114</v>
      </c>
      <c r="E233">
        <v>7</v>
      </c>
      <c r="F233">
        <v>0</v>
      </c>
      <c r="G233">
        <v>8.8421296993366191E-2</v>
      </c>
      <c r="H233">
        <v>12502.319953000035</v>
      </c>
      <c r="I233">
        <v>71</v>
      </c>
      <c r="J233">
        <v>180</v>
      </c>
      <c r="K233">
        <v>3</v>
      </c>
      <c r="L233">
        <v>1</v>
      </c>
      <c r="M233">
        <v>2</v>
      </c>
      <c r="N233">
        <v>1</v>
      </c>
    </row>
    <row r="234" spans="1:14">
      <c r="A234">
        <v>31</v>
      </c>
      <c r="B234">
        <v>1</v>
      </c>
      <c r="C234">
        <v>46</v>
      </c>
      <c r="D234">
        <v>0.22449029834139914</v>
      </c>
      <c r="E234">
        <v>7</v>
      </c>
      <c r="F234">
        <v>0</v>
      </c>
      <c r="G234">
        <v>8.6453847746305379E-2</v>
      </c>
      <c r="H234">
        <v>8909.0709700000079</v>
      </c>
      <c r="I234">
        <v>68</v>
      </c>
      <c r="J234">
        <v>180</v>
      </c>
      <c r="K234">
        <v>2</v>
      </c>
      <c r="L234">
        <v>2</v>
      </c>
      <c r="M234">
        <v>1</v>
      </c>
      <c r="N234">
        <v>2</v>
      </c>
    </row>
    <row r="235" spans="1:14">
      <c r="A235">
        <v>31</v>
      </c>
      <c r="B235">
        <v>2</v>
      </c>
      <c r="C235">
        <v>309</v>
      </c>
      <c r="D235">
        <v>0.19611461011514986</v>
      </c>
      <c r="E235">
        <v>5</v>
      </c>
      <c r="F235">
        <v>0</v>
      </c>
      <c r="G235">
        <v>6.7211947671102987E-2</v>
      </c>
      <c r="H235">
        <v>10198.118329000008</v>
      </c>
      <c r="I235">
        <v>72</v>
      </c>
      <c r="J235">
        <v>180</v>
      </c>
      <c r="K235">
        <v>2</v>
      </c>
      <c r="L235">
        <v>1</v>
      </c>
      <c r="M235">
        <v>1</v>
      </c>
      <c r="N235">
        <v>1</v>
      </c>
    </row>
    <row r="236" spans="1:14">
      <c r="A236">
        <v>32</v>
      </c>
      <c r="B236">
        <v>1</v>
      </c>
      <c r="C236">
        <v>177</v>
      </c>
      <c r="D236">
        <v>0.22974135789607322</v>
      </c>
      <c r="E236">
        <v>7</v>
      </c>
      <c r="F236">
        <v>0</v>
      </c>
      <c r="G236">
        <v>8.6327521793433434E-2</v>
      </c>
      <c r="H236">
        <v>8705.4417120000162</v>
      </c>
      <c r="I236">
        <v>72</v>
      </c>
      <c r="J236">
        <v>180</v>
      </c>
      <c r="K236">
        <v>2</v>
      </c>
      <c r="L236">
        <v>2</v>
      </c>
      <c r="M236">
        <v>2</v>
      </c>
      <c r="N236">
        <v>1</v>
      </c>
    </row>
    <row r="237" spans="1:14">
      <c r="A237">
        <v>32</v>
      </c>
      <c r="B237">
        <v>2</v>
      </c>
      <c r="C237">
        <v>205</v>
      </c>
      <c r="D237">
        <v>0.19676080670443652</v>
      </c>
      <c r="E237">
        <v>5</v>
      </c>
      <c r="F237">
        <v>0</v>
      </c>
      <c r="G237">
        <v>6.7193084666513317E-2</v>
      </c>
      <c r="H237">
        <v>10164.625940999989</v>
      </c>
      <c r="I237">
        <v>71</v>
      </c>
      <c r="J237">
        <v>180</v>
      </c>
      <c r="K237">
        <v>2</v>
      </c>
      <c r="L237">
        <v>1</v>
      </c>
      <c r="M237">
        <v>1</v>
      </c>
      <c r="N237">
        <v>1</v>
      </c>
    </row>
    <row r="238" spans="1:14">
      <c r="A238">
        <v>33</v>
      </c>
      <c r="B238">
        <v>1</v>
      </c>
      <c r="C238">
        <v>305</v>
      </c>
      <c r="D238">
        <v>0.23247996574050636</v>
      </c>
      <c r="E238">
        <v>7</v>
      </c>
      <c r="F238">
        <v>0</v>
      </c>
      <c r="G238">
        <v>8.6263155793069327E-2</v>
      </c>
      <c r="H238">
        <v>8602.8918389999926</v>
      </c>
      <c r="I238">
        <v>72</v>
      </c>
      <c r="J238">
        <v>180</v>
      </c>
      <c r="K238">
        <v>2</v>
      </c>
      <c r="L238">
        <v>2</v>
      </c>
      <c r="M238">
        <v>2</v>
      </c>
      <c r="N238">
        <v>1</v>
      </c>
    </row>
    <row r="239" spans="1:14">
      <c r="A239">
        <v>33</v>
      </c>
      <c r="B239">
        <v>2</v>
      </c>
      <c r="C239">
        <v>70</v>
      </c>
      <c r="D239">
        <v>0.19944760468852724</v>
      </c>
      <c r="E239">
        <v>5</v>
      </c>
      <c r="F239">
        <v>0</v>
      </c>
      <c r="G239">
        <v>6.7115531562057948E-2</v>
      </c>
      <c r="H239">
        <v>10027.696262000009</v>
      </c>
      <c r="I239">
        <v>71</v>
      </c>
      <c r="J239">
        <v>180</v>
      </c>
      <c r="K239">
        <v>2</v>
      </c>
      <c r="L239">
        <v>1</v>
      </c>
      <c r="M239">
        <v>1</v>
      </c>
      <c r="N239">
        <v>1</v>
      </c>
    </row>
    <row r="240" spans="1:14">
      <c r="A240">
        <v>34</v>
      </c>
      <c r="B240">
        <v>1</v>
      </c>
      <c r="C240">
        <v>1099</v>
      </c>
      <c r="D240">
        <v>0.22345952615968845</v>
      </c>
      <c r="E240">
        <v>7</v>
      </c>
      <c r="F240">
        <v>0</v>
      </c>
      <c r="G240">
        <v>8.6479108334576116E-2</v>
      </c>
      <c r="H240">
        <v>8950.1666559999849</v>
      </c>
      <c r="I240">
        <v>64</v>
      </c>
      <c r="J240">
        <v>180</v>
      </c>
      <c r="K240">
        <v>2</v>
      </c>
      <c r="L240">
        <v>2</v>
      </c>
      <c r="M240">
        <v>1</v>
      </c>
      <c r="N240">
        <v>2</v>
      </c>
    </row>
    <row r="241" spans="1:14">
      <c r="A241">
        <v>34</v>
      </c>
      <c r="B241">
        <v>2</v>
      </c>
      <c r="C241">
        <v>237</v>
      </c>
      <c r="D241">
        <v>0.1967365447989749</v>
      </c>
      <c r="E241">
        <v>5</v>
      </c>
      <c r="F241">
        <v>0</v>
      </c>
      <c r="G241">
        <v>6.7193791398196895E-2</v>
      </c>
      <c r="H241">
        <v>10165.879460999973</v>
      </c>
      <c r="I241">
        <v>70</v>
      </c>
      <c r="J241">
        <v>180</v>
      </c>
      <c r="K241">
        <v>2</v>
      </c>
      <c r="L241">
        <v>1</v>
      </c>
      <c r="M241">
        <v>1</v>
      </c>
      <c r="N241">
        <v>1</v>
      </c>
    </row>
    <row r="242" spans="1:14">
      <c r="A242">
        <v>35</v>
      </c>
      <c r="B242">
        <v>1</v>
      </c>
      <c r="C242">
        <v>251</v>
      </c>
      <c r="D242">
        <v>0.23152862853506134</v>
      </c>
      <c r="E242">
        <v>7</v>
      </c>
      <c r="F242">
        <v>0</v>
      </c>
      <c r="G242">
        <v>8.6285400130194284E-2</v>
      </c>
      <c r="H242">
        <v>8638.2406040000005</v>
      </c>
      <c r="I242">
        <v>70</v>
      </c>
      <c r="J242">
        <v>180</v>
      </c>
      <c r="K242">
        <v>2</v>
      </c>
      <c r="L242">
        <v>2</v>
      </c>
      <c r="M242">
        <v>2</v>
      </c>
      <c r="N242">
        <v>1</v>
      </c>
    </row>
    <row r="243" spans="1:14">
      <c r="A243">
        <v>35</v>
      </c>
      <c r="B243">
        <v>2</v>
      </c>
      <c r="C243">
        <v>179</v>
      </c>
      <c r="D243">
        <v>0.19876609609187842</v>
      </c>
      <c r="E243">
        <v>5</v>
      </c>
      <c r="F243">
        <v>0</v>
      </c>
      <c r="G243">
        <v>6.7135070568378433E-2</v>
      </c>
      <c r="H243">
        <v>10062.07818799999</v>
      </c>
      <c r="I243">
        <v>71</v>
      </c>
      <c r="J243">
        <v>180</v>
      </c>
      <c r="K243">
        <v>2</v>
      </c>
      <c r="L243">
        <v>1</v>
      </c>
      <c r="M243">
        <v>1</v>
      </c>
      <c r="N243">
        <v>1</v>
      </c>
    </row>
    <row r="244" spans="1:14">
      <c r="A244">
        <v>36</v>
      </c>
      <c r="B244">
        <v>1</v>
      </c>
      <c r="C244">
        <v>311</v>
      </c>
      <c r="D244">
        <v>0.23147507230108855</v>
      </c>
      <c r="E244">
        <v>7</v>
      </c>
      <c r="F244">
        <v>0</v>
      </c>
      <c r="G244">
        <v>8.6286656014084334E-2</v>
      </c>
      <c r="H244">
        <v>8640.2392279999931</v>
      </c>
      <c r="I244">
        <v>71</v>
      </c>
      <c r="J244">
        <v>180</v>
      </c>
      <c r="K244">
        <v>2</v>
      </c>
      <c r="L244">
        <v>2</v>
      </c>
      <c r="M244">
        <v>2</v>
      </c>
      <c r="N244">
        <v>1</v>
      </c>
    </row>
    <row r="245" spans="1:14">
      <c r="A245">
        <v>36</v>
      </c>
      <c r="B245">
        <v>2</v>
      </c>
      <c r="C245">
        <v>106</v>
      </c>
      <c r="D245">
        <v>0.19754102268365309</v>
      </c>
      <c r="E245">
        <v>5</v>
      </c>
      <c r="F245">
        <v>0</v>
      </c>
      <c r="G245">
        <v>6.7170419300371431E-2</v>
      </c>
      <c r="H245">
        <v>10124.479324999991</v>
      </c>
      <c r="I245">
        <v>72</v>
      </c>
      <c r="J245">
        <v>180</v>
      </c>
      <c r="K245">
        <v>2</v>
      </c>
      <c r="L245">
        <v>1</v>
      </c>
      <c r="M245">
        <v>1</v>
      </c>
      <c r="N245">
        <v>1</v>
      </c>
    </row>
    <row r="246" spans="1:14">
      <c r="A246">
        <v>37</v>
      </c>
      <c r="B246">
        <v>1</v>
      </c>
      <c r="C246">
        <v>414</v>
      </c>
      <c r="D246">
        <v>0.23274032674119607</v>
      </c>
      <c r="E246">
        <v>7</v>
      </c>
      <c r="F246">
        <v>0</v>
      </c>
      <c r="G246">
        <v>8.6257089130004239E-2</v>
      </c>
      <c r="H246">
        <v>8593.2679909999933</v>
      </c>
      <c r="I246">
        <v>69</v>
      </c>
      <c r="J246">
        <v>180</v>
      </c>
      <c r="K246">
        <v>2</v>
      </c>
      <c r="L246">
        <v>2</v>
      </c>
      <c r="M246">
        <v>2</v>
      </c>
      <c r="N246">
        <v>1</v>
      </c>
    </row>
    <row r="247" spans="1:14">
      <c r="A247">
        <v>37</v>
      </c>
      <c r="B247">
        <v>2</v>
      </c>
      <c r="C247">
        <v>565</v>
      </c>
      <c r="D247">
        <v>0.20126735227949458</v>
      </c>
      <c r="E247">
        <v>5</v>
      </c>
      <c r="F247">
        <v>0</v>
      </c>
      <c r="G247">
        <v>6.7063792271912961E-2</v>
      </c>
      <c r="H247">
        <v>9937.0314029999936</v>
      </c>
      <c r="I247">
        <v>73</v>
      </c>
      <c r="J247">
        <v>180</v>
      </c>
      <c r="K247">
        <v>2</v>
      </c>
      <c r="L247">
        <v>1</v>
      </c>
      <c r="M247">
        <v>1</v>
      </c>
      <c r="N247">
        <v>1</v>
      </c>
    </row>
    <row r="248" spans="1:14">
      <c r="A248">
        <v>38</v>
      </c>
      <c r="B248">
        <v>1</v>
      </c>
      <c r="C248">
        <v>170</v>
      </c>
      <c r="D248">
        <v>0.23239101472597712</v>
      </c>
      <c r="E248">
        <v>7</v>
      </c>
      <c r="F248">
        <v>0</v>
      </c>
      <c r="G248">
        <v>8.6265230514239996E-2</v>
      </c>
      <c r="H248">
        <v>8606.1847200000029</v>
      </c>
      <c r="I248">
        <v>70</v>
      </c>
      <c r="J248">
        <v>180</v>
      </c>
      <c r="K248">
        <v>2</v>
      </c>
      <c r="L248">
        <v>2</v>
      </c>
      <c r="M248">
        <v>2</v>
      </c>
      <c r="N248">
        <v>1</v>
      </c>
    </row>
    <row r="249" spans="1:14">
      <c r="A249">
        <v>38</v>
      </c>
      <c r="B249">
        <v>2</v>
      </c>
      <c r="C249">
        <v>41</v>
      </c>
      <c r="D249">
        <v>0.20021384101569864</v>
      </c>
      <c r="E249">
        <v>5</v>
      </c>
      <c r="F249">
        <v>0</v>
      </c>
      <c r="G249">
        <v>6.709366942403365E-2</v>
      </c>
      <c r="H249">
        <v>9989.3193689999753</v>
      </c>
      <c r="I249">
        <v>69</v>
      </c>
      <c r="J249">
        <v>180</v>
      </c>
      <c r="K249">
        <v>2</v>
      </c>
      <c r="L249">
        <v>1</v>
      </c>
      <c r="M249">
        <v>1</v>
      </c>
      <c r="N249">
        <v>1</v>
      </c>
    </row>
    <row r="250" spans="1:14">
      <c r="A250">
        <v>39</v>
      </c>
      <c r="B250">
        <v>1</v>
      </c>
      <c r="C250">
        <v>408</v>
      </c>
      <c r="D250">
        <v>0.22361762912459798</v>
      </c>
      <c r="E250">
        <v>7</v>
      </c>
      <c r="F250">
        <v>0</v>
      </c>
      <c r="G250">
        <v>8.6475223712175794E-2</v>
      </c>
      <c r="H250">
        <v>8943.8386759999848</v>
      </c>
      <c r="I250">
        <v>72</v>
      </c>
      <c r="J250">
        <v>180</v>
      </c>
      <c r="K250">
        <v>3</v>
      </c>
      <c r="L250">
        <v>1</v>
      </c>
      <c r="M250">
        <v>2</v>
      </c>
      <c r="N250">
        <v>1</v>
      </c>
    </row>
    <row r="251" spans="1:14">
      <c r="A251">
        <v>39</v>
      </c>
      <c r="B251">
        <v>2</v>
      </c>
      <c r="C251">
        <v>359</v>
      </c>
      <c r="D251">
        <v>0.19840560781355676</v>
      </c>
      <c r="E251">
        <v>5</v>
      </c>
      <c r="F251">
        <v>0</v>
      </c>
      <c r="G251">
        <v>6.7145442007106509E-2</v>
      </c>
      <c r="H251">
        <v>10080.360238000001</v>
      </c>
      <c r="I251">
        <v>71</v>
      </c>
      <c r="J251">
        <v>180</v>
      </c>
      <c r="K251">
        <v>2</v>
      </c>
      <c r="L251">
        <v>1</v>
      </c>
      <c r="M251">
        <v>1</v>
      </c>
      <c r="N251">
        <v>1</v>
      </c>
    </row>
    <row r="252" spans="1:14">
      <c r="A252">
        <v>40</v>
      </c>
      <c r="B252">
        <v>1</v>
      </c>
      <c r="C252">
        <v>70</v>
      </c>
      <c r="D252">
        <v>0.23187691489847448</v>
      </c>
      <c r="E252">
        <v>7</v>
      </c>
      <c r="F252">
        <v>0</v>
      </c>
      <c r="G252">
        <v>8.6277242317971084E-2</v>
      </c>
      <c r="H252">
        <v>8625.2656969999989</v>
      </c>
      <c r="I252">
        <v>69</v>
      </c>
      <c r="J252">
        <v>180</v>
      </c>
      <c r="K252">
        <v>2</v>
      </c>
      <c r="L252">
        <v>2</v>
      </c>
      <c r="M252">
        <v>2</v>
      </c>
      <c r="N252">
        <v>1</v>
      </c>
    </row>
    <row r="253" spans="1:14">
      <c r="A253">
        <v>40</v>
      </c>
      <c r="B253">
        <v>2</v>
      </c>
      <c r="C253">
        <v>206</v>
      </c>
      <c r="D253">
        <v>0.19907952751533251</v>
      </c>
      <c r="E253">
        <v>5</v>
      </c>
      <c r="F253">
        <v>0</v>
      </c>
      <c r="G253">
        <v>6.7126073342283099E-2</v>
      </c>
      <c r="H253">
        <v>10046.236420999974</v>
      </c>
      <c r="I253">
        <v>67</v>
      </c>
      <c r="J253">
        <v>180</v>
      </c>
      <c r="K253">
        <v>2</v>
      </c>
      <c r="L253">
        <v>1</v>
      </c>
      <c r="M253">
        <v>1</v>
      </c>
      <c r="N253">
        <v>1</v>
      </c>
    </row>
    <row r="254" spans="1:14">
      <c r="A254">
        <v>41</v>
      </c>
      <c r="B254">
        <v>1</v>
      </c>
      <c r="C254">
        <v>2324</v>
      </c>
      <c r="D254">
        <v>0.22388024899809064</v>
      </c>
      <c r="E254">
        <v>17</v>
      </c>
      <c r="F254">
        <v>0</v>
      </c>
      <c r="G254">
        <v>0.18646877917453938</v>
      </c>
      <c r="H254">
        <v>8933.347219999996</v>
      </c>
      <c r="I254">
        <v>71</v>
      </c>
      <c r="J254">
        <v>180</v>
      </c>
      <c r="K254">
        <v>3</v>
      </c>
      <c r="L254">
        <v>5</v>
      </c>
      <c r="M254">
        <v>7</v>
      </c>
      <c r="N254">
        <v>2</v>
      </c>
    </row>
    <row r="255" spans="1:14">
      <c r="A255">
        <v>41</v>
      </c>
      <c r="B255">
        <v>2</v>
      </c>
      <c r="C255">
        <v>8852</v>
      </c>
      <c r="D255">
        <v>0.17929793160764862</v>
      </c>
      <c r="E255">
        <v>9</v>
      </c>
      <c r="F255">
        <v>0</v>
      </c>
      <c r="G255">
        <v>0.10773406272217642</v>
      </c>
      <c r="H255">
        <v>11154.618361000003</v>
      </c>
      <c r="I255">
        <v>64</v>
      </c>
      <c r="J255">
        <v>180</v>
      </c>
      <c r="K255">
        <v>2</v>
      </c>
      <c r="L255">
        <v>3</v>
      </c>
      <c r="M255">
        <v>3</v>
      </c>
      <c r="N255">
        <v>1</v>
      </c>
    </row>
    <row r="256" spans="1:14">
      <c r="A256">
        <v>42</v>
      </c>
      <c r="B256">
        <v>1</v>
      </c>
      <c r="C256">
        <v>882</v>
      </c>
      <c r="D256">
        <v>0.2093517377060056</v>
      </c>
      <c r="E256">
        <v>22</v>
      </c>
      <c r="F256">
        <v>0</v>
      </c>
      <c r="G256">
        <v>0.23684125596622349</v>
      </c>
      <c r="H256">
        <v>9553.3002109999998</v>
      </c>
      <c r="I256">
        <v>55</v>
      </c>
      <c r="J256">
        <v>180</v>
      </c>
      <c r="K256">
        <v>1</v>
      </c>
      <c r="L256">
        <v>11</v>
      </c>
      <c r="M256">
        <v>8</v>
      </c>
      <c r="N256">
        <v>2</v>
      </c>
    </row>
    <row r="257" spans="1:14">
      <c r="A257">
        <v>42</v>
      </c>
      <c r="B257">
        <v>2</v>
      </c>
      <c r="C257">
        <v>985</v>
      </c>
      <c r="D257">
        <v>0.17101989415871566</v>
      </c>
      <c r="E257">
        <v>9</v>
      </c>
      <c r="F257">
        <v>0</v>
      </c>
      <c r="G257">
        <v>0.10801569920886019</v>
      </c>
      <c r="H257">
        <v>11694.545887999981</v>
      </c>
      <c r="I257">
        <v>63</v>
      </c>
      <c r="J257">
        <v>180</v>
      </c>
      <c r="K257">
        <v>2</v>
      </c>
      <c r="L257">
        <v>2</v>
      </c>
      <c r="M257">
        <v>4</v>
      </c>
      <c r="N257">
        <v>1</v>
      </c>
    </row>
    <row r="258" spans="1:14">
      <c r="A258">
        <v>43</v>
      </c>
      <c r="B258">
        <v>1</v>
      </c>
      <c r="C258">
        <v>825</v>
      </c>
      <c r="D258">
        <v>0.23983134666379224</v>
      </c>
      <c r="E258">
        <v>21</v>
      </c>
      <c r="F258">
        <v>0</v>
      </c>
      <c r="G258">
        <v>0.22609526079277334</v>
      </c>
      <c r="H258">
        <v>8339.1934699999892</v>
      </c>
      <c r="I258">
        <v>60</v>
      </c>
      <c r="J258">
        <v>180</v>
      </c>
      <c r="K258">
        <v>3</v>
      </c>
      <c r="L258">
        <v>8</v>
      </c>
      <c r="M258">
        <v>8</v>
      </c>
      <c r="N258">
        <v>2</v>
      </c>
    </row>
    <row r="259" spans="1:14">
      <c r="A259">
        <v>43</v>
      </c>
      <c r="B259">
        <v>2</v>
      </c>
      <c r="C259">
        <v>2233</v>
      </c>
      <c r="D259">
        <v>0.18873299886257522</v>
      </c>
      <c r="E259">
        <v>10</v>
      </c>
      <c r="F259">
        <v>0</v>
      </c>
      <c r="G259">
        <v>0.11743347860552664</v>
      </c>
      <c r="H259">
        <v>10596.980983999983</v>
      </c>
      <c r="I259">
        <v>60</v>
      </c>
      <c r="J259">
        <v>180</v>
      </c>
      <c r="K259">
        <v>1</v>
      </c>
      <c r="L259">
        <v>4</v>
      </c>
      <c r="M259">
        <v>4</v>
      </c>
      <c r="N259">
        <v>1</v>
      </c>
    </row>
    <row r="260" spans="1:14">
      <c r="A260">
        <v>44</v>
      </c>
      <c r="B260">
        <v>1</v>
      </c>
      <c r="C260">
        <v>6074</v>
      </c>
      <c r="D260">
        <v>0.21757734669608456</v>
      </c>
      <c r="E260">
        <v>22</v>
      </c>
      <c r="F260">
        <v>0</v>
      </c>
      <c r="G260">
        <v>0.23662629344224598</v>
      </c>
      <c r="H260">
        <v>9192.1334199999746</v>
      </c>
      <c r="I260">
        <v>54</v>
      </c>
      <c r="J260">
        <v>180</v>
      </c>
      <c r="K260">
        <v>1</v>
      </c>
      <c r="L260">
        <v>12</v>
      </c>
      <c r="M260">
        <v>5</v>
      </c>
      <c r="N260">
        <v>4</v>
      </c>
    </row>
    <row r="261" spans="1:14">
      <c r="A261">
        <v>44</v>
      </c>
      <c r="B261">
        <v>2</v>
      </c>
      <c r="C261">
        <v>955</v>
      </c>
      <c r="D261">
        <v>0.17096244785855305</v>
      </c>
      <c r="E261">
        <v>9</v>
      </c>
      <c r="F261">
        <v>0</v>
      </c>
      <c r="G261">
        <v>0.10801771684368848</v>
      </c>
      <c r="H261">
        <v>11698.475454999998</v>
      </c>
      <c r="I261">
        <v>54</v>
      </c>
      <c r="J261">
        <v>180</v>
      </c>
      <c r="K261">
        <v>1</v>
      </c>
      <c r="L261">
        <v>2</v>
      </c>
      <c r="M261">
        <v>4</v>
      </c>
      <c r="N261">
        <v>2</v>
      </c>
    </row>
    <row r="262" spans="1:14">
      <c r="A262">
        <v>45</v>
      </c>
      <c r="B262">
        <v>1</v>
      </c>
      <c r="C262">
        <v>2726</v>
      </c>
      <c r="D262">
        <v>0.23313742139919905</v>
      </c>
      <c r="E262">
        <v>35</v>
      </c>
      <c r="F262">
        <v>0</v>
      </c>
      <c r="G262">
        <v>0.36624785384453579</v>
      </c>
      <c r="H262">
        <v>8578.6313839999912</v>
      </c>
      <c r="I262">
        <v>67</v>
      </c>
      <c r="J262">
        <v>180</v>
      </c>
      <c r="K262">
        <v>4</v>
      </c>
      <c r="L262">
        <v>8</v>
      </c>
      <c r="M262">
        <v>22</v>
      </c>
      <c r="N262">
        <v>1</v>
      </c>
    </row>
    <row r="263" spans="1:14">
      <c r="A263">
        <v>45</v>
      </c>
      <c r="B263">
        <v>2</v>
      </c>
      <c r="C263">
        <v>2064</v>
      </c>
      <c r="D263">
        <v>0.18345725420467335</v>
      </c>
      <c r="E263">
        <v>9</v>
      </c>
      <c r="F263">
        <v>0</v>
      </c>
      <c r="G263">
        <v>0.10759901535792257</v>
      </c>
      <c r="H263">
        <v>10901.72208599998</v>
      </c>
      <c r="I263">
        <v>65</v>
      </c>
      <c r="J263">
        <v>180</v>
      </c>
      <c r="K263">
        <v>2</v>
      </c>
      <c r="L263">
        <v>3</v>
      </c>
      <c r="M263">
        <v>2</v>
      </c>
      <c r="N263">
        <v>2</v>
      </c>
    </row>
    <row r="264" spans="1:14">
      <c r="A264">
        <v>46</v>
      </c>
      <c r="B264">
        <v>1</v>
      </c>
      <c r="C264">
        <v>6573</v>
      </c>
      <c r="D264">
        <v>0.22331788579760009</v>
      </c>
      <c r="E264">
        <v>24</v>
      </c>
      <c r="F264">
        <v>0</v>
      </c>
      <c r="G264">
        <v>0.25648259158083786</v>
      </c>
      <c r="H264">
        <v>8955.8433390000027</v>
      </c>
      <c r="I264">
        <v>65</v>
      </c>
      <c r="J264">
        <v>180</v>
      </c>
      <c r="K264">
        <v>3</v>
      </c>
      <c r="L264">
        <v>7</v>
      </c>
      <c r="M264">
        <v>10</v>
      </c>
      <c r="N264">
        <v>4</v>
      </c>
    </row>
    <row r="265" spans="1:14">
      <c r="A265">
        <v>46</v>
      </c>
      <c r="B265">
        <v>2</v>
      </c>
      <c r="C265">
        <v>2376</v>
      </c>
      <c r="D265">
        <v>0.16964927689491699</v>
      </c>
      <c r="E265">
        <v>9</v>
      </c>
      <c r="F265">
        <v>0</v>
      </c>
      <c r="G265">
        <v>0.10806408614655379</v>
      </c>
      <c r="H265">
        <v>11789.027554999993</v>
      </c>
      <c r="I265">
        <v>64</v>
      </c>
      <c r="J265">
        <v>180</v>
      </c>
      <c r="K265">
        <v>1</v>
      </c>
      <c r="L265">
        <v>4</v>
      </c>
      <c r="M265">
        <v>2</v>
      </c>
      <c r="N265">
        <v>2</v>
      </c>
    </row>
    <row r="266" spans="1:14">
      <c r="A266">
        <v>47</v>
      </c>
      <c r="B266">
        <v>1</v>
      </c>
      <c r="C266">
        <v>2515</v>
      </c>
      <c r="D266">
        <v>0.22405849767295344</v>
      </c>
      <c r="E266">
        <v>18</v>
      </c>
      <c r="F266">
        <v>0</v>
      </c>
      <c r="G266">
        <v>0.19646441079620616</v>
      </c>
      <c r="H266">
        <v>8926.2403380000178</v>
      </c>
      <c r="I266">
        <v>69</v>
      </c>
      <c r="J266">
        <v>180</v>
      </c>
      <c r="K266">
        <v>2</v>
      </c>
      <c r="L266">
        <v>7</v>
      </c>
      <c r="M266">
        <v>8</v>
      </c>
      <c r="N266">
        <v>1</v>
      </c>
    </row>
    <row r="267" spans="1:14">
      <c r="A267">
        <v>47</v>
      </c>
      <c r="B267">
        <v>2</v>
      </c>
      <c r="C267">
        <v>761</v>
      </c>
      <c r="D267">
        <v>0.1781195980102612</v>
      </c>
      <c r="E267">
        <v>9</v>
      </c>
      <c r="F267">
        <v>0</v>
      </c>
      <c r="G267">
        <v>0.10777308281661215</v>
      </c>
      <c r="H267">
        <v>11228.410699000022</v>
      </c>
      <c r="I267">
        <v>66</v>
      </c>
      <c r="J267">
        <v>180</v>
      </c>
      <c r="K267">
        <v>1</v>
      </c>
      <c r="L267">
        <v>5</v>
      </c>
      <c r="M267">
        <v>2</v>
      </c>
      <c r="N267">
        <v>1</v>
      </c>
    </row>
    <row r="268" spans="1:14">
      <c r="A268">
        <v>48</v>
      </c>
      <c r="B268">
        <v>1</v>
      </c>
      <c r="C268">
        <v>1096</v>
      </c>
      <c r="D268">
        <v>0.21860846431007058</v>
      </c>
      <c r="E268">
        <v>14</v>
      </c>
      <c r="F268">
        <v>0</v>
      </c>
      <c r="G268">
        <v>0.15660011164281135</v>
      </c>
      <c r="H268">
        <v>9148.7765870000057</v>
      </c>
      <c r="I268">
        <v>66</v>
      </c>
      <c r="J268">
        <v>180</v>
      </c>
      <c r="K268">
        <v>3</v>
      </c>
      <c r="L268">
        <v>4</v>
      </c>
      <c r="M268">
        <v>5</v>
      </c>
      <c r="N268">
        <v>2</v>
      </c>
    </row>
    <row r="269" spans="1:14">
      <c r="A269">
        <v>48</v>
      </c>
      <c r="B269">
        <v>2</v>
      </c>
      <c r="C269">
        <v>1036</v>
      </c>
      <c r="D269">
        <v>0.18034340649533759</v>
      </c>
      <c r="E269">
        <v>8</v>
      </c>
      <c r="F269">
        <v>0</v>
      </c>
      <c r="G269">
        <v>9.7699727375119311E-2</v>
      </c>
      <c r="H269">
        <v>11089.953543999991</v>
      </c>
      <c r="I269">
        <v>65</v>
      </c>
      <c r="J269">
        <v>180</v>
      </c>
      <c r="K269">
        <v>2</v>
      </c>
      <c r="L269">
        <v>2</v>
      </c>
      <c r="M269">
        <v>2</v>
      </c>
      <c r="N269">
        <v>2</v>
      </c>
    </row>
    <row r="270" spans="1:14">
      <c r="A270">
        <v>49</v>
      </c>
      <c r="B270">
        <v>1</v>
      </c>
      <c r="C270">
        <v>5888</v>
      </c>
      <c r="D270">
        <v>0.22733921595902037</v>
      </c>
      <c r="E270">
        <v>17</v>
      </c>
      <c r="F270">
        <v>0</v>
      </c>
      <c r="G270">
        <v>0.18638482777281118</v>
      </c>
      <c r="H270">
        <v>8797.4263110000138</v>
      </c>
      <c r="I270">
        <v>65</v>
      </c>
      <c r="J270">
        <v>180</v>
      </c>
      <c r="K270">
        <v>3</v>
      </c>
      <c r="L270">
        <v>7</v>
      </c>
      <c r="M270">
        <v>3</v>
      </c>
      <c r="N270">
        <v>4</v>
      </c>
    </row>
    <row r="271" spans="1:14">
      <c r="A271">
        <v>49</v>
      </c>
      <c r="B271">
        <v>2</v>
      </c>
      <c r="C271">
        <v>850</v>
      </c>
      <c r="D271">
        <v>0.17891486008628671</v>
      </c>
      <c r="E271">
        <v>9</v>
      </c>
      <c r="F271">
        <v>0</v>
      </c>
      <c r="G271">
        <v>0.10774671039851023</v>
      </c>
      <c r="H271">
        <v>11178.501321999995</v>
      </c>
      <c r="I271">
        <v>60</v>
      </c>
      <c r="J271">
        <v>180</v>
      </c>
      <c r="K271">
        <v>1</v>
      </c>
      <c r="L271">
        <v>2</v>
      </c>
      <c r="M271">
        <v>4</v>
      </c>
      <c r="N271">
        <v>2</v>
      </c>
    </row>
    <row r="272" spans="1:14">
      <c r="A272">
        <v>50</v>
      </c>
      <c r="B272">
        <v>1</v>
      </c>
      <c r="C272">
        <v>3741</v>
      </c>
      <c r="D272">
        <v>0.23889953618664364</v>
      </c>
      <c r="E272">
        <v>26</v>
      </c>
      <c r="F272">
        <v>0</v>
      </c>
      <c r="G272">
        <v>0.27611615978073106</v>
      </c>
      <c r="H272">
        <v>8371.7198950000129</v>
      </c>
      <c r="I272">
        <v>65</v>
      </c>
      <c r="J272">
        <v>180</v>
      </c>
      <c r="K272">
        <v>4</v>
      </c>
      <c r="L272">
        <v>9</v>
      </c>
      <c r="M272">
        <v>11</v>
      </c>
      <c r="N272">
        <v>2</v>
      </c>
    </row>
    <row r="273" spans="1:14">
      <c r="A273">
        <v>50</v>
      </c>
      <c r="B273">
        <v>2</v>
      </c>
      <c r="C273">
        <v>1126</v>
      </c>
      <c r="D273">
        <v>0.18331163272199508</v>
      </c>
      <c r="E273">
        <v>9</v>
      </c>
      <c r="F273">
        <v>0</v>
      </c>
      <c r="G273">
        <v>0.10760367430281931</v>
      </c>
      <c r="H273">
        <v>10910.38233800001</v>
      </c>
      <c r="I273">
        <v>67</v>
      </c>
      <c r="J273">
        <v>180</v>
      </c>
      <c r="K273">
        <v>2</v>
      </c>
      <c r="L273">
        <v>3</v>
      </c>
      <c r="M273">
        <v>3</v>
      </c>
      <c r="N273">
        <v>1</v>
      </c>
    </row>
    <row r="274" spans="1:14">
      <c r="A274">
        <v>51</v>
      </c>
      <c r="B274">
        <v>1</v>
      </c>
      <c r="C274">
        <v>653</v>
      </c>
      <c r="D274">
        <v>0.22875678138097805</v>
      </c>
      <c r="E274">
        <v>8</v>
      </c>
      <c r="F274">
        <v>0</v>
      </c>
      <c r="G274">
        <v>9.6350912992251375E-2</v>
      </c>
      <c r="H274">
        <v>8742.9102119999807</v>
      </c>
      <c r="I274">
        <v>59</v>
      </c>
      <c r="J274">
        <v>180</v>
      </c>
      <c r="K274">
        <v>1</v>
      </c>
      <c r="L274">
        <v>3</v>
      </c>
      <c r="M274">
        <v>2</v>
      </c>
      <c r="N274">
        <v>2</v>
      </c>
    </row>
    <row r="275" spans="1:14">
      <c r="A275">
        <v>51</v>
      </c>
      <c r="B275">
        <v>2</v>
      </c>
      <c r="C275">
        <v>910</v>
      </c>
      <c r="D275">
        <v>0.21704669918556943</v>
      </c>
      <c r="E275">
        <v>7</v>
      </c>
      <c r="F275">
        <v>0</v>
      </c>
      <c r="G275">
        <v>8.6639832035453418E-2</v>
      </c>
      <c r="H275">
        <v>9214.6068449999821</v>
      </c>
      <c r="I275">
        <v>57</v>
      </c>
      <c r="J275">
        <v>180</v>
      </c>
      <c r="K275">
        <v>1</v>
      </c>
      <c r="L275">
        <v>2</v>
      </c>
      <c r="M275">
        <v>2</v>
      </c>
      <c r="N275">
        <v>2</v>
      </c>
    </row>
    <row r="276" spans="1:14">
      <c r="A276">
        <v>52</v>
      </c>
      <c r="B276">
        <v>1</v>
      </c>
      <c r="C276">
        <v>1030</v>
      </c>
      <c r="D276">
        <v>0.22755757564867984</v>
      </c>
      <c r="E276">
        <v>8</v>
      </c>
      <c r="F276">
        <v>0</v>
      </c>
      <c r="G276">
        <v>9.6379585244777827E-2</v>
      </c>
      <c r="H276">
        <v>8788.9844769999982</v>
      </c>
      <c r="I276">
        <v>63</v>
      </c>
      <c r="J276">
        <v>180</v>
      </c>
      <c r="K276">
        <v>1</v>
      </c>
      <c r="L276">
        <v>3</v>
      </c>
      <c r="M276">
        <v>3</v>
      </c>
      <c r="N276">
        <v>1</v>
      </c>
    </row>
    <row r="277" spans="1:14">
      <c r="A277">
        <v>52</v>
      </c>
      <c r="B277">
        <v>2</v>
      </c>
      <c r="C277">
        <v>786</v>
      </c>
      <c r="D277">
        <v>0.21021181598860336</v>
      </c>
      <c r="E277">
        <v>6</v>
      </c>
      <c r="F277">
        <v>0</v>
      </c>
      <c r="G277">
        <v>7.6818255993172199E-2</v>
      </c>
      <c r="H277">
        <v>9514.2130359999846</v>
      </c>
      <c r="I277">
        <v>62</v>
      </c>
      <c r="J277">
        <v>180</v>
      </c>
      <c r="K277">
        <v>1</v>
      </c>
      <c r="L277">
        <v>2</v>
      </c>
      <c r="M277">
        <v>2</v>
      </c>
      <c r="N277">
        <v>1</v>
      </c>
    </row>
    <row r="278" spans="1:14">
      <c r="A278">
        <v>53</v>
      </c>
      <c r="B278">
        <v>1</v>
      </c>
      <c r="C278">
        <v>657</v>
      </c>
      <c r="D278">
        <v>0.22756676297710812</v>
      </c>
      <c r="E278">
        <v>8</v>
      </c>
      <c r="F278">
        <v>0</v>
      </c>
      <c r="G278">
        <v>9.6379364816199187E-2</v>
      </c>
      <c r="H278">
        <v>8788.6296479999946</v>
      </c>
      <c r="I278">
        <v>64</v>
      </c>
      <c r="J278">
        <v>180</v>
      </c>
      <c r="K278">
        <v>1</v>
      </c>
      <c r="L278">
        <v>3</v>
      </c>
      <c r="M278">
        <v>3</v>
      </c>
      <c r="N278">
        <v>1</v>
      </c>
    </row>
    <row r="279" spans="1:14">
      <c r="A279">
        <v>53</v>
      </c>
      <c r="B279">
        <v>2</v>
      </c>
      <c r="C279">
        <v>711</v>
      </c>
      <c r="D279">
        <v>0.21034698988798295</v>
      </c>
      <c r="E279">
        <v>6</v>
      </c>
      <c r="F279">
        <v>0</v>
      </c>
      <c r="G279">
        <v>7.6814652619533519E-2</v>
      </c>
      <c r="H279">
        <v>9508.0989799999952</v>
      </c>
      <c r="I279">
        <v>62</v>
      </c>
      <c r="J279">
        <v>180</v>
      </c>
      <c r="K279">
        <v>1</v>
      </c>
      <c r="L279">
        <v>2</v>
      </c>
      <c r="M279">
        <v>2</v>
      </c>
      <c r="N279">
        <v>1</v>
      </c>
    </row>
    <row r="280" spans="1:14">
      <c r="A280">
        <v>54</v>
      </c>
      <c r="B280">
        <v>1</v>
      </c>
      <c r="C280">
        <v>961</v>
      </c>
      <c r="D280">
        <v>0.22657012191891099</v>
      </c>
      <c r="E280">
        <v>8</v>
      </c>
      <c r="F280">
        <v>0</v>
      </c>
      <c r="G280">
        <v>9.6403346309898941E-2</v>
      </c>
      <c r="H280">
        <v>8827.2892429999938</v>
      </c>
      <c r="I280">
        <v>68</v>
      </c>
      <c r="J280">
        <v>180</v>
      </c>
      <c r="K280">
        <v>2</v>
      </c>
      <c r="L280">
        <v>2</v>
      </c>
      <c r="M280">
        <v>3</v>
      </c>
      <c r="N280">
        <v>1</v>
      </c>
    </row>
    <row r="281" spans="1:14">
      <c r="A281">
        <v>54</v>
      </c>
      <c r="B281">
        <v>2</v>
      </c>
      <c r="C281">
        <v>958</v>
      </c>
      <c r="D281">
        <v>0.20729752852015443</v>
      </c>
      <c r="E281">
        <v>6</v>
      </c>
      <c r="F281">
        <v>0</v>
      </c>
      <c r="G281">
        <v>7.6896702540483655E-2</v>
      </c>
      <c r="H281">
        <v>9647.968377999985</v>
      </c>
      <c r="I281">
        <v>62</v>
      </c>
      <c r="J281">
        <v>180</v>
      </c>
      <c r="K281">
        <v>1</v>
      </c>
      <c r="L281">
        <v>2</v>
      </c>
      <c r="M281">
        <v>2</v>
      </c>
      <c r="N281">
        <v>1</v>
      </c>
    </row>
    <row r="282" spans="1:14">
      <c r="A282">
        <v>55</v>
      </c>
      <c r="B282">
        <v>1</v>
      </c>
      <c r="C282">
        <v>714</v>
      </c>
      <c r="D282">
        <v>0.23722788690719915</v>
      </c>
      <c r="E282">
        <v>9</v>
      </c>
      <c r="F282">
        <v>0</v>
      </c>
      <c r="G282">
        <v>0.106153925905156</v>
      </c>
      <c r="H282">
        <v>8430.712029999986</v>
      </c>
      <c r="I282">
        <v>56</v>
      </c>
      <c r="J282">
        <v>180</v>
      </c>
      <c r="K282">
        <v>1</v>
      </c>
      <c r="L282">
        <v>4</v>
      </c>
      <c r="M282">
        <v>2</v>
      </c>
      <c r="N282">
        <v>2</v>
      </c>
    </row>
    <row r="283" spans="1:14">
      <c r="A283">
        <v>55</v>
      </c>
      <c r="B283">
        <v>2</v>
      </c>
      <c r="C283">
        <v>771</v>
      </c>
      <c r="D283">
        <v>0.21236227066419056</v>
      </c>
      <c r="E283">
        <v>6</v>
      </c>
      <c r="F283">
        <v>0</v>
      </c>
      <c r="G283">
        <v>7.6761294104202182E-2</v>
      </c>
      <c r="H283">
        <v>9417.8687849999933</v>
      </c>
      <c r="I283">
        <v>61</v>
      </c>
      <c r="J283">
        <v>180</v>
      </c>
      <c r="K283">
        <v>1</v>
      </c>
      <c r="L283">
        <v>2</v>
      </c>
      <c r="M283">
        <v>2</v>
      </c>
      <c r="N283">
        <v>1</v>
      </c>
    </row>
    <row r="284" spans="1:14">
      <c r="A284">
        <v>56</v>
      </c>
      <c r="B284">
        <v>1</v>
      </c>
      <c r="C284">
        <v>922</v>
      </c>
      <c r="D284">
        <v>0.22932111249386811</v>
      </c>
      <c r="E284">
        <v>8</v>
      </c>
      <c r="F284">
        <v>0</v>
      </c>
      <c r="G284">
        <v>9.6337489444955043E-2</v>
      </c>
      <c r="H284">
        <v>8721.3949830000001</v>
      </c>
      <c r="I284">
        <v>56</v>
      </c>
      <c r="J284">
        <v>180</v>
      </c>
      <c r="K284">
        <v>1</v>
      </c>
      <c r="L284">
        <v>3</v>
      </c>
      <c r="M284">
        <v>2</v>
      </c>
      <c r="N284">
        <v>2</v>
      </c>
    </row>
    <row r="285" spans="1:14">
      <c r="A285">
        <v>56</v>
      </c>
      <c r="B285">
        <v>2</v>
      </c>
      <c r="C285">
        <v>3695</v>
      </c>
      <c r="D285">
        <v>0.20939637341567077</v>
      </c>
      <c r="E285">
        <v>6</v>
      </c>
      <c r="F285">
        <v>0</v>
      </c>
      <c r="G285">
        <v>7.6840059232935604E-2</v>
      </c>
      <c r="H285">
        <v>9551.2637939999986</v>
      </c>
      <c r="I285">
        <v>59</v>
      </c>
      <c r="J285">
        <v>180</v>
      </c>
      <c r="K285">
        <v>1</v>
      </c>
      <c r="L285">
        <v>2</v>
      </c>
      <c r="M285">
        <v>2</v>
      </c>
      <c r="N285">
        <v>1</v>
      </c>
    </row>
    <row r="286" spans="1:14">
      <c r="A286">
        <v>57</v>
      </c>
      <c r="B286">
        <v>1</v>
      </c>
      <c r="C286">
        <v>523</v>
      </c>
      <c r="D286">
        <v>0.2286931091441245</v>
      </c>
      <c r="E286">
        <v>8</v>
      </c>
      <c r="F286">
        <v>0</v>
      </c>
      <c r="G286">
        <v>9.6352430313292756E-2</v>
      </c>
      <c r="H286">
        <v>8745.3443940000034</v>
      </c>
      <c r="I286">
        <v>67</v>
      </c>
      <c r="J286">
        <v>180</v>
      </c>
      <c r="K286">
        <v>2</v>
      </c>
      <c r="L286">
        <v>2</v>
      </c>
      <c r="M286">
        <v>3</v>
      </c>
      <c r="N286">
        <v>1</v>
      </c>
    </row>
    <row r="287" spans="1:14">
      <c r="A287">
        <v>57</v>
      </c>
      <c r="B287">
        <v>2</v>
      </c>
      <c r="C287">
        <v>529</v>
      </c>
      <c r="D287">
        <v>0.20974601169993243</v>
      </c>
      <c r="E287">
        <v>6</v>
      </c>
      <c r="F287">
        <v>0</v>
      </c>
      <c r="G287">
        <v>7.683069679174491E-2</v>
      </c>
      <c r="H287">
        <v>9535.3422160000209</v>
      </c>
      <c r="I287">
        <v>63</v>
      </c>
      <c r="J287">
        <v>180</v>
      </c>
      <c r="K287">
        <v>1</v>
      </c>
      <c r="L287">
        <v>2</v>
      </c>
      <c r="M287">
        <v>2</v>
      </c>
      <c r="N287">
        <v>1</v>
      </c>
    </row>
    <row r="288" spans="1:14">
      <c r="A288">
        <v>58</v>
      </c>
      <c r="B288">
        <v>1</v>
      </c>
      <c r="C288">
        <v>1062</v>
      </c>
      <c r="D288">
        <v>0.23578145630857164</v>
      </c>
      <c r="E288">
        <v>8</v>
      </c>
      <c r="F288">
        <v>0</v>
      </c>
      <c r="G288">
        <v>9.6186891340848749E-2</v>
      </c>
      <c r="H288">
        <v>8482.4312790000004</v>
      </c>
      <c r="I288">
        <v>62</v>
      </c>
      <c r="J288">
        <v>180</v>
      </c>
      <c r="K288">
        <v>2</v>
      </c>
      <c r="L288">
        <v>2</v>
      </c>
      <c r="M288">
        <v>2</v>
      </c>
      <c r="N288">
        <v>2</v>
      </c>
    </row>
    <row r="289" spans="1:14">
      <c r="A289">
        <v>58</v>
      </c>
      <c r="B289">
        <v>2</v>
      </c>
      <c r="C289">
        <v>999</v>
      </c>
      <c r="D289">
        <v>0.2172113208752354</v>
      </c>
      <c r="E289">
        <v>7</v>
      </c>
      <c r="F289">
        <v>0</v>
      </c>
      <c r="G289">
        <v>8.6635627267538901E-2</v>
      </c>
      <c r="H289">
        <v>9207.6232120000113</v>
      </c>
      <c r="I289">
        <v>67</v>
      </c>
      <c r="J289">
        <v>180</v>
      </c>
      <c r="K289">
        <v>2</v>
      </c>
      <c r="L289">
        <v>2</v>
      </c>
      <c r="M289">
        <v>2</v>
      </c>
      <c r="N289">
        <v>1</v>
      </c>
    </row>
    <row r="290" spans="1:14">
      <c r="A290">
        <v>59</v>
      </c>
      <c r="B290">
        <v>1</v>
      </c>
      <c r="C290">
        <v>1491</v>
      </c>
      <c r="D290">
        <v>0.23163331746960567</v>
      </c>
      <c r="E290">
        <v>8</v>
      </c>
      <c r="F290">
        <v>0</v>
      </c>
      <c r="G290">
        <v>9.628294631206441E-2</v>
      </c>
      <c r="H290">
        <v>8634.336466999981</v>
      </c>
      <c r="I290">
        <v>57</v>
      </c>
      <c r="J290">
        <v>180</v>
      </c>
      <c r="K290">
        <v>1</v>
      </c>
      <c r="L290">
        <v>3</v>
      </c>
      <c r="M290">
        <v>2</v>
      </c>
      <c r="N290">
        <v>2</v>
      </c>
    </row>
    <row r="291" spans="1:14">
      <c r="A291">
        <v>59</v>
      </c>
      <c r="B291">
        <v>2</v>
      </c>
      <c r="C291">
        <v>1005</v>
      </c>
      <c r="D291">
        <v>0.21122829244133617</v>
      </c>
      <c r="E291">
        <v>6</v>
      </c>
      <c r="F291">
        <v>0</v>
      </c>
      <c r="G291">
        <v>7.6791234901851052E-2</v>
      </c>
      <c r="H291">
        <v>9468.4285749999817</v>
      </c>
      <c r="I291">
        <v>62</v>
      </c>
      <c r="J291">
        <v>180</v>
      </c>
      <c r="K291">
        <v>1</v>
      </c>
      <c r="L291">
        <v>2</v>
      </c>
      <c r="M291">
        <v>2</v>
      </c>
      <c r="N291">
        <v>1</v>
      </c>
    </row>
    <row r="292" spans="1:14">
      <c r="A292">
        <v>60</v>
      </c>
      <c r="B292">
        <v>1</v>
      </c>
      <c r="C292">
        <v>1522</v>
      </c>
      <c r="D292">
        <v>0.23145839629252424</v>
      </c>
      <c r="E292">
        <v>9</v>
      </c>
      <c r="F292">
        <v>0</v>
      </c>
      <c r="G292">
        <v>0.10628704714253645</v>
      </c>
      <c r="H292">
        <v>8640.8617360000135</v>
      </c>
      <c r="I292">
        <v>56</v>
      </c>
      <c r="J292">
        <v>180</v>
      </c>
      <c r="K292">
        <v>1</v>
      </c>
      <c r="L292">
        <v>4</v>
      </c>
      <c r="M292">
        <v>2</v>
      </c>
      <c r="N292">
        <v>2</v>
      </c>
    </row>
    <row r="293" spans="1:14">
      <c r="A293">
        <v>60</v>
      </c>
      <c r="B293">
        <v>2</v>
      </c>
      <c r="C293">
        <v>1474</v>
      </c>
      <c r="D293">
        <v>0.20748587250272651</v>
      </c>
      <c r="E293">
        <v>6</v>
      </c>
      <c r="F293">
        <v>0</v>
      </c>
      <c r="G293">
        <v>7.6891588367924299E-2</v>
      </c>
      <c r="H293">
        <v>9639.2104960000033</v>
      </c>
      <c r="I293">
        <v>59</v>
      </c>
      <c r="J293">
        <v>180</v>
      </c>
      <c r="K293">
        <v>1</v>
      </c>
      <c r="L293">
        <v>2</v>
      </c>
      <c r="M293">
        <v>2</v>
      </c>
      <c r="N293">
        <v>1</v>
      </c>
    </row>
    <row r="294" spans="1:14">
      <c r="A294">
        <v>61</v>
      </c>
      <c r="B294">
        <v>1</v>
      </c>
      <c r="C294">
        <v>2976</v>
      </c>
      <c r="D294">
        <v>0.22963715603164556</v>
      </c>
      <c r="E294">
        <v>14</v>
      </c>
      <c r="F294">
        <v>0</v>
      </c>
      <c r="G294">
        <v>0.15632999105257001</v>
      </c>
      <c r="H294">
        <v>8709.3919579999783</v>
      </c>
      <c r="I294">
        <v>64</v>
      </c>
      <c r="J294">
        <v>180</v>
      </c>
      <c r="K294">
        <v>2</v>
      </c>
      <c r="L294">
        <v>3</v>
      </c>
      <c r="M294">
        <v>5</v>
      </c>
      <c r="N294">
        <v>4</v>
      </c>
    </row>
    <row r="295" spans="1:14">
      <c r="A295">
        <v>61</v>
      </c>
      <c r="B295">
        <v>2</v>
      </c>
      <c r="C295">
        <v>8003</v>
      </c>
      <c r="D295">
        <v>0.17549768149578637</v>
      </c>
      <c r="E295">
        <v>8</v>
      </c>
      <c r="F295">
        <v>0</v>
      </c>
      <c r="G295">
        <v>9.7861154981931583E-2</v>
      </c>
      <c r="H295">
        <v>11396.161948999988</v>
      </c>
      <c r="I295">
        <v>68</v>
      </c>
      <c r="J295">
        <v>180</v>
      </c>
      <c r="K295">
        <v>1</v>
      </c>
      <c r="L295">
        <v>4</v>
      </c>
      <c r="M295">
        <v>1</v>
      </c>
      <c r="N295">
        <v>2</v>
      </c>
    </row>
    <row r="296" spans="1:14">
      <c r="A296">
        <v>62</v>
      </c>
      <c r="B296">
        <v>1</v>
      </c>
      <c r="C296">
        <v>3501</v>
      </c>
      <c r="D296">
        <v>0.21273771237389552</v>
      </c>
      <c r="E296">
        <v>14</v>
      </c>
      <c r="F296">
        <v>0</v>
      </c>
      <c r="G296">
        <v>0.15675142812980999</v>
      </c>
      <c r="H296">
        <v>9401.2480329999762</v>
      </c>
      <c r="I296">
        <v>58</v>
      </c>
      <c r="J296">
        <v>180</v>
      </c>
      <c r="K296">
        <v>1</v>
      </c>
      <c r="L296">
        <v>4</v>
      </c>
      <c r="M296">
        <v>4</v>
      </c>
      <c r="N296">
        <v>5</v>
      </c>
    </row>
    <row r="297" spans="1:14">
      <c r="A297">
        <v>62</v>
      </c>
      <c r="B297">
        <v>2</v>
      </c>
      <c r="C297">
        <v>979</v>
      </c>
      <c r="D297">
        <v>0.17277238757064697</v>
      </c>
      <c r="E297">
        <v>7</v>
      </c>
      <c r="F297">
        <v>0</v>
      </c>
      <c r="G297">
        <v>8.7954578813437795E-2</v>
      </c>
      <c r="H297">
        <v>11575.923839000003</v>
      </c>
      <c r="I297">
        <v>62</v>
      </c>
      <c r="J297">
        <v>180</v>
      </c>
      <c r="K297">
        <v>1</v>
      </c>
      <c r="L297">
        <v>2</v>
      </c>
      <c r="M297">
        <v>2</v>
      </c>
      <c r="N297">
        <v>2</v>
      </c>
    </row>
    <row r="298" spans="1:14">
      <c r="A298">
        <v>63</v>
      </c>
      <c r="B298">
        <v>1</v>
      </c>
      <c r="C298">
        <v>1575</v>
      </c>
      <c r="D298">
        <v>0.21053182711380541</v>
      </c>
      <c r="E298">
        <v>15</v>
      </c>
      <c r="F298">
        <v>0</v>
      </c>
      <c r="G298">
        <v>0.16680973034913801</v>
      </c>
      <c r="H298">
        <v>9499.7513079999862</v>
      </c>
      <c r="I298">
        <v>57</v>
      </c>
      <c r="J298">
        <v>180</v>
      </c>
      <c r="K298">
        <v>1</v>
      </c>
      <c r="L298">
        <v>5</v>
      </c>
      <c r="M298">
        <v>3</v>
      </c>
      <c r="N298">
        <v>6</v>
      </c>
    </row>
    <row r="299" spans="1:14">
      <c r="A299">
        <v>63</v>
      </c>
      <c r="B299">
        <v>2</v>
      </c>
      <c r="C299">
        <v>824</v>
      </c>
      <c r="D299">
        <v>0.16404956687876551</v>
      </c>
      <c r="E299">
        <v>12</v>
      </c>
      <c r="F299">
        <v>0</v>
      </c>
      <c r="G299">
        <v>0.13826732563565181</v>
      </c>
      <c r="H299">
        <v>12191.437247000003</v>
      </c>
      <c r="I299">
        <v>68</v>
      </c>
      <c r="J299">
        <v>180</v>
      </c>
      <c r="K299">
        <v>2</v>
      </c>
      <c r="L299">
        <v>2</v>
      </c>
      <c r="M299">
        <v>7</v>
      </c>
      <c r="N299">
        <v>1</v>
      </c>
    </row>
    <row r="300" spans="1:14">
      <c r="A300">
        <v>64</v>
      </c>
      <c r="B300">
        <v>1</v>
      </c>
      <c r="C300">
        <v>1294</v>
      </c>
      <c r="D300">
        <v>0.22986634085546342</v>
      </c>
      <c r="E300">
        <v>15</v>
      </c>
      <c r="F300">
        <v>0</v>
      </c>
      <c r="G300">
        <v>0.16632456205612539</v>
      </c>
      <c r="H300">
        <v>8700.70838800001</v>
      </c>
      <c r="I300">
        <v>64</v>
      </c>
      <c r="J300">
        <v>180</v>
      </c>
      <c r="K300">
        <v>3</v>
      </c>
      <c r="L300">
        <v>3</v>
      </c>
      <c r="M300">
        <v>4</v>
      </c>
      <c r="N300">
        <v>5</v>
      </c>
    </row>
    <row r="301" spans="1:14">
      <c r="A301">
        <v>64</v>
      </c>
      <c r="B301">
        <v>2</v>
      </c>
      <c r="C301">
        <v>2408</v>
      </c>
      <c r="D301">
        <v>0.17825905223084287</v>
      </c>
      <c r="E301">
        <v>8</v>
      </c>
      <c r="F301">
        <v>0</v>
      </c>
      <c r="G301">
        <v>9.776844690800994E-2</v>
      </c>
      <c r="H301">
        <v>11219.626577000023</v>
      </c>
      <c r="I301">
        <v>65</v>
      </c>
      <c r="J301">
        <v>180</v>
      </c>
      <c r="K301">
        <v>2</v>
      </c>
      <c r="L301">
        <v>2</v>
      </c>
      <c r="M301">
        <v>1</v>
      </c>
      <c r="N301">
        <v>3</v>
      </c>
    </row>
    <row r="302" spans="1:14">
      <c r="A302">
        <v>65</v>
      </c>
      <c r="B302">
        <v>1</v>
      </c>
      <c r="C302">
        <v>1451</v>
      </c>
      <c r="D302">
        <v>0.2143231779466018</v>
      </c>
      <c r="E302">
        <v>14</v>
      </c>
      <c r="F302">
        <v>0</v>
      </c>
      <c r="G302">
        <v>0.15671001936673948</v>
      </c>
      <c r="H302">
        <v>9331.7018679999983</v>
      </c>
      <c r="I302">
        <v>63</v>
      </c>
      <c r="J302">
        <v>180</v>
      </c>
      <c r="K302">
        <v>2</v>
      </c>
      <c r="L302">
        <v>4</v>
      </c>
      <c r="M302">
        <v>2</v>
      </c>
      <c r="N302">
        <v>6</v>
      </c>
    </row>
    <row r="303" spans="1:14">
      <c r="A303">
        <v>65</v>
      </c>
      <c r="B303">
        <v>2</v>
      </c>
      <c r="C303">
        <v>1146</v>
      </c>
      <c r="D303">
        <v>0.16813854999202685</v>
      </c>
      <c r="E303">
        <v>7</v>
      </c>
      <c r="F303">
        <v>0</v>
      </c>
      <c r="G303">
        <v>8.8118026925580517E-2</v>
      </c>
      <c r="H303">
        <v>11894.952109999998</v>
      </c>
      <c r="I303">
        <v>61</v>
      </c>
      <c r="J303">
        <v>180</v>
      </c>
      <c r="K303">
        <v>1</v>
      </c>
      <c r="L303">
        <v>2</v>
      </c>
      <c r="M303">
        <v>2</v>
      </c>
      <c r="N303">
        <v>2</v>
      </c>
    </row>
    <row r="304" spans="1:14">
      <c r="A304">
        <v>66</v>
      </c>
      <c r="B304">
        <v>1</v>
      </c>
      <c r="C304">
        <v>1612</v>
      </c>
      <c r="D304">
        <v>0.22941401709607598</v>
      </c>
      <c r="E304">
        <v>18</v>
      </c>
      <c r="F304">
        <v>0</v>
      </c>
      <c r="G304">
        <v>0.19633528377779161</v>
      </c>
      <c r="H304">
        <v>8717.863124999998</v>
      </c>
      <c r="I304">
        <v>64</v>
      </c>
      <c r="J304">
        <v>180</v>
      </c>
      <c r="K304">
        <v>3</v>
      </c>
      <c r="L304">
        <v>5</v>
      </c>
      <c r="M304">
        <v>2</v>
      </c>
      <c r="N304">
        <v>8</v>
      </c>
    </row>
    <row r="305" spans="1:14">
      <c r="A305">
        <v>66</v>
      </c>
      <c r="B305">
        <v>2</v>
      </c>
      <c r="C305">
        <v>634</v>
      </c>
      <c r="D305">
        <v>0.1784074040059612</v>
      </c>
      <c r="E305">
        <v>9</v>
      </c>
      <c r="F305">
        <v>0</v>
      </c>
      <c r="G305">
        <v>0.10776352052126061</v>
      </c>
      <c r="H305">
        <v>11210.297079000002</v>
      </c>
      <c r="I305">
        <v>57</v>
      </c>
      <c r="J305">
        <v>180</v>
      </c>
      <c r="K305">
        <v>1</v>
      </c>
      <c r="L305">
        <v>1</v>
      </c>
      <c r="M305">
        <v>3</v>
      </c>
      <c r="N305">
        <v>4</v>
      </c>
    </row>
    <row r="306" spans="1:14">
      <c r="A306">
        <v>67</v>
      </c>
      <c r="B306">
        <v>1</v>
      </c>
      <c r="C306">
        <v>5501</v>
      </c>
      <c r="D306">
        <v>0.20856006467158969</v>
      </c>
      <c r="E306">
        <v>13</v>
      </c>
      <c r="F306">
        <v>0</v>
      </c>
      <c r="G306">
        <v>0.14686253829844126</v>
      </c>
      <c r="H306">
        <v>9589.5635779999957</v>
      </c>
      <c r="I306">
        <v>64</v>
      </c>
      <c r="J306">
        <v>180</v>
      </c>
      <c r="K306">
        <v>2</v>
      </c>
      <c r="L306">
        <v>2</v>
      </c>
      <c r="M306">
        <v>2</v>
      </c>
      <c r="N306">
        <v>7</v>
      </c>
    </row>
    <row r="307" spans="1:14">
      <c r="A307">
        <v>67</v>
      </c>
      <c r="B307">
        <v>2</v>
      </c>
      <c r="C307">
        <v>4947</v>
      </c>
      <c r="D307">
        <v>0.16696825289257197</v>
      </c>
      <c r="E307">
        <v>8</v>
      </c>
      <c r="F307">
        <v>0</v>
      </c>
      <c r="G307">
        <v>9.816025876089611E-2</v>
      </c>
      <c r="H307">
        <v>11978.325012999974</v>
      </c>
      <c r="I307">
        <v>64</v>
      </c>
      <c r="J307">
        <v>180</v>
      </c>
      <c r="K307">
        <v>2</v>
      </c>
      <c r="L307">
        <v>1</v>
      </c>
      <c r="M307">
        <v>1</v>
      </c>
      <c r="N307">
        <v>4</v>
      </c>
    </row>
    <row r="308" spans="1:14">
      <c r="A308">
        <v>68</v>
      </c>
      <c r="B308">
        <v>1</v>
      </c>
      <c r="C308">
        <v>935</v>
      </c>
      <c r="D308">
        <v>0.22452530886423586</v>
      </c>
      <c r="E308">
        <v>14</v>
      </c>
      <c r="F308">
        <v>0</v>
      </c>
      <c r="G308">
        <v>0.15645299247857097</v>
      </c>
      <c r="H308">
        <v>8907.6817670000128</v>
      </c>
      <c r="I308">
        <v>64</v>
      </c>
      <c r="J308">
        <v>180</v>
      </c>
      <c r="K308">
        <v>2</v>
      </c>
      <c r="L308">
        <v>3</v>
      </c>
      <c r="M308">
        <v>4</v>
      </c>
      <c r="N308">
        <v>5</v>
      </c>
    </row>
    <row r="309" spans="1:14">
      <c r="A309">
        <v>68</v>
      </c>
      <c r="B309">
        <v>2</v>
      </c>
      <c r="C309">
        <v>1214</v>
      </c>
      <c r="D309">
        <v>0.17404870619634563</v>
      </c>
      <c r="E309">
        <v>8</v>
      </c>
      <c r="F309">
        <v>0</v>
      </c>
      <c r="G309">
        <v>9.7910583451834565E-2</v>
      </c>
      <c r="H309">
        <v>11491.036295000005</v>
      </c>
      <c r="I309">
        <v>65</v>
      </c>
      <c r="J309">
        <v>180</v>
      </c>
      <c r="K309">
        <v>3</v>
      </c>
      <c r="L309">
        <v>1</v>
      </c>
      <c r="M309">
        <v>2</v>
      </c>
      <c r="N309">
        <v>2</v>
      </c>
    </row>
    <row r="310" spans="1:14">
      <c r="A310">
        <v>69</v>
      </c>
      <c r="B310">
        <v>1</v>
      </c>
      <c r="C310">
        <v>2915</v>
      </c>
      <c r="D310">
        <v>0.22321812272419897</v>
      </c>
      <c r="E310">
        <v>14</v>
      </c>
      <c r="F310">
        <v>0</v>
      </c>
      <c r="G310">
        <v>0.15648504674153238</v>
      </c>
      <c r="H310">
        <v>8959.8459820000135</v>
      </c>
      <c r="I310">
        <v>64</v>
      </c>
      <c r="J310">
        <v>180</v>
      </c>
      <c r="K310">
        <v>3</v>
      </c>
      <c r="L310">
        <v>2</v>
      </c>
      <c r="M310">
        <v>4</v>
      </c>
      <c r="N310">
        <v>5</v>
      </c>
    </row>
    <row r="311" spans="1:14">
      <c r="A311">
        <v>69</v>
      </c>
      <c r="B311">
        <v>2</v>
      </c>
      <c r="C311">
        <v>2088</v>
      </c>
      <c r="D311">
        <v>0.18033254797507833</v>
      </c>
      <c r="E311">
        <v>8</v>
      </c>
      <c r="F311">
        <v>0</v>
      </c>
      <c r="G311">
        <v>9.7700082624339005E-2</v>
      </c>
      <c r="H311">
        <v>11090.621313000007</v>
      </c>
      <c r="I311">
        <v>64</v>
      </c>
      <c r="J311">
        <v>180</v>
      </c>
      <c r="K311">
        <v>2</v>
      </c>
      <c r="L311">
        <v>2</v>
      </c>
      <c r="M311">
        <v>1</v>
      </c>
      <c r="N311">
        <v>3</v>
      </c>
    </row>
    <row r="312" spans="1:14">
      <c r="A312">
        <v>70</v>
      </c>
      <c r="B312">
        <v>1</v>
      </c>
      <c r="C312">
        <v>5425</v>
      </c>
      <c r="D312">
        <v>0.2355244931591661</v>
      </c>
      <c r="E312">
        <v>17</v>
      </c>
      <c r="F312">
        <v>0</v>
      </c>
      <c r="G312">
        <v>0.18619277596988226</v>
      </c>
      <c r="H312">
        <v>8491.6858249999987</v>
      </c>
      <c r="I312">
        <v>63</v>
      </c>
      <c r="J312">
        <v>180</v>
      </c>
      <c r="K312">
        <v>2</v>
      </c>
      <c r="L312">
        <v>5</v>
      </c>
      <c r="M312">
        <v>4</v>
      </c>
      <c r="N312">
        <v>6</v>
      </c>
    </row>
    <row r="313" spans="1:14">
      <c r="A313">
        <v>70</v>
      </c>
      <c r="B313">
        <v>2</v>
      </c>
      <c r="C313">
        <v>1639</v>
      </c>
      <c r="D313">
        <v>0.18835291656971317</v>
      </c>
      <c r="E313">
        <v>9</v>
      </c>
      <c r="F313">
        <v>0</v>
      </c>
      <c r="G313">
        <v>0.10744519721794099</v>
      </c>
      <c r="H313">
        <v>10618.36491</v>
      </c>
      <c r="I313">
        <v>60</v>
      </c>
      <c r="J313">
        <v>180</v>
      </c>
      <c r="K313">
        <v>2</v>
      </c>
      <c r="L313">
        <v>1</v>
      </c>
      <c r="M313">
        <v>3</v>
      </c>
      <c r="N313">
        <v>3</v>
      </c>
    </row>
    <row r="314" spans="1:14">
      <c r="A314">
        <v>71</v>
      </c>
      <c r="B314">
        <v>1</v>
      </c>
      <c r="C314">
        <v>859</v>
      </c>
      <c r="D314">
        <v>0.22284661578357537</v>
      </c>
      <c r="E314">
        <v>7</v>
      </c>
      <c r="F314">
        <v>0</v>
      </c>
      <c r="G314">
        <v>8.6494202380019841E-2</v>
      </c>
      <c r="H314">
        <v>8974.7829149999925</v>
      </c>
      <c r="I314">
        <v>59</v>
      </c>
      <c r="J314">
        <v>180</v>
      </c>
      <c r="K314">
        <v>1</v>
      </c>
      <c r="L314">
        <v>2</v>
      </c>
      <c r="M314">
        <v>1</v>
      </c>
      <c r="N314">
        <v>3</v>
      </c>
    </row>
    <row r="315" spans="1:14">
      <c r="A315">
        <v>71</v>
      </c>
      <c r="B315">
        <v>2</v>
      </c>
      <c r="C315">
        <v>660</v>
      </c>
      <c r="D315">
        <v>0.2055165982579201</v>
      </c>
      <c r="E315">
        <v>6</v>
      </c>
      <c r="F315">
        <v>0</v>
      </c>
      <c r="G315">
        <v>7.6945369077422457E-2</v>
      </c>
      <c r="H315">
        <v>9731.5740770000066</v>
      </c>
      <c r="I315">
        <v>62</v>
      </c>
      <c r="J315">
        <v>180</v>
      </c>
      <c r="K315">
        <v>2</v>
      </c>
      <c r="L315">
        <v>1</v>
      </c>
      <c r="M315">
        <v>1</v>
      </c>
      <c r="N315">
        <v>2</v>
      </c>
    </row>
    <row r="316" spans="1:14">
      <c r="A316">
        <v>72</v>
      </c>
      <c r="B316">
        <v>1</v>
      </c>
      <c r="C316">
        <v>460</v>
      </c>
      <c r="D316">
        <v>0.22886697933242026</v>
      </c>
      <c r="E316">
        <v>7</v>
      </c>
      <c r="F316">
        <v>0</v>
      </c>
      <c r="G316">
        <v>8.634828828511143E-2</v>
      </c>
      <c r="H316">
        <v>8738.7005580000205</v>
      </c>
      <c r="I316">
        <v>61</v>
      </c>
      <c r="J316">
        <v>180</v>
      </c>
      <c r="K316">
        <v>2</v>
      </c>
      <c r="L316">
        <v>1</v>
      </c>
      <c r="M316">
        <v>2</v>
      </c>
      <c r="N316">
        <v>2</v>
      </c>
    </row>
    <row r="317" spans="1:14">
      <c r="A317">
        <v>72</v>
      </c>
      <c r="B317">
        <v>2</v>
      </c>
      <c r="C317">
        <v>504</v>
      </c>
      <c r="D317">
        <v>0.19986146979958963</v>
      </c>
      <c r="E317">
        <v>5</v>
      </c>
      <c r="F317">
        <v>0</v>
      </c>
      <c r="G317">
        <v>6.7103709346009094E-2</v>
      </c>
      <c r="H317">
        <v>10006.931311000028</v>
      </c>
      <c r="I317">
        <v>57</v>
      </c>
      <c r="J317">
        <v>180</v>
      </c>
      <c r="K317">
        <v>1</v>
      </c>
      <c r="L317">
        <v>1</v>
      </c>
      <c r="M317">
        <v>1</v>
      </c>
      <c r="N317">
        <v>2</v>
      </c>
    </row>
    <row r="318" spans="1:14">
      <c r="A318">
        <v>73</v>
      </c>
      <c r="B318">
        <v>1</v>
      </c>
      <c r="C318">
        <v>832</v>
      </c>
      <c r="D318">
        <v>0.22488452302023826</v>
      </c>
      <c r="E318">
        <v>8</v>
      </c>
      <c r="F318">
        <v>0</v>
      </c>
      <c r="G318">
        <v>9.6444227539516703E-2</v>
      </c>
      <c r="H318">
        <v>8893.4532850000178</v>
      </c>
      <c r="I318">
        <v>58</v>
      </c>
      <c r="J318">
        <v>180</v>
      </c>
      <c r="K318">
        <v>1</v>
      </c>
      <c r="L318">
        <v>2</v>
      </c>
      <c r="M318">
        <v>1</v>
      </c>
      <c r="N318">
        <v>4</v>
      </c>
    </row>
    <row r="319" spans="1:14">
      <c r="A319">
        <v>73</v>
      </c>
      <c r="B319">
        <v>2</v>
      </c>
      <c r="C319">
        <v>712</v>
      </c>
      <c r="D319">
        <v>0.21151655239363626</v>
      </c>
      <c r="E319">
        <v>6</v>
      </c>
      <c r="F319">
        <v>0</v>
      </c>
      <c r="G319">
        <v>7.6783603598322758E-2</v>
      </c>
      <c r="H319">
        <v>9455.524768000012</v>
      </c>
      <c r="I319">
        <v>66</v>
      </c>
      <c r="J319">
        <v>180</v>
      </c>
      <c r="K319">
        <v>1</v>
      </c>
      <c r="L319">
        <v>2</v>
      </c>
      <c r="M319">
        <v>1</v>
      </c>
      <c r="N319">
        <v>2</v>
      </c>
    </row>
    <row r="320" spans="1:14">
      <c r="A320">
        <v>74</v>
      </c>
      <c r="B320">
        <v>1</v>
      </c>
      <c r="C320">
        <v>6135</v>
      </c>
      <c r="D320">
        <v>0.22599642803402215</v>
      </c>
      <c r="E320">
        <v>7</v>
      </c>
      <c r="F320">
        <v>0</v>
      </c>
      <c r="G320">
        <v>8.6417214593694947E-2</v>
      </c>
      <c r="H320">
        <v>8849.6973930000095</v>
      </c>
      <c r="I320">
        <v>69</v>
      </c>
      <c r="J320">
        <v>180</v>
      </c>
      <c r="K320">
        <v>2</v>
      </c>
      <c r="L320">
        <v>1</v>
      </c>
      <c r="M320">
        <v>2</v>
      </c>
      <c r="N320">
        <v>2</v>
      </c>
    </row>
    <row r="321" spans="1:14">
      <c r="A321">
        <v>74</v>
      </c>
      <c r="B321">
        <v>2</v>
      </c>
      <c r="C321">
        <v>2510</v>
      </c>
      <c r="D321">
        <v>0.19793621698454861</v>
      </c>
      <c r="E321">
        <v>5</v>
      </c>
      <c r="F321">
        <v>0</v>
      </c>
      <c r="G321">
        <v>6.7158984349272088E-2</v>
      </c>
      <c r="H321">
        <v>10104.265053000003</v>
      </c>
      <c r="I321">
        <v>64</v>
      </c>
      <c r="J321">
        <v>180</v>
      </c>
      <c r="K321">
        <v>1</v>
      </c>
      <c r="L321">
        <v>1</v>
      </c>
      <c r="M321">
        <v>1</v>
      </c>
      <c r="N321">
        <v>2</v>
      </c>
    </row>
    <row r="322" spans="1:14">
      <c r="A322">
        <v>75</v>
      </c>
      <c r="B322">
        <v>1</v>
      </c>
      <c r="C322">
        <v>1172</v>
      </c>
      <c r="D322">
        <v>0.228512228992065</v>
      </c>
      <c r="E322">
        <v>7</v>
      </c>
      <c r="F322">
        <v>0</v>
      </c>
      <c r="G322">
        <v>8.6356743795053467E-2</v>
      </c>
      <c r="H322">
        <v>8752.2668209999792</v>
      </c>
      <c r="I322">
        <v>69</v>
      </c>
      <c r="J322">
        <v>180</v>
      </c>
      <c r="K322">
        <v>2</v>
      </c>
      <c r="L322">
        <v>1</v>
      </c>
      <c r="M322">
        <v>2</v>
      </c>
      <c r="N322">
        <v>2</v>
      </c>
    </row>
    <row r="323" spans="1:14">
      <c r="A323">
        <v>75</v>
      </c>
      <c r="B323">
        <v>2</v>
      </c>
      <c r="C323">
        <v>5704</v>
      </c>
      <c r="D323">
        <v>0.1999626168488064</v>
      </c>
      <c r="E323">
        <v>5</v>
      </c>
      <c r="F323">
        <v>0</v>
      </c>
      <c r="G323">
        <v>6.7100825004369438E-2</v>
      </c>
      <c r="H323">
        <v>10001.869506999994</v>
      </c>
      <c r="I323">
        <v>62</v>
      </c>
      <c r="J323">
        <v>180</v>
      </c>
      <c r="K323">
        <v>1</v>
      </c>
      <c r="L323">
        <v>1</v>
      </c>
      <c r="M323">
        <v>1</v>
      </c>
      <c r="N323">
        <v>2</v>
      </c>
    </row>
    <row r="324" spans="1:14">
      <c r="A324">
        <v>76</v>
      </c>
      <c r="B324">
        <v>1</v>
      </c>
      <c r="C324">
        <v>1260</v>
      </c>
      <c r="D324">
        <v>0.22886862091015803</v>
      </c>
      <c r="E324">
        <v>7</v>
      </c>
      <c r="F324">
        <v>0</v>
      </c>
      <c r="G324">
        <v>8.6348249198567442E-2</v>
      </c>
      <c r="H324">
        <v>8738.6378790000072</v>
      </c>
      <c r="I324">
        <v>65</v>
      </c>
      <c r="J324">
        <v>180</v>
      </c>
      <c r="K324">
        <v>1</v>
      </c>
      <c r="L324">
        <v>2</v>
      </c>
      <c r="M324">
        <v>2</v>
      </c>
      <c r="N324">
        <v>2</v>
      </c>
    </row>
    <row r="325" spans="1:14">
      <c r="A325">
        <v>76</v>
      </c>
      <c r="B325">
        <v>2</v>
      </c>
      <c r="C325">
        <v>3376</v>
      </c>
      <c r="D325">
        <v>0.19806233490572267</v>
      </c>
      <c r="E325">
        <v>5</v>
      </c>
      <c r="F325">
        <v>0</v>
      </c>
      <c r="G325">
        <v>6.7155341531593429E-2</v>
      </c>
      <c r="H325">
        <v>10097.831073999994</v>
      </c>
      <c r="I325">
        <v>65</v>
      </c>
      <c r="J325">
        <v>180</v>
      </c>
      <c r="K325">
        <v>1</v>
      </c>
      <c r="L325">
        <v>1</v>
      </c>
      <c r="M325">
        <v>1</v>
      </c>
      <c r="N325">
        <v>2</v>
      </c>
    </row>
    <row r="326" spans="1:14">
      <c r="A326">
        <v>77</v>
      </c>
      <c r="B326">
        <v>1</v>
      </c>
      <c r="C326">
        <v>1021</v>
      </c>
      <c r="D326">
        <v>0.22408787667035504</v>
      </c>
      <c r="E326">
        <v>7</v>
      </c>
      <c r="F326">
        <v>0</v>
      </c>
      <c r="G326">
        <v>8.6463691243636662E-2</v>
      </c>
      <c r="H326">
        <v>8925.0700650000108</v>
      </c>
      <c r="I326">
        <v>63</v>
      </c>
      <c r="J326">
        <v>180</v>
      </c>
      <c r="K326">
        <v>1</v>
      </c>
      <c r="L326">
        <v>2</v>
      </c>
      <c r="M326">
        <v>1</v>
      </c>
      <c r="N326">
        <v>3</v>
      </c>
    </row>
    <row r="327" spans="1:14">
      <c r="A327">
        <v>77</v>
      </c>
      <c r="B327">
        <v>2</v>
      </c>
      <c r="C327">
        <v>1030</v>
      </c>
      <c r="D327">
        <v>0.21376591347890542</v>
      </c>
      <c r="E327">
        <v>6</v>
      </c>
      <c r="F327">
        <v>0</v>
      </c>
      <c r="G327">
        <v>7.6724527167806506E-2</v>
      </c>
      <c r="H327">
        <v>9356.0285990000066</v>
      </c>
      <c r="I327">
        <v>66</v>
      </c>
      <c r="J327">
        <v>180</v>
      </c>
      <c r="K327">
        <v>1</v>
      </c>
      <c r="L327">
        <v>2</v>
      </c>
      <c r="M327">
        <v>1</v>
      </c>
      <c r="N327">
        <v>2</v>
      </c>
    </row>
    <row r="328" spans="1:14">
      <c r="A328">
        <v>78</v>
      </c>
      <c r="B328">
        <v>1</v>
      </c>
      <c r="C328">
        <v>992</v>
      </c>
      <c r="D328">
        <v>0.2313261961417698</v>
      </c>
      <c r="E328">
        <v>7</v>
      </c>
      <c r="F328">
        <v>0</v>
      </c>
      <c r="G328">
        <v>8.6290149169151065E-2</v>
      </c>
      <c r="H328">
        <v>8645.7998849999967</v>
      </c>
      <c r="I328">
        <v>66</v>
      </c>
      <c r="J328">
        <v>180</v>
      </c>
      <c r="K328">
        <v>1</v>
      </c>
      <c r="L328">
        <v>2</v>
      </c>
      <c r="M328">
        <v>2</v>
      </c>
      <c r="N328">
        <v>2</v>
      </c>
    </row>
    <row r="329" spans="1:14">
      <c r="A329">
        <v>78</v>
      </c>
      <c r="B329">
        <v>2</v>
      </c>
      <c r="C329">
        <v>816</v>
      </c>
      <c r="D329">
        <v>0.19913207996198365</v>
      </c>
      <c r="E329">
        <v>5</v>
      </c>
      <c r="F329">
        <v>0</v>
      </c>
      <c r="G329">
        <v>6.7124566643410682E-2</v>
      </c>
      <c r="H329">
        <v>10043.585144000004</v>
      </c>
      <c r="I329">
        <v>66</v>
      </c>
      <c r="J329">
        <v>180</v>
      </c>
      <c r="K329">
        <v>1</v>
      </c>
      <c r="L329">
        <v>1</v>
      </c>
      <c r="M329">
        <v>1</v>
      </c>
      <c r="N329">
        <v>2</v>
      </c>
    </row>
    <row r="330" spans="1:14">
      <c r="A330">
        <v>79</v>
      </c>
      <c r="B330">
        <v>1</v>
      </c>
      <c r="C330">
        <v>811</v>
      </c>
      <c r="D330">
        <v>0.22640057996076648</v>
      </c>
      <c r="E330">
        <v>7</v>
      </c>
      <c r="F330">
        <v>0</v>
      </c>
      <c r="G330">
        <v>8.6407439882358203E-2</v>
      </c>
      <c r="H330">
        <v>8833.8996319999933</v>
      </c>
      <c r="I330">
        <v>67</v>
      </c>
      <c r="J330">
        <v>180</v>
      </c>
      <c r="K330">
        <v>2</v>
      </c>
      <c r="L330">
        <v>1</v>
      </c>
      <c r="M330">
        <v>2</v>
      </c>
      <c r="N330">
        <v>2</v>
      </c>
    </row>
    <row r="331" spans="1:14">
      <c r="A331">
        <v>79</v>
      </c>
      <c r="B331">
        <v>2</v>
      </c>
      <c r="C331">
        <v>765</v>
      </c>
      <c r="D331">
        <v>0.21297774584788962</v>
      </c>
      <c r="E331">
        <v>6</v>
      </c>
      <c r="F331">
        <v>0</v>
      </c>
      <c r="G331">
        <v>7.6745132612899183E-2</v>
      </c>
      <c r="H331">
        <v>9390.6524929999759</v>
      </c>
      <c r="I331">
        <v>62</v>
      </c>
      <c r="J331">
        <v>180</v>
      </c>
      <c r="K331">
        <v>1</v>
      </c>
      <c r="L331">
        <v>1</v>
      </c>
      <c r="M331">
        <v>2</v>
      </c>
      <c r="N331">
        <v>2</v>
      </c>
    </row>
    <row r="332" spans="1:14">
      <c r="A332">
        <v>80</v>
      </c>
      <c r="B332">
        <v>1</v>
      </c>
      <c r="C332">
        <v>1914</v>
      </c>
      <c r="D332">
        <v>0.22812999962934624</v>
      </c>
      <c r="E332">
        <v>7</v>
      </c>
      <c r="F332">
        <v>0</v>
      </c>
      <c r="G332">
        <v>8.636587388064583E-2</v>
      </c>
      <c r="H332">
        <v>8766.9311499999822</v>
      </c>
      <c r="I332">
        <v>68</v>
      </c>
      <c r="J332">
        <v>180</v>
      </c>
      <c r="K332">
        <v>2</v>
      </c>
      <c r="L332">
        <v>1</v>
      </c>
      <c r="M332">
        <v>2</v>
      </c>
      <c r="N332">
        <v>2</v>
      </c>
    </row>
    <row r="333" spans="1:14">
      <c r="A333">
        <v>80</v>
      </c>
      <c r="B333">
        <v>2</v>
      </c>
      <c r="C333">
        <v>2306</v>
      </c>
      <c r="D333">
        <v>0.19945357260451421</v>
      </c>
      <c r="E333">
        <v>5</v>
      </c>
      <c r="F333">
        <v>0</v>
      </c>
      <c r="G333">
        <v>6.7115360853871098E-2</v>
      </c>
      <c r="H333">
        <v>10027.396219999993</v>
      </c>
      <c r="I333">
        <v>64</v>
      </c>
      <c r="J333">
        <v>180</v>
      </c>
      <c r="K333">
        <v>1</v>
      </c>
      <c r="L333">
        <v>1</v>
      </c>
      <c r="M333">
        <v>1</v>
      </c>
      <c r="N333">
        <v>2</v>
      </c>
    </row>
    <row r="344" spans="1:14">
      <c r="A344">
        <v>1</v>
      </c>
      <c r="B344">
        <v>1</v>
      </c>
      <c r="C344">
        <v>8797</v>
      </c>
      <c r="D344">
        <v>0.3847602781588802</v>
      </c>
      <c r="E344">
        <v>62</v>
      </c>
      <c r="F344">
        <v>0</v>
      </c>
      <c r="G344">
        <v>0.63374896236974232</v>
      </c>
      <c r="H344">
        <v>5198.0417770000004</v>
      </c>
      <c r="I344">
        <v>55</v>
      </c>
      <c r="J344">
        <v>180</v>
      </c>
      <c r="K344">
        <v>16</v>
      </c>
      <c r="L344">
        <v>17</v>
      </c>
      <c r="M344">
        <v>14</v>
      </c>
      <c r="N344">
        <v>15</v>
      </c>
    </row>
    <row r="345" spans="1:14">
      <c r="A345">
        <v>1</v>
      </c>
      <c r="B345">
        <v>2</v>
      </c>
      <c r="C345">
        <v>8032</v>
      </c>
      <c r="D345">
        <v>0.32388743195460074</v>
      </c>
      <c r="E345">
        <v>28</v>
      </c>
      <c r="F345">
        <v>0</v>
      </c>
      <c r="G345">
        <v>0.29456136096968921</v>
      </c>
      <c r="H345">
        <v>6174.9848950000005</v>
      </c>
      <c r="I345">
        <v>55</v>
      </c>
      <c r="J345">
        <v>180</v>
      </c>
      <c r="K345">
        <v>7</v>
      </c>
      <c r="L345">
        <v>6</v>
      </c>
      <c r="M345">
        <v>8</v>
      </c>
      <c r="N345">
        <v>7</v>
      </c>
    </row>
    <row r="346" spans="1:14">
      <c r="A346">
        <v>2</v>
      </c>
      <c r="B346">
        <v>1</v>
      </c>
      <c r="C346">
        <v>6117</v>
      </c>
      <c r="D346">
        <v>0.37191276955656666</v>
      </c>
      <c r="E346">
        <v>41</v>
      </c>
      <c r="F346">
        <v>0</v>
      </c>
      <c r="G346">
        <v>0.42390549019961171</v>
      </c>
      <c r="H346">
        <v>5377.6050829999986</v>
      </c>
      <c r="I346">
        <v>56</v>
      </c>
      <c r="J346">
        <v>180</v>
      </c>
      <c r="K346">
        <v>10</v>
      </c>
      <c r="L346">
        <v>12</v>
      </c>
      <c r="M346">
        <v>11</v>
      </c>
      <c r="N346">
        <v>8</v>
      </c>
    </row>
    <row r="347" spans="1:14">
      <c r="A347">
        <v>2</v>
      </c>
      <c r="B347">
        <v>2</v>
      </c>
      <c r="C347">
        <v>8053</v>
      </c>
      <c r="D347">
        <v>0.31528055443413439</v>
      </c>
      <c r="E347">
        <v>21</v>
      </c>
      <c r="F347">
        <v>0</v>
      </c>
      <c r="G347">
        <v>0.22469267723189618</v>
      </c>
      <c r="H347">
        <v>6343.556467000004</v>
      </c>
      <c r="I347">
        <v>57</v>
      </c>
      <c r="J347">
        <v>180</v>
      </c>
      <c r="K347">
        <v>6</v>
      </c>
      <c r="L347">
        <v>5</v>
      </c>
      <c r="M347">
        <v>5</v>
      </c>
      <c r="N347">
        <v>5</v>
      </c>
    </row>
    <row r="348" spans="1:14">
      <c r="A348">
        <v>3</v>
      </c>
      <c r="B348">
        <v>1</v>
      </c>
      <c r="C348">
        <v>7737</v>
      </c>
      <c r="D348">
        <v>0.40872285903315603</v>
      </c>
      <c r="E348">
        <v>67</v>
      </c>
      <c r="F348">
        <v>0</v>
      </c>
      <c r="G348">
        <v>0.68347484228723698</v>
      </c>
      <c r="H348">
        <v>4893.2912750000069</v>
      </c>
      <c r="I348">
        <v>59</v>
      </c>
      <c r="J348">
        <v>180</v>
      </c>
      <c r="K348">
        <v>13</v>
      </c>
      <c r="L348">
        <v>17</v>
      </c>
      <c r="M348">
        <v>25</v>
      </c>
      <c r="N348">
        <v>12</v>
      </c>
    </row>
    <row r="349" spans="1:14">
      <c r="A349">
        <v>3</v>
      </c>
      <c r="B349">
        <v>2</v>
      </c>
      <c r="C349">
        <v>3925</v>
      </c>
      <c r="D349">
        <v>0.3355229111148807</v>
      </c>
      <c r="E349">
        <v>23</v>
      </c>
      <c r="F349">
        <v>0</v>
      </c>
      <c r="G349">
        <v>0.24439105411437237</v>
      </c>
      <c r="H349">
        <v>5960.8448000000035</v>
      </c>
      <c r="I349">
        <v>58</v>
      </c>
      <c r="J349">
        <v>180</v>
      </c>
      <c r="K349">
        <v>4</v>
      </c>
      <c r="L349">
        <v>6</v>
      </c>
      <c r="M349">
        <v>8</v>
      </c>
      <c r="N349">
        <v>5</v>
      </c>
    </row>
    <row r="350" spans="1:14">
      <c r="A350">
        <v>4</v>
      </c>
      <c r="B350">
        <v>1</v>
      </c>
      <c r="C350">
        <v>7620</v>
      </c>
      <c r="D350">
        <v>0.41773718294723183</v>
      </c>
      <c r="E350">
        <v>93</v>
      </c>
      <c r="F350">
        <v>0</v>
      </c>
      <c r="G350">
        <v>0.94337721238017602</v>
      </c>
      <c r="H350">
        <v>4787.6992560000053</v>
      </c>
      <c r="I350">
        <v>56</v>
      </c>
      <c r="J350">
        <v>180</v>
      </c>
      <c r="K350">
        <v>30</v>
      </c>
      <c r="L350">
        <v>23</v>
      </c>
      <c r="M350">
        <v>25</v>
      </c>
      <c r="N350">
        <v>15</v>
      </c>
    </row>
    <row r="351" spans="1:14">
      <c r="A351">
        <v>4</v>
      </c>
      <c r="B351">
        <v>2</v>
      </c>
      <c r="C351">
        <v>4303</v>
      </c>
      <c r="D351">
        <v>0.34669552887529598</v>
      </c>
      <c r="E351">
        <v>31</v>
      </c>
      <c r="F351">
        <v>0</v>
      </c>
      <c r="G351">
        <v>0.32423477432674913</v>
      </c>
      <c r="H351">
        <v>5768.7504840000011</v>
      </c>
      <c r="I351">
        <v>58</v>
      </c>
      <c r="J351">
        <v>180</v>
      </c>
      <c r="K351">
        <v>6</v>
      </c>
      <c r="L351">
        <v>8</v>
      </c>
      <c r="M351">
        <v>8</v>
      </c>
      <c r="N351">
        <v>9</v>
      </c>
    </row>
    <row r="352" spans="1:14">
      <c r="A352">
        <v>5</v>
      </c>
      <c r="B352">
        <v>1</v>
      </c>
      <c r="C352">
        <v>4191</v>
      </c>
      <c r="D352">
        <v>0.4006622852217086</v>
      </c>
      <c r="E352">
        <v>67</v>
      </c>
      <c r="F352">
        <v>0</v>
      </c>
      <c r="G352">
        <v>0.68356460584594392</v>
      </c>
      <c r="H352">
        <v>4991.7351190000063</v>
      </c>
      <c r="I352">
        <v>58</v>
      </c>
      <c r="J352">
        <v>180</v>
      </c>
      <c r="K352">
        <v>20</v>
      </c>
      <c r="L352">
        <v>17</v>
      </c>
      <c r="M352">
        <v>18</v>
      </c>
      <c r="N352">
        <v>12</v>
      </c>
    </row>
    <row r="353" spans="1:14">
      <c r="A353">
        <v>5</v>
      </c>
      <c r="B353">
        <v>2</v>
      </c>
      <c r="C353">
        <v>2265</v>
      </c>
      <c r="D353">
        <v>0.31383591150313989</v>
      </c>
      <c r="E353">
        <v>20</v>
      </c>
      <c r="F353">
        <v>0</v>
      </c>
      <c r="G353">
        <v>0.21471518707014062</v>
      </c>
      <c r="H353">
        <v>6372.7569940000003</v>
      </c>
      <c r="I353">
        <v>57</v>
      </c>
      <c r="J353">
        <v>180</v>
      </c>
      <c r="K353">
        <v>5</v>
      </c>
      <c r="L353">
        <v>5</v>
      </c>
      <c r="M353">
        <v>6</v>
      </c>
      <c r="N353">
        <v>4</v>
      </c>
    </row>
    <row r="354" spans="1:14">
      <c r="A354">
        <v>6</v>
      </c>
      <c r="B354">
        <v>1</v>
      </c>
      <c r="C354">
        <v>5812</v>
      </c>
      <c r="D354">
        <v>0.42573746746484575</v>
      </c>
      <c r="E354">
        <v>66</v>
      </c>
      <c r="F354">
        <v>0</v>
      </c>
      <c r="G354">
        <v>0.67329288892668093</v>
      </c>
      <c r="H354">
        <v>4697.7307679999885</v>
      </c>
      <c r="I354">
        <v>7626</v>
      </c>
      <c r="J354">
        <v>180</v>
      </c>
      <c r="K354">
        <v>13</v>
      </c>
      <c r="L354">
        <v>22</v>
      </c>
      <c r="M354">
        <v>13</v>
      </c>
      <c r="N354">
        <v>18</v>
      </c>
    </row>
    <row r="355" spans="1:14">
      <c r="A355">
        <v>6</v>
      </c>
      <c r="B355">
        <v>2</v>
      </c>
      <c r="C355">
        <v>959</v>
      </c>
      <c r="D355">
        <v>0.33463340256289903</v>
      </c>
      <c r="E355">
        <v>21</v>
      </c>
      <c r="F355">
        <v>0</v>
      </c>
      <c r="G355">
        <v>0.22440379406601099</v>
      </c>
      <c r="H355">
        <v>5976.6896690000094</v>
      </c>
      <c r="I355">
        <v>58</v>
      </c>
      <c r="J355">
        <v>180</v>
      </c>
      <c r="K355">
        <v>5</v>
      </c>
      <c r="L355">
        <v>7</v>
      </c>
      <c r="M355">
        <v>5</v>
      </c>
      <c r="N355">
        <v>4</v>
      </c>
    </row>
    <row r="356" spans="1:14">
      <c r="A356">
        <v>7</v>
      </c>
      <c r="B356">
        <v>1</v>
      </c>
      <c r="C356">
        <v>2415</v>
      </c>
      <c r="D356">
        <v>0.42554202866952578</v>
      </c>
      <c r="E356">
        <v>161</v>
      </c>
      <c r="F356">
        <v>0</v>
      </c>
      <c r="G356">
        <v>1.623294923624709</v>
      </c>
      <c r="H356">
        <v>4699.8882959999983</v>
      </c>
      <c r="I356">
        <v>58</v>
      </c>
      <c r="J356">
        <v>180</v>
      </c>
      <c r="K356">
        <v>36</v>
      </c>
      <c r="L356">
        <v>32</v>
      </c>
      <c r="M356">
        <v>60</v>
      </c>
      <c r="N356">
        <v>33</v>
      </c>
    </row>
    <row r="357" spans="1:14">
      <c r="A357">
        <v>7</v>
      </c>
      <c r="B357">
        <v>2</v>
      </c>
      <c r="C357">
        <v>3785</v>
      </c>
      <c r="D357">
        <v>0.33358810619001644</v>
      </c>
      <c r="E357">
        <v>40</v>
      </c>
      <c r="F357">
        <v>0</v>
      </c>
      <c r="G357">
        <v>0.4144188231138366</v>
      </c>
      <c r="H357">
        <v>5995.4175909999985</v>
      </c>
      <c r="I357">
        <v>60</v>
      </c>
      <c r="J357">
        <v>180</v>
      </c>
      <c r="K357">
        <v>10</v>
      </c>
      <c r="L357">
        <v>9</v>
      </c>
      <c r="M357">
        <v>17</v>
      </c>
      <c r="N357">
        <v>4</v>
      </c>
    </row>
    <row r="358" spans="1:14">
      <c r="A358">
        <v>8</v>
      </c>
      <c r="B358">
        <v>1</v>
      </c>
      <c r="C358">
        <v>729</v>
      </c>
      <c r="D358">
        <v>0.39223123909390878</v>
      </c>
      <c r="E358">
        <v>38</v>
      </c>
      <c r="F358">
        <v>0</v>
      </c>
      <c r="G358">
        <v>0.39366110848120256</v>
      </c>
      <c r="H358">
        <v>5099.0329189999984</v>
      </c>
      <c r="I358">
        <v>59</v>
      </c>
      <c r="J358">
        <v>180</v>
      </c>
      <c r="K358">
        <v>9</v>
      </c>
      <c r="L358">
        <v>9</v>
      </c>
      <c r="M358">
        <v>11</v>
      </c>
      <c r="N358">
        <v>9</v>
      </c>
    </row>
    <row r="359" spans="1:14">
      <c r="A359">
        <v>8</v>
      </c>
      <c r="B359">
        <v>2</v>
      </c>
      <c r="C359">
        <v>4233</v>
      </c>
      <c r="D359">
        <v>0.32307816724845967</v>
      </c>
      <c r="E359">
        <v>19</v>
      </c>
      <c r="F359">
        <v>0</v>
      </c>
      <c r="G359">
        <v>0.20457350887618481</v>
      </c>
      <c r="H359">
        <v>6190.4523510000054</v>
      </c>
      <c r="I359">
        <v>59</v>
      </c>
      <c r="J359">
        <v>180</v>
      </c>
      <c r="K359">
        <v>4</v>
      </c>
      <c r="L359">
        <v>4</v>
      </c>
      <c r="M359">
        <v>6</v>
      </c>
      <c r="N359">
        <v>5</v>
      </c>
    </row>
    <row r="360" spans="1:14">
      <c r="A360">
        <v>9</v>
      </c>
      <c r="B360">
        <v>1</v>
      </c>
      <c r="C360">
        <v>1653</v>
      </c>
      <c r="D360">
        <v>0.40079651373324782</v>
      </c>
      <c r="E360">
        <v>63</v>
      </c>
      <c r="F360">
        <v>0</v>
      </c>
      <c r="G360">
        <v>0.6435630913948549</v>
      </c>
      <c r="H360">
        <v>4990.0633650000018</v>
      </c>
      <c r="I360">
        <v>59</v>
      </c>
      <c r="J360">
        <v>180</v>
      </c>
      <c r="K360">
        <v>16</v>
      </c>
      <c r="L360">
        <v>18</v>
      </c>
      <c r="M360">
        <v>15</v>
      </c>
      <c r="N360">
        <v>14</v>
      </c>
    </row>
    <row r="361" spans="1:14">
      <c r="A361">
        <v>9</v>
      </c>
      <c r="B361">
        <v>2</v>
      </c>
      <c r="C361">
        <v>4602</v>
      </c>
      <c r="D361">
        <v>0.33653129266958592</v>
      </c>
      <c r="E361">
        <v>27</v>
      </c>
      <c r="F361">
        <v>0</v>
      </c>
      <c r="G361">
        <v>0.28437666596061834</v>
      </c>
      <c r="H361">
        <v>5942.983739000003</v>
      </c>
      <c r="I361">
        <v>59</v>
      </c>
      <c r="J361">
        <v>180</v>
      </c>
      <c r="K361">
        <v>6</v>
      </c>
      <c r="L361">
        <v>8</v>
      </c>
      <c r="M361">
        <v>7</v>
      </c>
      <c r="N361">
        <v>6</v>
      </c>
    </row>
    <row r="362" spans="1:14">
      <c r="A362">
        <v>10</v>
      </c>
      <c r="B362">
        <v>1</v>
      </c>
      <c r="C362">
        <v>1033</v>
      </c>
      <c r="D362">
        <v>0.39303023148313909</v>
      </c>
      <c r="E362">
        <v>62</v>
      </c>
      <c r="F362">
        <v>0</v>
      </c>
      <c r="G362">
        <v>0.63365184496433924</v>
      </c>
      <c r="H362">
        <v>5088.6670790000016</v>
      </c>
      <c r="I362">
        <v>57</v>
      </c>
      <c r="J362">
        <v>180</v>
      </c>
      <c r="K362">
        <v>12</v>
      </c>
      <c r="L362">
        <v>10</v>
      </c>
      <c r="M362">
        <v>21</v>
      </c>
      <c r="N362">
        <v>19</v>
      </c>
    </row>
    <row r="363" spans="1:14">
      <c r="A363">
        <v>10</v>
      </c>
      <c r="B363">
        <v>2</v>
      </c>
      <c r="C363">
        <v>1171</v>
      </c>
      <c r="D363">
        <v>0.3129788558400256</v>
      </c>
      <c r="E363">
        <v>21</v>
      </c>
      <c r="F363">
        <v>0</v>
      </c>
      <c r="G363">
        <v>0.22472860676260342</v>
      </c>
      <c r="H363">
        <v>6390.2080370000131</v>
      </c>
      <c r="I363">
        <v>61</v>
      </c>
      <c r="J363">
        <v>180</v>
      </c>
      <c r="K363">
        <v>6</v>
      </c>
      <c r="L363">
        <v>5</v>
      </c>
      <c r="M363">
        <v>6</v>
      </c>
      <c r="N363">
        <v>4</v>
      </c>
    </row>
    <row r="364" spans="1:14">
      <c r="A364">
        <v>11</v>
      </c>
      <c r="B364">
        <v>1</v>
      </c>
      <c r="C364">
        <v>662</v>
      </c>
      <c r="D364">
        <v>0.43488304843366066</v>
      </c>
      <c r="E364">
        <v>20</v>
      </c>
      <c r="F364">
        <v>0</v>
      </c>
      <c r="G364">
        <v>0.21319904491961011</v>
      </c>
      <c r="H364">
        <v>4598.937592999996</v>
      </c>
      <c r="I364">
        <v>56</v>
      </c>
      <c r="J364">
        <v>180</v>
      </c>
      <c r="K364">
        <v>4</v>
      </c>
      <c r="L364">
        <v>4</v>
      </c>
      <c r="M364">
        <v>9</v>
      </c>
      <c r="N364">
        <v>3</v>
      </c>
    </row>
    <row r="365" spans="1:14">
      <c r="A365">
        <v>11</v>
      </c>
      <c r="B365">
        <v>2</v>
      </c>
      <c r="C365">
        <v>6502</v>
      </c>
      <c r="D365">
        <v>0.35586390482813435</v>
      </c>
      <c r="E365">
        <v>9</v>
      </c>
      <c r="F365">
        <v>0</v>
      </c>
      <c r="G365">
        <v>0.10411146230644165</v>
      </c>
      <c r="H365">
        <v>5620.1260450000027</v>
      </c>
      <c r="I365">
        <v>56</v>
      </c>
      <c r="J365">
        <v>180</v>
      </c>
      <c r="K365">
        <v>2</v>
      </c>
      <c r="L365">
        <v>2</v>
      </c>
      <c r="M365">
        <v>3</v>
      </c>
      <c r="N365">
        <v>2</v>
      </c>
    </row>
    <row r="366" spans="1:14">
      <c r="A366">
        <v>12</v>
      </c>
      <c r="B366">
        <v>1</v>
      </c>
      <c r="C366">
        <v>5751</v>
      </c>
      <c r="D366">
        <v>0.4358967882721661</v>
      </c>
      <c r="E366">
        <v>18</v>
      </c>
      <c r="F366">
        <v>0</v>
      </c>
      <c r="G366">
        <v>0.19318880489328641</v>
      </c>
      <c r="H366">
        <v>4588.2421109999923</v>
      </c>
      <c r="I366">
        <v>55</v>
      </c>
      <c r="J366">
        <v>180</v>
      </c>
      <c r="K366">
        <v>5</v>
      </c>
      <c r="L366">
        <v>4</v>
      </c>
      <c r="M366">
        <v>4</v>
      </c>
      <c r="N366">
        <v>5</v>
      </c>
    </row>
    <row r="367" spans="1:14">
      <c r="A367">
        <v>12</v>
      </c>
      <c r="B367">
        <v>2</v>
      </c>
      <c r="C367">
        <v>815</v>
      </c>
      <c r="D367">
        <v>0.34492927611514074</v>
      </c>
      <c r="E367">
        <v>9</v>
      </c>
      <c r="F367">
        <v>0</v>
      </c>
      <c r="G367">
        <v>0.10425902994305396</v>
      </c>
      <c r="H367">
        <v>5798.2900799999961</v>
      </c>
      <c r="I367">
        <v>55</v>
      </c>
      <c r="J367">
        <v>180</v>
      </c>
      <c r="K367">
        <v>2</v>
      </c>
      <c r="L367">
        <v>2</v>
      </c>
      <c r="M367">
        <v>2</v>
      </c>
      <c r="N367">
        <v>3</v>
      </c>
    </row>
    <row r="368" spans="1:14">
      <c r="A368">
        <v>13</v>
      </c>
      <c r="B368">
        <v>1</v>
      </c>
      <c r="C368">
        <v>5909</v>
      </c>
      <c r="D368">
        <v>0.43555677175201818</v>
      </c>
      <c r="E368">
        <v>17</v>
      </c>
      <c r="F368">
        <v>0</v>
      </c>
      <c r="G368">
        <v>0.18319223593865616</v>
      </c>
      <c r="H368">
        <v>4591.8239130000002</v>
      </c>
      <c r="I368">
        <v>56</v>
      </c>
      <c r="J368">
        <v>180</v>
      </c>
      <c r="K368">
        <v>4</v>
      </c>
      <c r="L368">
        <v>5</v>
      </c>
      <c r="M368">
        <v>4</v>
      </c>
      <c r="N368">
        <v>4</v>
      </c>
    </row>
    <row r="369" spans="1:14">
      <c r="A369">
        <v>13</v>
      </c>
      <c r="B369">
        <v>2</v>
      </c>
      <c r="C369">
        <v>1413</v>
      </c>
      <c r="D369">
        <v>0.3520650789650932</v>
      </c>
      <c r="E369">
        <v>9</v>
      </c>
      <c r="F369">
        <v>0</v>
      </c>
      <c r="G369">
        <v>0.10416203565213733</v>
      </c>
      <c r="H369">
        <v>5680.7679020000087</v>
      </c>
      <c r="I369">
        <v>55</v>
      </c>
      <c r="J369">
        <v>180</v>
      </c>
      <c r="K369">
        <v>2</v>
      </c>
      <c r="L369">
        <v>2</v>
      </c>
      <c r="M369">
        <v>3</v>
      </c>
      <c r="N369">
        <v>2</v>
      </c>
    </row>
    <row r="370" spans="1:14">
      <c r="A370">
        <v>14</v>
      </c>
      <c r="B370">
        <v>1</v>
      </c>
      <c r="C370">
        <v>7531</v>
      </c>
      <c r="D370">
        <v>0.42728648529741103</v>
      </c>
      <c r="E370">
        <v>17</v>
      </c>
      <c r="F370">
        <v>0</v>
      </c>
      <c r="G370">
        <v>0.18327680615371597</v>
      </c>
      <c r="H370">
        <v>4680.7003469999945</v>
      </c>
      <c r="I370">
        <v>57</v>
      </c>
      <c r="J370">
        <v>180</v>
      </c>
      <c r="K370">
        <v>3</v>
      </c>
      <c r="L370">
        <v>4</v>
      </c>
      <c r="M370">
        <v>6</v>
      </c>
      <c r="N370">
        <v>4</v>
      </c>
    </row>
    <row r="371" spans="1:14">
      <c r="A371">
        <v>14</v>
      </c>
      <c r="B371">
        <v>2</v>
      </c>
      <c r="C371">
        <v>1194</v>
      </c>
      <c r="D371">
        <v>0.33591993192555702</v>
      </c>
      <c r="E371">
        <v>8</v>
      </c>
      <c r="F371">
        <v>0</v>
      </c>
      <c r="G371">
        <v>9.4385382325911704E-2</v>
      </c>
      <c r="H371">
        <v>5953.7997300000006</v>
      </c>
      <c r="I371">
        <v>56</v>
      </c>
      <c r="J371">
        <v>180</v>
      </c>
      <c r="K371">
        <v>2</v>
      </c>
      <c r="L371">
        <v>2</v>
      </c>
      <c r="M371">
        <v>2</v>
      </c>
      <c r="N371">
        <v>2</v>
      </c>
    </row>
    <row r="372" spans="1:14">
      <c r="A372">
        <v>15</v>
      </c>
      <c r="B372">
        <v>1</v>
      </c>
      <c r="C372">
        <v>2257</v>
      </c>
      <c r="D372">
        <v>0.43710680573622418</v>
      </c>
      <c r="E372">
        <v>17</v>
      </c>
      <c r="F372">
        <v>0</v>
      </c>
      <c r="G372">
        <v>0.18317662371120147</v>
      </c>
      <c r="H372">
        <v>4575.5407459999997</v>
      </c>
      <c r="I372">
        <v>57</v>
      </c>
      <c r="J372">
        <v>180</v>
      </c>
      <c r="K372">
        <v>4</v>
      </c>
      <c r="L372">
        <v>5</v>
      </c>
      <c r="M372">
        <v>4</v>
      </c>
      <c r="N372">
        <v>4</v>
      </c>
    </row>
    <row r="373" spans="1:14">
      <c r="A373">
        <v>15</v>
      </c>
      <c r="B373">
        <v>2</v>
      </c>
      <c r="C373">
        <v>5040</v>
      </c>
      <c r="D373">
        <v>0.35252317048299159</v>
      </c>
      <c r="E373">
        <v>9</v>
      </c>
      <c r="F373">
        <v>0</v>
      </c>
      <c r="G373">
        <v>0.1041558986365887</v>
      </c>
      <c r="H373">
        <v>5673.3859430000084</v>
      </c>
      <c r="I373">
        <v>55</v>
      </c>
      <c r="J373">
        <v>180</v>
      </c>
      <c r="K373">
        <v>2</v>
      </c>
      <c r="L373">
        <v>2</v>
      </c>
      <c r="M373">
        <v>3</v>
      </c>
      <c r="N373">
        <v>2</v>
      </c>
    </row>
    <row r="374" spans="1:14">
      <c r="A374">
        <v>16</v>
      </c>
      <c r="B374">
        <v>1</v>
      </c>
      <c r="C374">
        <v>3353</v>
      </c>
      <c r="D374">
        <v>0.43521060038211756</v>
      </c>
      <c r="E374">
        <v>21</v>
      </c>
      <c r="F374">
        <v>0</v>
      </c>
      <c r="G374">
        <v>0.22319573276226032</v>
      </c>
      <c r="H374">
        <v>4595.4763009999933</v>
      </c>
      <c r="I374">
        <v>56</v>
      </c>
      <c r="J374">
        <v>180</v>
      </c>
      <c r="K374">
        <v>5</v>
      </c>
      <c r="L374">
        <v>6</v>
      </c>
      <c r="M374">
        <v>5</v>
      </c>
      <c r="N374">
        <v>5</v>
      </c>
    </row>
    <row r="375" spans="1:14">
      <c r="A375">
        <v>16</v>
      </c>
      <c r="B375">
        <v>2</v>
      </c>
      <c r="C375">
        <v>432</v>
      </c>
      <c r="D375">
        <v>0.34770190434457238</v>
      </c>
      <c r="E375">
        <v>9</v>
      </c>
      <c r="F375">
        <v>0</v>
      </c>
      <c r="G375">
        <v>0.10422102752153795</v>
      </c>
      <c r="H375">
        <v>5752.0536269999866</v>
      </c>
      <c r="I375">
        <v>56</v>
      </c>
      <c r="J375">
        <v>180</v>
      </c>
      <c r="K375">
        <v>2</v>
      </c>
      <c r="L375">
        <v>3</v>
      </c>
      <c r="M375">
        <v>2</v>
      </c>
      <c r="N375">
        <v>2</v>
      </c>
    </row>
    <row r="376" spans="1:14">
      <c r="A376">
        <v>17</v>
      </c>
      <c r="B376">
        <v>1</v>
      </c>
      <c r="C376">
        <v>2916</v>
      </c>
      <c r="D376">
        <v>0.42769183189830462</v>
      </c>
      <c r="E376">
        <v>17</v>
      </c>
      <c r="F376">
        <v>0</v>
      </c>
      <c r="G376">
        <v>0.18327261044634155</v>
      </c>
      <c r="H376">
        <v>4676.2641949999979</v>
      </c>
      <c r="I376">
        <v>56</v>
      </c>
      <c r="J376">
        <v>180</v>
      </c>
      <c r="K376">
        <v>4</v>
      </c>
      <c r="L376">
        <v>5</v>
      </c>
      <c r="M376">
        <v>5</v>
      </c>
      <c r="N376">
        <v>3</v>
      </c>
    </row>
    <row r="377" spans="1:14">
      <c r="A377">
        <v>17</v>
      </c>
      <c r="B377">
        <v>2</v>
      </c>
      <c r="C377">
        <v>778</v>
      </c>
      <c r="D377">
        <v>0.33975999384613115</v>
      </c>
      <c r="E377">
        <v>8</v>
      </c>
      <c r="F377">
        <v>0</v>
      </c>
      <c r="G377">
        <v>9.4330980991583699E-2</v>
      </c>
      <c r="H377">
        <v>5886.5082299999985</v>
      </c>
      <c r="I377">
        <v>55</v>
      </c>
      <c r="J377">
        <v>180</v>
      </c>
      <c r="K377">
        <v>2</v>
      </c>
      <c r="L377">
        <v>2</v>
      </c>
      <c r="M377">
        <v>2</v>
      </c>
      <c r="N377">
        <v>2</v>
      </c>
    </row>
    <row r="378" spans="1:14">
      <c r="A378">
        <v>18</v>
      </c>
      <c r="B378">
        <v>1</v>
      </c>
      <c r="C378">
        <v>4688</v>
      </c>
      <c r="D378">
        <v>0.43665900353331238</v>
      </c>
      <c r="E378">
        <v>19</v>
      </c>
      <c r="F378">
        <v>0</v>
      </c>
      <c r="G378">
        <v>0.20318112646597719</v>
      </c>
      <c r="H378">
        <v>4580.2330509999929</v>
      </c>
      <c r="I378">
        <v>56</v>
      </c>
      <c r="J378">
        <v>180</v>
      </c>
      <c r="K378">
        <v>4</v>
      </c>
      <c r="L378">
        <v>5</v>
      </c>
      <c r="M378">
        <v>6</v>
      </c>
      <c r="N378">
        <v>4</v>
      </c>
    </row>
    <row r="379" spans="1:14">
      <c r="A379">
        <v>18</v>
      </c>
      <c r="B379">
        <v>2</v>
      </c>
      <c r="C379">
        <v>1231</v>
      </c>
      <c r="D379">
        <v>0.34792737787411471</v>
      </c>
      <c r="E379">
        <v>9</v>
      </c>
      <c r="F379">
        <v>0</v>
      </c>
      <c r="G379">
        <v>0.10421795488974762</v>
      </c>
      <c r="H379">
        <v>5748.3260219999984</v>
      </c>
      <c r="I379">
        <v>56</v>
      </c>
      <c r="J379">
        <v>180</v>
      </c>
      <c r="K379">
        <v>2</v>
      </c>
      <c r="L379">
        <v>3</v>
      </c>
      <c r="M379">
        <v>2</v>
      </c>
      <c r="N379">
        <v>2</v>
      </c>
    </row>
    <row r="380" spans="1:14">
      <c r="A380">
        <v>19</v>
      </c>
      <c r="B380">
        <v>1</v>
      </c>
      <c r="C380">
        <v>3963</v>
      </c>
      <c r="D380">
        <v>0.43489327995936833</v>
      </c>
      <c r="E380">
        <v>17</v>
      </c>
      <c r="F380">
        <v>0</v>
      </c>
      <c r="G380">
        <v>0.18319894140959764</v>
      </c>
      <c r="H380">
        <v>4598.8293959999983</v>
      </c>
      <c r="I380">
        <v>56</v>
      </c>
      <c r="J380">
        <v>180</v>
      </c>
      <c r="K380">
        <v>4</v>
      </c>
      <c r="L380">
        <v>4</v>
      </c>
      <c r="M380">
        <v>4</v>
      </c>
      <c r="N380">
        <v>5</v>
      </c>
    </row>
    <row r="381" spans="1:14">
      <c r="A381">
        <v>19</v>
      </c>
      <c r="B381">
        <v>2</v>
      </c>
      <c r="C381">
        <v>1564</v>
      </c>
      <c r="D381">
        <v>0.35389655156260219</v>
      </c>
      <c r="E381">
        <v>9</v>
      </c>
      <c r="F381">
        <v>0</v>
      </c>
      <c r="G381">
        <v>0.10413756310256467</v>
      </c>
      <c r="H381">
        <v>5651.3689980000045</v>
      </c>
      <c r="I381">
        <v>57</v>
      </c>
      <c r="J381">
        <v>180</v>
      </c>
      <c r="K381">
        <v>2</v>
      </c>
      <c r="L381">
        <v>3</v>
      </c>
      <c r="M381">
        <v>2</v>
      </c>
      <c r="N381">
        <v>2</v>
      </c>
    </row>
    <row r="382" spans="1:14">
      <c r="A382">
        <v>20</v>
      </c>
      <c r="B382">
        <v>1</v>
      </c>
      <c r="C382">
        <v>4448</v>
      </c>
      <c r="D382">
        <v>0.43867010382327537</v>
      </c>
      <c r="E382">
        <v>18</v>
      </c>
      <c r="F382">
        <v>0</v>
      </c>
      <c r="G382">
        <v>0.19316095247465256</v>
      </c>
      <c r="H382">
        <v>4559.2347930000014</v>
      </c>
      <c r="I382">
        <v>56</v>
      </c>
      <c r="J382">
        <v>180</v>
      </c>
      <c r="K382">
        <v>4</v>
      </c>
      <c r="L382">
        <v>4</v>
      </c>
      <c r="M382">
        <v>5</v>
      </c>
      <c r="N382">
        <v>5</v>
      </c>
    </row>
    <row r="383" spans="1:14">
      <c r="A383">
        <v>20</v>
      </c>
      <c r="B383">
        <v>2</v>
      </c>
      <c r="C383">
        <v>1049</v>
      </c>
      <c r="D383">
        <v>0.35324743992307522</v>
      </c>
      <c r="E383">
        <v>9</v>
      </c>
      <c r="F383">
        <v>0</v>
      </c>
      <c r="G383">
        <v>0.10414621732098288</v>
      </c>
      <c r="H383">
        <v>5661.7537000000029</v>
      </c>
      <c r="I383">
        <v>57</v>
      </c>
      <c r="J383">
        <v>180</v>
      </c>
      <c r="K383">
        <v>2</v>
      </c>
      <c r="L383">
        <v>3</v>
      </c>
      <c r="M383">
        <v>2</v>
      </c>
      <c r="N383">
        <v>2</v>
      </c>
    </row>
    <row r="384" spans="1:14">
      <c r="A384">
        <v>21</v>
      </c>
      <c r="B384">
        <v>1</v>
      </c>
      <c r="C384">
        <v>3112</v>
      </c>
      <c r="D384">
        <v>0.23626968348128671</v>
      </c>
      <c r="E384">
        <v>15</v>
      </c>
      <c r="F384">
        <v>0</v>
      </c>
      <c r="G384">
        <v>0.16617573413293008</v>
      </c>
      <c r="H384">
        <v>8464.9032009999974</v>
      </c>
      <c r="I384">
        <v>54</v>
      </c>
      <c r="J384">
        <v>180</v>
      </c>
      <c r="K384">
        <v>5</v>
      </c>
      <c r="L384">
        <v>4</v>
      </c>
      <c r="M384">
        <v>4</v>
      </c>
      <c r="N384">
        <v>2</v>
      </c>
    </row>
    <row r="385" spans="1:14">
      <c r="A385">
        <v>21</v>
      </c>
      <c r="B385">
        <v>2</v>
      </c>
      <c r="C385">
        <v>558</v>
      </c>
      <c r="D385">
        <v>0.18230140606706396</v>
      </c>
      <c r="E385">
        <v>7</v>
      </c>
      <c r="F385">
        <v>0</v>
      </c>
      <c r="G385">
        <v>8.7636131452724697E-2</v>
      </c>
      <c r="H385">
        <v>10970.842426000005</v>
      </c>
      <c r="I385">
        <v>56</v>
      </c>
      <c r="J385">
        <v>180</v>
      </c>
      <c r="K385">
        <v>2</v>
      </c>
      <c r="L385">
        <v>2</v>
      </c>
      <c r="M385">
        <v>2</v>
      </c>
      <c r="N385">
        <v>1</v>
      </c>
    </row>
    <row r="386" spans="1:14">
      <c r="A386">
        <v>22</v>
      </c>
      <c r="B386">
        <v>1</v>
      </c>
      <c r="C386">
        <v>4501</v>
      </c>
      <c r="D386">
        <v>0.20996367800015892</v>
      </c>
      <c r="E386">
        <v>13</v>
      </c>
      <c r="F386">
        <v>0</v>
      </c>
      <c r="G386">
        <v>0.14682487873435085</v>
      </c>
      <c r="H386">
        <v>9525.457065000006</v>
      </c>
      <c r="I386">
        <v>54</v>
      </c>
      <c r="J386">
        <v>180</v>
      </c>
      <c r="K386">
        <v>6</v>
      </c>
      <c r="L386">
        <v>3</v>
      </c>
      <c r="M386">
        <v>2</v>
      </c>
      <c r="N386">
        <v>2</v>
      </c>
    </row>
    <row r="387" spans="1:14">
      <c r="A387">
        <v>22</v>
      </c>
      <c r="B387">
        <v>2</v>
      </c>
      <c r="C387">
        <v>330</v>
      </c>
      <c r="D387">
        <v>0.17071898768237401</v>
      </c>
      <c r="E387">
        <v>7</v>
      </c>
      <c r="F387">
        <v>0</v>
      </c>
      <c r="G387">
        <v>8.8026277721038187E-2</v>
      </c>
      <c r="H387">
        <v>11715.158502000017</v>
      </c>
      <c r="I387">
        <v>56</v>
      </c>
      <c r="J387">
        <v>180</v>
      </c>
      <c r="K387">
        <v>2</v>
      </c>
      <c r="L387">
        <v>2</v>
      </c>
      <c r="M387">
        <v>2</v>
      </c>
      <c r="N387">
        <v>1</v>
      </c>
    </row>
    <row r="388" spans="1:14">
      <c r="A388">
        <v>23</v>
      </c>
      <c r="B388">
        <v>1</v>
      </c>
      <c r="C388">
        <v>3842</v>
      </c>
      <c r="D388">
        <v>0.230605536573252</v>
      </c>
      <c r="E388">
        <v>15</v>
      </c>
      <c r="F388">
        <v>0</v>
      </c>
      <c r="G388">
        <v>0.16630710083494946</v>
      </c>
      <c r="H388">
        <v>8672.818657000018</v>
      </c>
      <c r="I388">
        <v>54</v>
      </c>
      <c r="J388">
        <v>180</v>
      </c>
      <c r="K388">
        <v>6</v>
      </c>
      <c r="L388">
        <v>3</v>
      </c>
      <c r="M388">
        <v>3</v>
      </c>
      <c r="N388">
        <v>3</v>
      </c>
    </row>
    <row r="389" spans="1:14">
      <c r="A389">
        <v>23</v>
      </c>
      <c r="B389">
        <v>2</v>
      </c>
      <c r="C389">
        <v>417</v>
      </c>
      <c r="D389">
        <v>0.17935153516004343</v>
      </c>
      <c r="E389">
        <v>8</v>
      </c>
      <c r="F389">
        <v>0</v>
      </c>
      <c r="G389">
        <v>9.7732295794674073E-2</v>
      </c>
      <c r="H389">
        <v>11151.284533000011</v>
      </c>
      <c r="I389">
        <v>57</v>
      </c>
      <c r="J389">
        <v>180</v>
      </c>
      <c r="K389">
        <v>3</v>
      </c>
      <c r="L389">
        <v>1</v>
      </c>
      <c r="M389">
        <v>3</v>
      </c>
      <c r="N389">
        <v>1</v>
      </c>
    </row>
    <row r="390" spans="1:14">
      <c r="A390">
        <v>24</v>
      </c>
      <c r="B390">
        <v>1</v>
      </c>
      <c r="C390">
        <v>6156</v>
      </c>
      <c r="D390">
        <v>0.23046634702957938</v>
      </c>
      <c r="E390">
        <v>17</v>
      </c>
      <c r="F390">
        <v>0</v>
      </c>
      <c r="G390">
        <v>0.18631038305115183</v>
      </c>
      <c r="H390">
        <v>8678.0565829999832</v>
      </c>
      <c r="I390">
        <v>54</v>
      </c>
      <c r="J390">
        <v>180</v>
      </c>
      <c r="K390">
        <v>6</v>
      </c>
      <c r="L390">
        <v>4</v>
      </c>
      <c r="M390">
        <v>4</v>
      </c>
      <c r="N390">
        <v>3</v>
      </c>
    </row>
    <row r="391" spans="1:14">
      <c r="A391">
        <v>24</v>
      </c>
      <c r="B391">
        <v>2</v>
      </c>
      <c r="C391">
        <v>386</v>
      </c>
      <c r="D391">
        <v>0.18093441313813799</v>
      </c>
      <c r="E391">
        <v>8</v>
      </c>
      <c r="F391">
        <v>0</v>
      </c>
      <c r="G391">
        <v>9.7680434810119593E-2</v>
      </c>
      <c r="H391">
        <v>11053.729168000009</v>
      </c>
      <c r="I391">
        <v>58</v>
      </c>
      <c r="J391">
        <v>180</v>
      </c>
      <c r="K391">
        <v>3</v>
      </c>
      <c r="L391">
        <v>2</v>
      </c>
      <c r="M391">
        <v>2</v>
      </c>
      <c r="N391">
        <v>1</v>
      </c>
    </row>
    <row r="392" spans="1:14">
      <c r="A392">
        <v>25</v>
      </c>
      <c r="B392">
        <v>1</v>
      </c>
      <c r="C392">
        <v>1313</v>
      </c>
      <c r="D392">
        <v>0.20110528419443383</v>
      </c>
      <c r="E392">
        <v>12</v>
      </c>
      <c r="F392">
        <v>0</v>
      </c>
      <c r="G392">
        <v>0.13706837486918061</v>
      </c>
      <c r="H392">
        <v>9945.0395249999892</v>
      </c>
      <c r="I392">
        <v>53</v>
      </c>
      <c r="J392">
        <v>180</v>
      </c>
      <c r="K392">
        <v>4</v>
      </c>
      <c r="L392">
        <v>3</v>
      </c>
      <c r="M392">
        <v>3</v>
      </c>
      <c r="N392">
        <v>2</v>
      </c>
    </row>
    <row r="393" spans="1:14">
      <c r="A393">
        <v>25</v>
      </c>
      <c r="B393">
        <v>2</v>
      </c>
      <c r="C393">
        <v>435</v>
      </c>
      <c r="D393">
        <v>0.16200953066702228</v>
      </c>
      <c r="E393">
        <v>7</v>
      </c>
      <c r="F393">
        <v>0</v>
      </c>
      <c r="G393">
        <v>8.8343680551301484E-2</v>
      </c>
      <c r="H393">
        <v>12344.952743000003</v>
      </c>
      <c r="I393">
        <v>53</v>
      </c>
      <c r="J393">
        <v>180</v>
      </c>
      <c r="K393">
        <v>2</v>
      </c>
      <c r="L393">
        <v>2</v>
      </c>
      <c r="M393">
        <v>1</v>
      </c>
      <c r="N393">
        <v>2</v>
      </c>
    </row>
    <row r="394" spans="1:14">
      <c r="A394">
        <v>26</v>
      </c>
      <c r="B394">
        <v>1</v>
      </c>
      <c r="C394">
        <v>1737</v>
      </c>
      <c r="D394">
        <v>0.20429968080596841</v>
      </c>
      <c r="E394">
        <v>12</v>
      </c>
      <c r="F394">
        <v>0</v>
      </c>
      <c r="G394">
        <v>0.13697894770203997</v>
      </c>
      <c r="H394">
        <v>9789.540503000002</v>
      </c>
      <c r="I394">
        <v>55</v>
      </c>
      <c r="J394">
        <v>180</v>
      </c>
      <c r="K394">
        <v>4</v>
      </c>
      <c r="L394">
        <v>3</v>
      </c>
      <c r="M394">
        <v>3</v>
      </c>
      <c r="N394">
        <v>2</v>
      </c>
    </row>
    <row r="395" spans="1:14">
      <c r="A395">
        <v>26</v>
      </c>
      <c r="B395">
        <v>2</v>
      </c>
      <c r="C395">
        <v>347</v>
      </c>
      <c r="D395">
        <v>0.16123175838205098</v>
      </c>
      <c r="E395">
        <v>7</v>
      </c>
      <c r="F395">
        <v>0</v>
      </c>
      <c r="G395">
        <v>8.8373129518395113E-2</v>
      </c>
      <c r="H395">
        <v>12404.504050999973</v>
      </c>
      <c r="I395">
        <v>58</v>
      </c>
      <c r="J395">
        <v>180</v>
      </c>
      <c r="K395">
        <v>3</v>
      </c>
      <c r="L395">
        <v>2</v>
      </c>
      <c r="M395">
        <v>1</v>
      </c>
      <c r="N395">
        <v>1</v>
      </c>
    </row>
    <row r="396" spans="1:14">
      <c r="A396">
        <v>27</v>
      </c>
      <c r="B396">
        <v>1</v>
      </c>
      <c r="C396">
        <v>298</v>
      </c>
      <c r="D396">
        <v>0.21502109297414992</v>
      </c>
      <c r="E396">
        <v>15</v>
      </c>
      <c r="F396">
        <v>0</v>
      </c>
      <c r="G396">
        <v>0.16669192065534716</v>
      </c>
      <c r="H396">
        <v>9301.4130489999989</v>
      </c>
      <c r="I396">
        <v>57</v>
      </c>
      <c r="J396">
        <v>180</v>
      </c>
      <c r="K396">
        <v>6</v>
      </c>
      <c r="L396">
        <v>3</v>
      </c>
      <c r="M396">
        <v>5</v>
      </c>
      <c r="N396">
        <v>1</v>
      </c>
    </row>
    <row r="397" spans="1:14">
      <c r="A397">
        <v>27</v>
      </c>
      <c r="B397">
        <v>2</v>
      </c>
      <c r="C397">
        <v>479</v>
      </c>
      <c r="D397">
        <v>0.17277017661722488</v>
      </c>
      <c r="E397">
        <v>7</v>
      </c>
      <c r="F397">
        <v>0</v>
      </c>
      <c r="G397">
        <v>8.7954655401826135E-2</v>
      </c>
      <c r="H397">
        <v>11576.071977000014</v>
      </c>
      <c r="I397">
        <v>55</v>
      </c>
      <c r="J397">
        <v>180</v>
      </c>
      <c r="K397">
        <v>2</v>
      </c>
      <c r="L397">
        <v>2</v>
      </c>
      <c r="M397">
        <v>2</v>
      </c>
      <c r="N397">
        <v>1</v>
      </c>
    </row>
    <row r="398" spans="1:14">
      <c r="A398">
        <v>28</v>
      </c>
      <c r="B398">
        <v>1</v>
      </c>
      <c r="C398">
        <v>6450</v>
      </c>
      <c r="D398">
        <v>0.22389312554791541</v>
      </c>
      <c r="E398">
        <v>18</v>
      </c>
      <c r="F398">
        <v>0</v>
      </c>
      <c r="G398">
        <v>0.19646846345080501</v>
      </c>
      <c r="H398">
        <v>8932.8334449999875</v>
      </c>
      <c r="I398">
        <v>56</v>
      </c>
      <c r="J398">
        <v>180</v>
      </c>
      <c r="K398">
        <v>8</v>
      </c>
      <c r="L398">
        <v>4</v>
      </c>
      <c r="M398">
        <v>4</v>
      </c>
      <c r="N398">
        <v>2</v>
      </c>
    </row>
    <row r="399" spans="1:14">
      <c r="A399">
        <v>28</v>
      </c>
      <c r="B399">
        <v>2</v>
      </c>
      <c r="C399">
        <v>428</v>
      </c>
      <c r="D399">
        <v>0.12747337937263933</v>
      </c>
      <c r="E399">
        <v>4</v>
      </c>
      <c r="F399">
        <v>0</v>
      </c>
      <c r="G399">
        <v>5.9869800206222609E-2</v>
      </c>
      <c r="H399">
        <v>15689.550318999989</v>
      </c>
      <c r="I399">
        <v>52</v>
      </c>
      <c r="J399">
        <v>180</v>
      </c>
      <c r="K399">
        <v>1</v>
      </c>
      <c r="L399">
        <v>1</v>
      </c>
      <c r="M399">
        <v>1</v>
      </c>
      <c r="N399">
        <v>1</v>
      </c>
    </row>
    <row r="400" spans="1:14">
      <c r="A400">
        <v>29</v>
      </c>
      <c r="B400">
        <v>1</v>
      </c>
      <c r="C400">
        <v>1285</v>
      </c>
      <c r="D400">
        <v>0.22040824237927056</v>
      </c>
      <c r="E400">
        <v>14</v>
      </c>
      <c r="F400">
        <v>0</v>
      </c>
      <c r="G400">
        <v>0.1565548044922444</v>
      </c>
      <c r="H400">
        <v>9074.0708169999925</v>
      </c>
      <c r="I400">
        <v>55</v>
      </c>
      <c r="J400">
        <v>180</v>
      </c>
      <c r="K400">
        <v>5</v>
      </c>
      <c r="L400">
        <v>4</v>
      </c>
      <c r="M400">
        <v>3</v>
      </c>
      <c r="N400">
        <v>2</v>
      </c>
    </row>
    <row r="401" spans="1:14">
      <c r="A401">
        <v>29</v>
      </c>
      <c r="B401">
        <v>2</v>
      </c>
      <c r="C401">
        <v>210</v>
      </c>
      <c r="D401">
        <v>0.17572141866564014</v>
      </c>
      <c r="E401">
        <v>8</v>
      </c>
      <c r="F401">
        <v>0</v>
      </c>
      <c r="G401">
        <v>9.785357119476093E-2</v>
      </c>
      <c r="H401">
        <v>11381.651793999954</v>
      </c>
      <c r="I401">
        <v>57</v>
      </c>
      <c r="J401">
        <v>180</v>
      </c>
      <c r="K401">
        <v>3</v>
      </c>
      <c r="L401">
        <v>3</v>
      </c>
      <c r="M401">
        <v>1</v>
      </c>
      <c r="N401">
        <v>1</v>
      </c>
    </row>
    <row r="402" spans="1:14">
      <c r="A402">
        <v>30</v>
      </c>
      <c r="B402">
        <v>1</v>
      </c>
      <c r="C402">
        <v>4756</v>
      </c>
      <c r="D402">
        <v>0.20243407966159982</v>
      </c>
      <c r="E402">
        <v>13</v>
      </c>
      <c r="F402">
        <v>0</v>
      </c>
      <c r="G402">
        <v>0.14703094674062717</v>
      </c>
      <c r="H402">
        <v>9879.7593929999948</v>
      </c>
      <c r="I402">
        <v>53</v>
      </c>
      <c r="J402">
        <v>180</v>
      </c>
      <c r="K402">
        <v>3</v>
      </c>
      <c r="L402">
        <v>4</v>
      </c>
      <c r="M402">
        <v>3</v>
      </c>
      <c r="N402">
        <v>3</v>
      </c>
    </row>
    <row r="403" spans="1:14">
      <c r="A403">
        <v>30</v>
      </c>
      <c r="B403">
        <v>2</v>
      </c>
      <c r="C403">
        <v>1855</v>
      </c>
      <c r="D403">
        <v>0.16401373004070716</v>
      </c>
      <c r="E403">
        <v>8</v>
      </c>
      <c r="F403">
        <v>0</v>
      </c>
      <c r="G403">
        <v>9.8268656002966318E-2</v>
      </c>
      <c r="H403">
        <v>12194.101064000026</v>
      </c>
      <c r="I403">
        <v>59</v>
      </c>
      <c r="J403">
        <v>180</v>
      </c>
      <c r="K403">
        <v>3</v>
      </c>
      <c r="L403">
        <v>3</v>
      </c>
      <c r="M403">
        <v>1</v>
      </c>
      <c r="N403">
        <v>1</v>
      </c>
    </row>
    <row r="404" spans="1:14">
      <c r="A404">
        <v>31</v>
      </c>
      <c r="B404">
        <v>1</v>
      </c>
      <c r="C404">
        <v>563</v>
      </c>
      <c r="D404">
        <v>0.22789715213240713</v>
      </c>
      <c r="E404">
        <v>7</v>
      </c>
      <c r="F404">
        <v>0</v>
      </c>
      <c r="G404">
        <v>8.6371445773677044E-2</v>
      </c>
      <c r="H404">
        <v>8775.8885150000024</v>
      </c>
      <c r="I404">
        <v>55</v>
      </c>
      <c r="J404">
        <v>180</v>
      </c>
      <c r="K404">
        <v>2</v>
      </c>
      <c r="L404">
        <v>2</v>
      </c>
      <c r="M404">
        <v>2</v>
      </c>
      <c r="N404">
        <v>1</v>
      </c>
    </row>
    <row r="405" spans="1:14">
      <c r="A405">
        <v>31</v>
      </c>
      <c r="B405">
        <v>2</v>
      </c>
      <c r="C405">
        <v>47</v>
      </c>
      <c r="D405">
        <v>0.19611461011514986</v>
      </c>
      <c r="E405">
        <v>5</v>
      </c>
      <c r="F405">
        <v>0</v>
      </c>
      <c r="G405">
        <v>6.7211947671102987E-2</v>
      </c>
      <c r="H405">
        <v>10198.118329000008</v>
      </c>
      <c r="I405">
        <v>56</v>
      </c>
      <c r="J405">
        <v>180</v>
      </c>
      <c r="K405">
        <v>2</v>
      </c>
      <c r="L405">
        <v>1</v>
      </c>
      <c r="M405">
        <v>1</v>
      </c>
      <c r="N405">
        <v>1</v>
      </c>
    </row>
    <row r="406" spans="1:14">
      <c r="A406">
        <v>32</v>
      </c>
      <c r="B406">
        <v>1</v>
      </c>
      <c r="C406">
        <v>804</v>
      </c>
      <c r="D406">
        <v>0.22974135789607322</v>
      </c>
      <c r="E406">
        <v>7</v>
      </c>
      <c r="F406">
        <v>0</v>
      </c>
      <c r="G406">
        <v>8.6327521793433434E-2</v>
      </c>
      <c r="H406">
        <v>8705.4417120000162</v>
      </c>
      <c r="I406">
        <v>55</v>
      </c>
      <c r="J406">
        <v>180</v>
      </c>
      <c r="K406">
        <v>2</v>
      </c>
      <c r="L406">
        <v>2</v>
      </c>
      <c r="M406">
        <v>2</v>
      </c>
      <c r="N406">
        <v>1</v>
      </c>
    </row>
    <row r="407" spans="1:14">
      <c r="A407">
        <v>32</v>
      </c>
      <c r="B407">
        <v>2</v>
      </c>
      <c r="C407">
        <v>47</v>
      </c>
      <c r="D407">
        <v>0.19676080670443652</v>
      </c>
      <c r="E407">
        <v>5</v>
      </c>
      <c r="F407">
        <v>0</v>
      </c>
      <c r="G407">
        <v>6.7193084666513317E-2</v>
      </c>
      <c r="H407">
        <v>10164.625940999989</v>
      </c>
      <c r="I407">
        <v>55</v>
      </c>
      <c r="J407">
        <v>180</v>
      </c>
      <c r="K407">
        <v>2</v>
      </c>
      <c r="L407">
        <v>1</v>
      </c>
      <c r="M407">
        <v>1</v>
      </c>
      <c r="N407">
        <v>1</v>
      </c>
    </row>
    <row r="408" spans="1:14">
      <c r="A408">
        <v>33</v>
      </c>
      <c r="B408">
        <v>1</v>
      </c>
      <c r="C408">
        <v>130</v>
      </c>
      <c r="D408">
        <v>0.23247996574050636</v>
      </c>
      <c r="E408">
        <v>7</v>
      </c>
      <c r="F408">
        <v>0</v>
      </c>
      <c r="G408">
        <v>8.6263155793069327E-2</v>
      </c>
      <c r="H408">
        <v>8602.8918389999926</v>
      </c>
      <c r="I408">
        <v>55</v>
      </c>
      <c r="J408">
        <v>180</v>
      </c>
      <c r="K408">
        <v>2</v>
      </c>
      <c r="L408">
        <v>2</v>
      </c>
      <c r="M408">
        <v>2</v>
      </c>
      <c r="N408">
        <v>1</v>
      </c>
    </row>
    <row r="409" spans="1:14">
      <c r="A409">
        <v>33</v>
      </c>
      <c r="B409">
        <v>2</v>
      </c>
      <c r="C409">
        <v>46</v>
      </c>
      <c r="D409">
        <v>0.19944760468852724</v>
      </c>
      <c r="E409">
        <v>5</v>
      </c>
      <c r="F409">
        <v>0</v>
      </c>
      <c r="G409">
        <v>6.7115531562057948E-2</v>
      </c>
      <c r="H409">
        <v>10027.696262000009</v>
      </c>
      <c r="I409">
        <v>57</v>
      </c>
      <c r="J409">
        <v>180</v>
      </c>
      <c r="K409">
        <v>2</v>
      </c>
      <c r="L409">
        <v>1</v>
      </c>
      <c r="M409">
        <v>1</v>
      </c>
      <c r="N409">
        <v>1</v>
      </c>
    </row>
    <row r="410" spans="1:14">
      <c r="A410">
        <v>34</v>
      </c>
      <c r="B410">
        <v>1</v>
      </c>
      <c r="C410">
        <v>507</v>
      </c>
      <c r="D410">
        <v>0.22679830897212255</v>
      </c>
      <c r="E410">
        <v>7</v>
      </c>
      <c r="F410">
        <v>0</v>
      </c>
      <c r="G410">
        <v>8.6397843201148114E-2</v>
      </c>
      <c r="H410">
        <v>8818.4079019999863</v>
      </c>
      <c r="I410">
        <v>56</v>
      </c>
      <c r="J410">
        <v>180</v>
      </c>
      <c r="K410">
        <v>2</v>
      </c>
      <c r="L410">
        <v>2</v>
      </c>
      <c r="M410">
        <v>2</v>
      </c>
      <c r="N410">
        <v>1</v>
      </c>
    </row>
    <row r="411" spans="1:14">
      <c r="A411">
        <v>34</v>
      </c>
      <c r="B411">
        <v>2</v>
      </c>
      <c r="C411">
        <v>11</v>
      </c>
      <c r="D411">
        <v>0.1967365447989749</v>
      </c>
      <c r="E411">
        <v>5</v>
      </c>
      <c r="F411">
        <v>0</v>
      </c>
      <c r="G411">
        <v>6.7193791398196895E-2</v>
      </c>
      <c r="H411">
        <v>10165.879460999973</v>
      </c>
      <c r="I411">
        <v>58</v>
      </c>
      <c r="J411">
        <v>180</v>
      </c>
      <c r="K411">
        <v>2</v>
      </c>
      <c r="L411">
        <v>1</v>
      </c>
      <c r="M411">
        <v>1</v>
      </c>
      <c r="N411">
        <v>1</v>
      </c>
    </row>
    <row r="412" spans="1:14">
      <c r="A412">
        <v>35</v>
      </c>
      <c r="B412">
        <v>1</v>
      </c>
      <c r="C412">
        <v>283</v>
      </c>
      <c r="D412">
        <v>0.23152862853506134</v>
      </c>
      <c r="E412">
        <v>7</v>
      </c>
      <c r="F412">
        <v>0</v>
      </c>
      <c r="G412">
        <v>8.6285400130194284E-2</v>
      </c>
      <c r="H412">
        <v>8638.2406040000005</v>
      </c>
      <c r="I412">
        <v>57</v>
      </c>
      <c r="J412">
        <v>180</v>
      </c>
      <c r="K412">
        <v>2</v>
      </c>
      <c r="L412">
        <v>2</v>
      </c>
      <c r="M412">
        <v>2</v>
      </c>
      <c r="N412">
        <v>1</v>
      </c>
    </row>
    <row r="413" spans="1:14">
      <c r="A413">
        <v>35</v>
      </c>
      <c r="B413">
        <v>2</v>
      </c>
      <c r="C413">
        <v>67</v>
      </c>
      <c r="D413">
        <v>0.19876609609187842</v>
      </c>
      <c r="E413">
        <v>5</v>
      </c>
      <c r="F413">
        <v>0</v>
      </c>
      <c r="G413">
        <v>6.7135070568378433E-2</v>
      </c>
      <c r="H413">
        <v>10062.07818799999</v>
      </c>
      <c r="I413">
        <v>56</v>
      </c>
      <c r="J413">
        <v>180</v>
      </c>
      <c r="K413">
        <v>2</v>
      </c>
      <c r="L413">
        <v>1</v>
      </c>
      <c r="M413">
        <v>1</v>
      </c>
      <c r="N413">
        <v>1</v>
      </c>
    </row>
    <row r="414" spans="1:14">
      <c r="A414">
        <v>36</v>
      </c>
      <c r="B414">
        <v>1</v>
      </c>
      <c r="C414">
        <v>455</v>
      </c>
      <c r="D414">
        <v>0.23147507230108855</v>
      </c>
      <c r="E414">
        <v>7</v>
      </c>
      <c r="F414">
        <v>0</v>
      </c>
      <c r="G414">
        <v>8.6286656014084334E-2</v>
      </c>
      <c r="H414">
        <v>8640.2392279999931</v>
      </c>
      <c r="I414">
        <v>57</v>
      </c>
      <c r="J414">
        <v>180</v>
      </c>
      <c r="K414">
        <v>2</v>
      </c>
      <c r="L414">
        <v>2</v>
      </c>
      <c r="M414">
        <v>2</v>
      </c>
      <c r="N414">
        <v>1</v>
      </c>
    </row>
    <row r="415" spans="1:14">
      <c r="A415">
        <v>36</v>
      </c>
      <c r="B415">
        <v>2</v>
      </c>
      <c r="C415">
        <v>45</v>
      </c>
      <c r="D415">
        <v>0.19754102268365309</v>
      </c>
      <c r="E415">
        <v>5</v>
      </c>
      <c r="F415">
        <v>0</v>
      </c>
      <c r="G415">
        <v>6.7170419300371431E-2</v>
      </c>
      <c r="H415">
        <v>10124.479324999991</v>
      </c>
      <c r="I415">
        <v>57</v>
      </c>
      <c r="J415">
        <v>180</v>
      </c>
      <c r="K415">
        <v>2</v>
      </c>
      <c r="L415">
        <v>1</v>
      </c>
      <c r="M415">
        <v>1</v>
      </c>
      <c r="N415">
        <v>1</v>
      </c>
    </row>
    <row r="416" spans="1:14">
      <c r="A416">
        <v>37</v>
      </c>
      <c r="B416">
        <v>1</v>
      </c>
      <c r="C416">
        <v>1582</v>
      </c>
      <c r="D416">
        <v>0.22252816274258588</v>
      </c>
      <c r="E416">
        <v>7</v>
      </c>
      <c r="F416">
        <v>0</v>
      </c>
      <c r="G416">
        <v>8.6502066740809305E-2</v>
      </c>
      <c r="H416">
        <v>8987.6264439999977</v>
      </c>
      <c r="I416">
        <v>51</v>
      </c>
      <c r="J416">
        <v>180</v>
      </c>
      <c r="K416">
        <v>2</v>
      </c>
      <c r="L416">
        <v>1</v>
      </c>
      <c r="M416">
        <v>2</v>
      </c>
      <c r="N416">
        <v>2</v>
      </c>
    </row>
    <row r="417" spans="1:14">
      <c r="A417">
        <v>37</v>
      </c>
      <c r="B417">
        <v>2</v>
      </c>
      <c r="C417">
        <v>47</v>
      </c>
      <c r="D417">
        <v>0.20126735227949458</v>
      </c>
      <c r="E417">
        <v>5</v>
      </c>
      <c r="F417">
        <v>0</v>
      </c>
      <c r="G417">
        <v>6.7063792271912961E-2</v>
      </c>
      <c r="H417">
        <v>9937.0314029999936</v>
      </c>
      <c r="I417">
        <v>57</v>
      </c>
      <c r="J417">
        <v>180</v>
      </c>
      <c r="K417">
        <v>2</v>
      </c>
      <c r="L417">
        <v>1</v>
      </c>
      <c r="M417">
        <v>1</v>
      </c>
      <c r="N417">
        <v>1</v>
      </c>
    </row>
    <row r="418" spans="1:14">
      <c r="A418">
        <v>38</v>
      </c>
      <c r="B418">
        <v>1</v>
      </c>
      <c r="C418">
        <v>298</v>
      </c>
      <c r="D418">
        <v>0.23239101472597712</v>
      </c>
      <c r="E418">
        <v>7</v>
      </c>
      <c r="F418">
        <v>0</v>
      </c>
      <c r="G418">
        <v>8.6265230514239996E-2</v>
      </c>
      <c r="H418">
        <v>8606.1847200000029</v>
      </c>
      <c r="I418">
        <v>56</v>
      </c>
      <c r="J418">
        <v>180</v>
      </c>
      <c r="K418">
        <v>2</v>
      </c>
      <c r="L418">
        <v>2</v>
      </c>
      <c r="M418">
        <v>2</v>
      </c>
      <c r="N418">
        <v>1</v>
      </c>
    </row>
    <row r="419" spans="1:14">
      <c r="A419">
        <v>38</v>
      </c>
      <c r="B419">
        <v>2</v>
      </c>
      <c r="C419">
        <v>46</v>
      </c>
      <c r="D419">
        <v>0.20021384101569864</v>
      </c>
      <c r="E419">
        <v>5</v>
      </c>
      <c r="F419">
        <v>0</v>
      </c>
      <c r="G419">
        <v>6.709366942403365E-2</v>
      </c>
      <c r="H419">
        <v>9989.3193689999753</v>
      </c>
      <c r="I419">
        <v>59</v>
      </c>
      <c r="J419">
        <v>180</v>
      </c>
      <c r="K419">
        <v>2</v>
      </c>
      <c r="L419">
        <v>1</v>
      </c>
      <c r="M419">
        <v>1</v>
      </c>
      <c r="N419">
        <v>1</v>
      </c>
    </row>
    <row r="420" spans="1:14">
      <c r="A420">
        <v>39</v>
      </c>
      <c r="B420">
        <v>1</v>
      </c>
      <c r="C420">
        <v>438</v>
      </c>
      <c r="D420">
        <v>0.22361762912459798</v>
      </c>
      <c r="E420">
        <v>7</v>
      </c>
      <c r="F420">
        <v>0</v>
      </c>
      <c r="G420">
        <v>8.6475223712175794E-2</v>
      </c>
      <c r="H420">
        <v>8943.8386759999848</v>
      </c>
      <c r="I420">
        <v>57</v>
      </c>
      <c r="J420">
        <v>180</v>
      </c>
      <c r="K420">
        <v>3</v>
      </c>
      <c r="L420">
        <v>1</v>
      </c>
      <c r="M420">
        <v>2</v>
      </c>
      <c r="N420">
        <v>1</v>
      </c>
    </row>
    <row r="421" spans="1:14">
      <c r="A421">
        <v>39</v>
      </c>
      <c r="B421">
        <v>2</v>
      </c>
      <c r="C421">
        <v>201</v>
      </c>
      <c r="D421">
        <v>0.19840560781355676</v>
      </c>
      <c r="E421">
        <v>5</v>
      </c>
      <c r="F421">
        <v>0</v>
      </c>
      <c r="G421">
        <v>6.7145442007106509E-2</v>
      </c>
      <c r="H421">
        <v>10080.360238000001</v>
      </c>
      <c r="I421">
        <v>59</v>
      </c>
      <c r="J421">
        <v>180</v>
      </c>
      <c r="K421">
        <v>2</v>
      </c>
      <c r="L421">
        <v>1</v>
      </c>
      <c r="M421">
        <v>1</v>
      </c>
      <c r="N421">
        <v>1</v>
      </c>
    </row>
    <row r="422" spans="1:14">
      <c r="A422">
        <v>40</v>
      </c>
      <c r="B422">
        <v>1</v>
      </c>
      <c r="C422">
        <v>118</v>
      </c>
      <c r="D422">
        <v>0.22808506069181503</v>
      </c>
      <c r="E422">
        <v>7</v>
      </c>
      <c r="F422">
        <v>0</v>
      </c>
      <c r="G422">
        <v>8.6366948650273209E-2</v>
      </c>
      <c r="H422">
        <v>8768.6584729999868</v>
      </c>
      <c r="I422">
        <v>56</v>
      </c>
      <c r="J422">
        <v>180</v>
      </c>
      <c r="K422">
        <v>2</v>
      </c>
      <c r="L422">
        <v>2</v>
      </c>
      <c r="M422">
        <v>1</v>
      </c>
      <c r="N422">
        <v>2</v>
      </c>
    </row>
    <row r="423" spans="1:14">
      <c r="A423">
        <v>40</v>
      </c>
      <c r="B423">
        <v>2</v>
      </c>
      <c r="C423">
        <v>21</v>
      </c>
      <c r="D423">
        <v>0.19907952751533251</v>
      </c>
      <c r="E423">
        <v>5</v>
      </c>
      <c r="F423">
        <v>0</v>
      </c>
      <c r="G423">
        <v>6.7126073342283099E-2</v>
      </c>
      <c r="H423">
        <v>10046.236420999974</v>
      </c>
      <c r="I423">
        <v>60</v>
      </c>
      <c r="J423">
        <v>180</v>
      </c>
      <c r="K423">
        <v>2</v>
      </c>
      <c r="L423">
        <v>1</v>
      </c>
      <c r="M423">
        <v>1</v>
      </c>
      <c r="N423">
        <v>1</v>
      </c>
    </row>
    <row r="424" spans="1:14">
      <c r="A424">
        <v>41</v>
      </c>
      <c r="B424">
        <v>1</v>
      </c>
      <c r="C424">
        <v>4352</v>
      </c>
      <c r="D424">
        <v>0.22376025459207272</v>
      </c>
      <c r="E424">
        <v>17</v>
      </c>
      <c r="F424">
        <v>0</v>
      </c>
      <c r="G424">
        <v>0.18647172251559593</v>
      </c>
      <c r="H424">
        <v>8938.1378459999978</v>
      </c>
      <c r="I424">
        <v>61</v>
      </c>
      <c r="J424">
        <v>180</v>
      </c>
      <c r="K424">
        <v>4</v>
      </c>
      <c r="L424">
        <v>5</v>
      </c>
      <c r="M424">
        <v>6</v>
      </c>
      <c r="N424">
        <v>2</v>
      </c>
    </row>
    <row r="425" spans="1:14">
      <c r="A425">
        <v>41</v>
      </c>
      <c r="B425">
        <v>2</v>
      </c>
      <c r="C425">
        <v>936</v>
      </c>
      <c r="D425">
        <v>0.17734023496483378</v>
      </c>
      <c r="E425">
        <v>9</v>
      </c>
      <c r="F425">
        <v>0</v>
      </c>
      <c r="G425">
        <v>0.10779908075566767</v>
      </c>
      <c r="H425">
        <v>11277.756570000012</v>
      </c>
      <c r="I425">
        <v>57</v>
      </c>
      <c r="J425">
        <v>180</v>
      </c>
      <c r="K425">
        <v>1</v>
      </c>
      <c r="L425">
        <v>4</v>
      </c>
      <c r="M425">
        <v>2</v>
      </c>
      <c r="N425">
        <v>2</v>
      </c>
    </row>
    <row r="426" spans="1:14">
      <c r="A426">
        <v>42</v>
      </c>
      <c r="B426">
        <v>1</v>
      </c>
      <c r="C426">
        <v>2720</v>
      </c>
      <c r="D426">
        <v>0.21110634320046298</v>
      </c>
      <c r="E426">
        <v>17</v>
      </c>
      <c r="F426">
        <v>0</v>
      </c>
      <c r="G426">
        <v>0.18679446752883383</v>
      </c>
      <c r="H426">
        <v>9473.8981769999882</v>
      </c>
      <c r="I426">
        <v>59</v>
      </c>
      <c r="J426">
        <v>180</v>
      </c>
      <c r="K426">
        <v>3</v>
      </c>
      <c r="L426">
        <v>5</v>
      </c>
      <c r="M426">
        <v>6</v>
      </c>
      <c r="N426">
        <v>3</v>
      </c>
    </row>
    <row r="427" spans="1:14">
      <c r="A427">
        <v>42</v>
      </c>
      <c r="B427">
        <v>2</v>
      </c>
      <c r="C427">
        <v>883</v>
      </c>
      <c r="D427">
        <v>0.16690832491270963</v>
      </c>
      <c r="E427">
        <v>9</v>
      </c>
      <c r="F427">
        <v>0</v>
      </c>
      <c r="G427">
        <v>0.10816243196465246</v>
      </c>
      <c r="H427">
        <v>11982.625797999997</v>
      </c>
      <c r="I427">
        <v>56</v>
      </c>
      <c r="J427">
        <v>180</v>
      </c>
      <c r="K427">
        <v>1</v>
      </c>
      <c r="L427">
        <v>3</v>
      </c>
      <c r="M427">
        <v>2</v>
      </c>
      <c r="N427">
        <v>3</v>
      </c>
    </row>
    <row r="428" spans="1:14">
      <c r="A428">
        <v>43</v>
      </c>
      <c r="B428">
        <v>1</v>
      </c>
      <c r="C428">
        <v>2476</v>
      </c>
      <c r="D428">
        <v>0.23845502866585308</v>
      </c>
      <c r="E428">
        <v>20</v>
      </c>
      <c r="F428">
        <v>0</v>
      </c>
      <c r="G428">
        <v>0.2161261676880499</v>
      </c>
      <c r="H428">
        <v>8387.3257409999896</v>
      </c>
      <c r="I428">
        <v>60</v>
      </c>
      <c r="J428">
        <v>180</v>
      </c>
      <c r="K428">
        <v>4</v>
      </c>
      <c r="L428">
        <v>6</v>
      </c>
      <c r="M428">
        <v>7</v>
      </c>
      <c r="N428">
        <v>3</v>
      </c>
    </row>
    <row r="429" spans="1:14">
      <c r="A429">
        <v>43</v>
      </c>
      <c r="B429">
        <v>2</v>
      </c>
      <c r="C429">
        <v>557</v>
      </c>
      <c r="D429">
        <v>0.18873299886257522</v>
      </c>
      <c r="E429">
        <v>10</v>
      </c>
      <c r="F429">
        <v>0</v>
      </c>
      <c r="G429">
        <v>0.11743347860552664</v>
      </c>
      <c r="H429">
        <v>10596.980983999983</v>
      </c>
      <c r="I429">
        <v>55</v>
      </c>
      <c r="J429">
        <v>180</v>
      </c>
      <c r="K429">
        <v>1</v>
      </c>
      <c r="L429">
        <v>4</v>
      </c>
      <c r="M429">
        <v>4</v>
      </c>
      <c r="N429">
        <v>1</v>
      </c>
    </row>
    <row r="430" spans="1:14">
      <c r="A430">
        <v>44</v>
      </c>
      <c r="B430">
        <v>1</v>
      </c>
      <c r="C430">
        <v>7079</v>
      </c>
      <c r="D430">
        <v>0.21971615636787947</v>
      </c>
      <c r="E430">
        <v>16</v>
      </c>
      <c r="F430">
        <v>0</v>
      </c>
      <c r="G430">
        <v>0.17657216831888434</v>
      </c>
      <c r="H430">
        <v>9102.6533189999955</v>
      </c>
      <c r="I430">
        <v>55</v>
      </c>
      <c r="J430">
        <v>180</v>
      </c>
      <c r="K430">
        <v>2</v>
      </c>
      <c r="L430">
        <v>6</v>
      </c>
      <c r="M430">
        <v>5</v>
      </c>
      <c r="N430">
        <v>3</v>
      </c>
    </row>
    <row r="431" spans="1:14">
      <c r="A431">
        <v>44</v>
      </c>
      <c r="B431">
        <v>2</v>
      </c>
      <c r="C431">
        <v>763</v>
      </c>
      <c r="D431">
        <v>0.17321132315374624</v>
      </c>
      <c r="E431">
        <v>8</v>
      </c>
      <c r="F431">
        <v>0</v>
      </c>
      <c r="G431">
        <v>9.7939399725112092E-2</v>
      </c>
      <c r="H431">
        <v>11546.589239000012</v>
      </c>
      <c r="I431">
        <v>58</v>
      </c>
      <c r="J431">
        <v>180</v>
      </c>
      <c r="K431">
        <v>2</v>
      </c>
      <c r="L431">
        <v>2</v>
      </c>
      <c r="M431">
        <v>3</v>
      </c>
      <c r="N431">
        <v>1</v>
      </c>
    </row>
    <row r="432" spans="1:14">
      <c r="A432">
        <v>45</v>
      </c>
      <c r="B432">
        <v>1</v>
      </c>
      <c r="C432">
        <v>883</v>
      </c>
      <c r="D432">
        <v>0.23416842344979397</v>
      </c>
      <c r="E432">
        <v>21</v>
      </c>
      <c r="F432">
        <v>0</v>
      </c>
      <c r="G432">
        <v>0.22622397328963748</v>
      </c>
      <c r="H432">
        <v>8540.8611910000018</v>
      </c>
      <c r="I432">
        <v>59</v>
      </c>
      <c r="J432">
        <v>180</v>
      </c>
      <c r="K432">
        <v>3</v>
      </c>
      <c r="L432">
        <v>8</v>
      </c>
      <c r="M432">
        <v>7</v>
      </c>
      <c r="N432">
        <v>3</v>
      </c>
    </row>
    <row r="433" spans="1:14">
      <c r="A433">
        <v>45</v>
      </c>
      <c r="B433">
        <v>2</v>
      </c>
      <c r="C433">
        <v>1311</v>
      </c>
      <c r="D433">
        <v>0.17927017470122894</v>
      </c>
      <c r="E433">
        <v>9</v>
      </c>
      <c r="F433">
        <v>0</v>
      </c>
      <c r="G433">
        <v>0.10773497794658062</v>
      </c>
      <c r="H433">
        <v>11156.345461999985</v>
      </c>
      <c r="I433">
        <v>55</v>
      </c>
      <c r="J433">
        <v>180</v>
      </c>
      <c r="K433">
        <v>1</v>
      </c>
      <c r="L433">
        <v>4</v>
      </c>
      <c r="M433">
        <v>2</v>
      </c>
      <c r="N433">
        <v>2</v>
      </c>
    </row>
    <row r="434" spans="1:14">
      <c r="A434">
        <v>46</v>
      </c>
      <c r="B434">
        <v>1</v>
      </c>
      <c r="C434">
        <v>7255</v>
      </c>
      <c r="D434">
        <v>0.22316778178277208</v>
      </c>
      <c r="E434">
        <v>24</v>
      </c>
      <c r="F434">
        <v>0</v>
      </c>
      <c r="G434">
        <v>0.25648628618325686</v>
      </c>
      <c r="H434">
        <v>8961.8670940000102</v>
      </c>
      <c r="I434">
        <v>57</v>
      </c>
      <c r="J434">
        <v>180</v>
      </c>
      <c r="K434">
        <v>4</v>
      </c>
      <c r="L434">
        <v>6</v>
      </c>
      <c r="M434">
        <v>11</v>
      </c>
      <c r="N434">
        <v>3</v>
      </c>
    </row>
    <row r="435" spans="1:14">
      <c r="A435">
        <v>46</v>
      </c>
      <c r="B435">
        <v>2</v>
      </c>
      <c r="C435">
        <v>1159</v>
      </c>
      <c r="D435">
        <v>0.17228963885783649</v>
      </c>
      <c r="E435">
        <v>9</v>
      </c>
      <c r="F435">
        <v>0</v>
      </c>
      <c r="G435">
        <v>0.10797133251391221</v>
      </c>
      <c r="H435">
        <v>11608.359116999978</v>
      </c>
      <c r="I435">
        <v>53</v>
      </c>
      <c r="J435">
        <v>180</v>
      </c>
      <c r="K435">
        <v>1</v>
      </c>
      <c r="L435">
        <v>3</v>
      </c>
      <c r="M435">
        <v>3</v>
      </c>
      <c r="N435">
        <v>2</v>
      </c>
    </row>
    <row r="436" spans="1:14">
      <c r="A436">
        <v>47</v>
      </c>
      <c r="B436">
        <v>1</v>
      </c>
      <c r="C436">
        <v>2606</v>
      </c>
      <c r="D436">
        <v>0.22385223197192761</v>
      </c>
      <c r="E436">
        <v>15</v>
      </c>
      <c r="F436">
        <v>0</v>
      </c>
      <c r="G436">
        <v>0.1664694662155167</v>
      </c>
      <c r="H436">
        <v>8934.4653050000052</v>
      </c>
      <c r="I436">
        <v>55</v>
      </c>
      <c r="J436">
        <v>180</v>
      </c>
      <c r="K436">
        <v>3</v>
      </c>
      <c r="L436">
        <v>5</v>
      </c>
      <c r="M436">
        <v>5</v>
      </c>
      <c r="N436">
        <v>2</v>
      </c>
    </row>
    <row r="437" spans="1:14">
      <c r="A437">
        <v>47</v>
      </c>
      <c r="B437">
        <v>2</v>
      </c>
      <c r="C437">
        <v>1294</v>
      </c>
      <c r="D437">
        <v>0.17884914456498824</v>
      </c>
      <c r="E437">
        <v>8</v>
      </c>
      <c r="F437">
        <v>0</v>
      </c>
      <c r="G437">
        <v>9.7748883722698313E-2</v>
      </c>
      <c r="H437">
        <v>11182.608700000026</v>
      </c>
      <c r="I437">
        <v>55</v>
      </c>
      <c r="J437">
        <v>180</v>
      </c>
      <c r="K437">
        <v>1</v>
      </c>
      <c r="L437">
        <v>3</v>
      </c>
      <c r="M437">
        <v>3</v>
      </c>
      <c r="N437">
        <v>1</v>
      </c>
    </row>
    <row r="438" spans="1:14">
      <c r="A438">
        <v>48</v>
      </c>
      <c r="B438">
        <v>1</v>
      </c>
      <c r="C438">
        <v>2520</v>
      </c>
      <c r="D438">
        <v>0.21860846431007058</v>
      </c>
      <c r="E438">
        <v>14</v>
      </c>
      <c r="F438">
        <v>0</v>
      </c>
      <c r="G438">
        <v>0.15660011164281135</v>
      </c>
      <c r="H438">
        <v>9148.7765870000057</v>
      </c>
      <c r="I438">
        <v>57</v>
      </c>
      <c r="J438">
        <v>180</v>
      </c>
      <c r="K438">
        <v>3</v>
      </c>
      <c r="L438">
        <v>4</v>
      </c>
      <c r="M438">
        <v>5</v>
      </c>
      <c r="N438">
        <v>2</v>
      </c>
    </row>
    <row r="439" spans="1:14">
      <c r="A439">
        <v>48</v>
      </c>
      <c r="B439">
        <v>2</v>
      </c>
      <c r="C439">
        <v>919</v>
      </c>
      <c r="D439">
        <v>0.17937229182172373</v>
      </c>
      <c r="E439">
        <v>8</v>
      </c>
      <c r="F439">
        <v>0</v>
      </c>
      <c r="G439">
        <v>9.7731611784416195E-2</v>
      </c>
      <c r="H439">
        <v>11149.994124999972</v>
      </c>
      <c r="I439">
        <v>58</v>
      </c>
      <c r="J439">
        <v>180</v>
      </c>
      <c r="K439">
        <v>2</v>
      </c>
      <c r="L439">
        <v>2</v>
      </c>
      <c r="M439">
        <v>3</v>
      </c>
      <c r="N439">
        <v>1</v>
      </c>
    </row>
    <row r="440" spans="1:14">
      <c r="A440">
        <v>49</v>
      </c>
      <c r="B440">
        <v>1</v>
      </c>
      <c r="C440">
        <v>446</v>
      </c>
      <c r="D440">
        <v>0.22742392963300204</v>
      </c>
      <c r="E440">
        <v>21</v>
      </c>
      <c r="F440">
        <v>0</v>
      </c>
      <c r="G440">
        <v>0.22638279311249165</v>
      </c>
      <c r="H440">
        <v>8794.1493370000026</v>
      </c>
      <c r="I440">
        <v>53</v>
      </c>
      <c r="J440">
        <v>180</v>
      </c>
      <c r="K440">
        <v>1</v>
      </c>
      <c r="L440">
        <v>11</v>
      </c>
      <c r="M440">
        <v>7</v>
      </c>
      <c r="N440">
        <v>2</v>
      </c>
    </row>
    <row r="441" spans="1:14">
      <c r="A441">
        <v>49</v>
      </c>
      <c r="B441">
        <v>2</v>
      </c>
      <c r="C441">
        <v>614</v>
      </c>
      <c r="D441">
        <v>0.18629726044454428</v>
      </c>
      <c r="E441">
        <v>9</v>
      </c>
      <c r="F441">
        <v>0</v>
      </c>
      <c r="G441">
        <v>0.1075091277123212</v>
      </c>
      <c r="H441">
        <v>10735.530921000025</v>
      </c>
      <c r="I441">
        <v>59</v>
      </c>
      <c r="J441">
        <v>180</v>
      </c>
      <c r="K441">
        <v>2</v>
      </c>
      <c r="L441">
        <v>3</v>
      </c>
      <c r="M441">
        <v>3</v>
      </c>
      <c r="N441">
        <v>1</v>
      </c>
    </row>
    <row r="442" spans="1:14">
      <c r="A442">
        <v>50</v>
      </c>
      <c r="B442">
        <v>1</v>
      </c>
      <c r="C442">
        <v>5307</v>
      </c>
      <c r="D442">
        <v>0.24062294998721118</v>
      </c>
      <c r="E442">
        <v>27</v>
      </c>
      <c r="F442">
        <v>0</v>
      </c>
      <c r="G442">
        <v>0.2860775912958689</v>
      </c>
      <c r="H442">
        <v>8311.7591240000074</v>
      </c>
      <c r="I442">
        <v>55</v>
      </c>
      <c r="J442">
        <v>180</v>
      </c>
      <c r="K442">
        <v>5</v>
      </c>
      <c r="L442">
        <v>9</v>
      </c>
      <c r="M442">
        <v>8</v>
      </c>
      <c r="N442">
        <v>5</v>
      </c>
    </row>
    <row r="443" spans="1:14">
      <c r="A443">
        <v>50</v>
      </c>
      <c r="B443">
        <v>2</v>
      </c>
      <c r="C443">
        <v>598</v>
      </c>
      <c r="D443">
        <v>0.18497929548758121</v>
      </c>
      <c r="E443">
        <v>9</v>
      </c>
      <c r="F443">
        <v>0</v>
      </c>
      <c r="G443">
        <v>0.10755061312403581</v>
      </c>
      <c r="H443">
        <v>10812.020852000012</v>
      </c>
      <c r="I443">
        <v>56</v>
      </c>
      <c r="J443">
        <v>180</v>
      </c>
      <c r="K443">
        <v>2</v>
      </c>
      <c r="L443">
        <v>3</v>
      </c>
      <c r="M443">
        <v>2</v>
      </c>
      <c r="N443">
        <v>2</v>
      </c>
    </row>
    <row r="444" spans="1:14">
      <c r="A444">
        <v>51</v>
      </c>
      <c r="B444">
        <v>1</v>
      </c>
      <c r="C444">
        <v>1045</v>
      </c>
      <c r="D444">
        <v>0.2286198928010878</v>
      </c>
      <c r="E444">
        <v>8</v>
      </c>
      <c r="F444">
        <v>0</v>
      </c>
      <c r="G444">
        <v>9.6354175768519609E-2</v>
      </c>
      <c r="H444">
        <v>8748.1451220000035</v>
      </c>
      <c r="I444">
        <v>60</v>
      </c>
      <c r="J444">
        <v>180</v>
      </c>
      <c r="K444">
        <v>2</v>
      </c>
      <c r="L444">
        <v>2</v>
      </c>
      <c r="M444">
        <v>3</v>
      </c>
      <c r="N444">
        <v>1</v>
      </c>
    </row>
    <row r="445" spans="1:14">
      <c r="A445">
        <v>51</v>
      </c>
      <c r="B445">
        <v>2</v>
      </c>
      <c r="C445">
        <v>1174</v>
      </c>
      <c r="D445">
        <v>0.20955195349072714</v>
      </c>
      <c r="E445">
        <v>6</v>
      </c>
      <c r="F445">
        <v>0</v>
      </c>
      <c r="G445">
        <v>7.6835890614610089E-2</v>
      </c>
      <c r="H445">
        <v>9544.1725389999847</v>
      </c>
      <c r="I445">
        <v>57</v>
      </c>
      <c r="J445">
        <v>180</v>
      </c>
      <c r="K445">
        <v>1</v>
      </c>
      <c r="L445">
        <v>2</v>
      </c>
      <c r="M445">
        <v>2</v>
      </c>
      <c r="N445">
        <v>1</v>
      </c>
    </row>
    <row r="446" spans="1:14">
      <c r="A446">
        <v>52</v>
      </c>
      <c r="B446">
        <v>1</v>
      </c>
      <c r="C446">
        <v>2564</v>
      </c>
      <c r="D446">
        <v>0.22755757564867984</v>
      </c>
      <c r="E446">
        <v>8</v>
      </c>
      <c r="F446">
        <v>0</v>
      </c>
      <c r="G446">
        <v>9.6379585244777827E-2</v>
      </c>
      <c r="H446">
        <v>8788.9844769999982</v>
      </c>
      <c r="I446">
        <v>55</v>
      </c>
      <c r="J446">
        <v>180</v>
      </c>
      <c r="K446">
        <v>1</v>
      </c>
      <c r="L446">
        <v>3</v>
      </c>
      <c r="M446">
        <v>3</v>
      </c>
      <c r="N446">
        <v>1</v>
      </c>
    </row>
    <row r="447" spans="1:14">
      <c r="A447">
        <v>52</v>
      </c>
      <c r="B447">
        <v>2</v>
      </c>
      <c r="C447">
        <v>1245</v>
      </c>
      <c r="D447">
        <v>0.21021181598860336</v>
      </c>
      <c r="E447">
        <v>6</v>
      </c>
      <c r="F447">
        <v>0</v>
      </c>
      <c r="G447">
        <v>7.6818255993172199E-2</v>
      </c>
      <c r="H447">
        <v>9514.2130359999846</v>
      </c>
      <c r="I447">
        <v>55</v>
      </c>
      <c r="J447">
        <v>180</v>
      </c>
      <c r="K447">
        <v>1</v>
      </c>
      <c r="L447">
        <v>2</v>
      </c>
      <c r="M447">
        <v>2</v>
      </c>
      <c r="N447">
        <v>1</v>
      </c>
    </row>
    <row r="448" spans="1:14">
      <c r="A448">
        <v>53</v>
      </c>
      <c r="B448">
        <v>1</v>
      </c>
      <c r="C448">
        <v>1671</v>
      </c>
      <c r="D448">
        <v>0.22756676297710812</v>
      </c>
      <c r="E448">
        <v>8</v>
      </c>
      <c r="F448">
        <v>0</v>
      </c>
      <c r="G448">
        <v>9.6379364816199187E-2</v>
      </c>
      <c r="H448">
        <v>8788.6296479999946</v>
      </c>
      <c r="I448">
        <v>56</v>
      </c>
      <c r="J448">
        <v>180</v>
      </c>
      <c r="K448">
        <v>1</v>
      </c>
      <c r="L448">
        <v>3</v>
      </c>
      <c r="M448">
        <v>3</v>
      </c>
      <c r="N448">
        <v>1</v>
      </c>
    </row>
    <row r="449" spans="1:14">
      <c r="A449">
        <v>53</v>
      </c>
      <c r="B449">
        <v>2</v>
      </c>
      <c r="C449">
        <v>1501</v>
      </c>
      <c r="D449">
        <v>0.21034698988798295</v>
      </c>
      <c r="E449">
        <v>6</v>
      </c>
      <c r="F449">
        <v>0</v>
      </c>
      <c r="G449">
        <v>7.6814652619533519E-2</v>
      </c>
      <c r="H449">
        <v>9508.0989799999952</v>
      </c>
      <c r="I449">
        <v>55</v>
      </c>
      <c r="J449">
        <v>180</v>
      </c>
      <c r="K449">
        <v>1</v>
      </c>
      <c r="L449">
        <v>2</v>
      </c>
      <c r="M449">
        <v>2</v>
      </c>
      <c r="N449">
        <v>1</v>
      </c>
    </row>
    <row r="450" spans="1:14">
      <c r="A450">
        <v>54</v>
      </c>
      <c r="B450">
        <v>1</v>
      </c>
      <c r="C450">
        <v>625</v>
      </c>
      <c r="D450">
        <v>0.22657012191891099</v>
      </c>
      <c r="E450">
        <v>8</v>
      </c>
      <c r="F450">
        <v>0</v>
      </c>
      <c r="G450">
        <v>9.6403346309898941E-2</v>
      </c>
      <c r="H450">
        <v>8827.2892429999938</v>
      </c>
      <c r="I450">
        <v>62</v>
      </c>
      <c r="J450">
        <v>180</v>
      </c>
      <c r="K450">
        <v>2</v>
      </c>
      <c r="L450">
        <v>2</v>
      </c>
      <c r="M450">
        <v>3</v>
      </c>
      <c r="N450">
        <v>1</v>
      </c>
    </row>
    <row r="451" spans="1:14">
      <c r="A451">
        <v>54</v>
      </c>
      <c r="B451">
        <v>2</v>
      </c>
      <c r="C451">
        <v>1189</v>
      </c>
      <c r="D451">
        <v>0.20729752852015443</v>
      </c>
      <c r="E451">
        <v>6</v>
      </c>
      <c r="F451">
        <v>0</v>
      </c>
      <c r="G451">
        <v>7.6896702540483655E-2</v>
      </c>
      <c r="H451">
        <v>9647.968377999985</v>
      </c>
      <c r="I451">
        <v>56</v>
      </c>
      <c r="J451">
        <v>180</v>
      </c>
      <c r="K451">
        <v>1</v>
      </c>
      <c r="L451">
        <v>2</v>
      </c>
      <c r="M451">
        <v>2</v>
      </c>
      <c r="N451">
        <v>1</v>
      </c>
    </row>
    <row r="452" spans="1:14">
      <c r="A452">
        <v>55</v>
      </c>
      <c r="B452">
        <v>1</v>
      </c>
      <c r="C452">
        <v>1221</v>
      </c>
      <c r="D452">
        <v>0.24016669190984757</v>
      </c>
      <c r="E452">
        <v>8</v>
      </c>
      <c r="F452">
        <v>0</v>
      </c>
      <c r="G452">
        <v>9.6087766021448362E-2</v>
      </c>
      <c r="H452">
        <v>8327.5494369999851</v>
      </c>
      <c r="I452">
        <v>55</v>
      </c>
      <c r="J452">
        <v>180</v>
      </c>
      <c r="K452">
        <v>2</v>
      </c>
      <c r="L452">
        <v>2</v>
      </c>
      <c r="M452">
        <v>2</v>
      </c>
      <c r="N452">
        <v>2</v>
      </c>
    </row>
    <row r="453" spans="1:14">
      <c r="A453">
        <v>55</v>
      </c>
      <c r="B453">
        <v>2</v>
      </c>
      <c r="C453">
        <v>1668</v>
      </c>
      <c r="D453">
        <v>0.21236227066419056</v>
      </c>
      <c r="E453">
        <v>6</v>
      </c>
      <c r="F453">
        <v>0</v>
      </c>
      <c r="G453">
        <v>7.6761294104202182E-2</v>
      </c>
      <c r="H453">
        <v>9417.8687849999933</v>
      </c>
      <c r="I453">
        <v>54</v>
      </c>
      <c r="J453">
        <v>180</v>
      </c>
      <c r="K453">
        <v>1</v>
      </c>
      <c r="L453">
        <v>2</v>
      </c>
      <c r="M453">
        <v>2</v>
      </c>
      <c r="N453">
        <v>1</v>
      </c>
    </row>
    <row r="454" spans="1:14">
      <c r="A454">
        <v>56</v>
      </c>
      <c r="B454">
        <v>1</v>
      </c>
      <c r="C454">
        <v>1370</v>
      </c>
      <c r="D454">
        <v>0.23671293919129663</v>
      </c>
      <c r="E454">
        <v>8</v>
      </c>
      <c r="F454">
        <v>0</v>
      </c>
      <c r="G454">
        <v>9.6165631225756207E-2</v>
      </c>
      <c r="H454">
        <v>8449.0522859999837</v>
      </c>
      <c r="I454">
        <v>56</v>
      </c>
      <c r="J454">
        <v>180</v>
      </c>
      <c r="K454">
        <v>2</v>
      </c>
      <c r="L454">
        <v>2</v>
      </c>
      <c r="M454">
        <v>2</v>
      </c>
      <c r="N454">
        <v>2</v>
      </c>
    </row>
    <row r="455" spans="1:14">
      <c r="A455">
        <v>56</v>
      </c>
      <c r="B455">
        <v>2</v>
      </c>
      <c r="C455">
        <v>2152</v>
      </c>
      <c r="D455">
        <v>0.20939637341567077</v>
      </c>
      <c r="E455">
        <v>6</v>
      </c>
      <c r="F455">
        <v>0</v>
      </c>
      <c r="G455">
        <v>7.6840059232935604E-2</v>
      </c>
      <c r="H455">
        <v>9551.2637939999986</v>
      </c>
      <c r="I455">
        <v>57</v>
      </c>
      <c r="J455">
        <v>180</v>
      </c>
      <c r="K455">
        <v>1</v>
      </c>
      <c r="L455">
        <v>2</v>
      </c>
      <c r="M455">
        <v>2</v>
      </c>
      <c r="N455">
        <v>1</v>
      </c>
    </row>
    <row r="456" spans="1:14">
      <c r="A456">
        <v>57</v>
      </c>
      <c r="B456">
        <v>1</v>
      </c>
      <c r="C456">
        <v>968</v>
      </c>
      <c r="D456">
        <v>0.22847535857375692</v>
      </c>
      <c r="E456">
        <v>9</v>
      </c>
      <c r="F456">
        <v>0</v>
      </c>
      <c r="G456">
        <v>0.10635762360918555</v>
      </c>
      <c r="H456">
        <v>8753.6792260000129</v>
      </c>
      <c r="I456">
        <v>55</v>
      </c>
      <c r="J456">
        <v>180</v>
      </c>
      <c r="K456">
        <v>1</v>
      </c>
      <c r="L456">
        <v>3</v>
      </c>
      <c r="M456">
        <v>4</v>
      </c>
      <c r="N456">
        <v>1</v>
      </c>
    </row>
    <row r="457" spans="1:14">
      <c r="A457">
        <v>57</v>
      </c>
      <c r="B457">
        <v>2</v>
      </c>
      <c r="C457">
        <v>1805</v>
      </c>
      <c r="D457">
        <v>0.20974601169993243</v>
      </c>
      <c r="E457">
        <v>6</v>
      </c>
      <c r="F457">
        <v>0</v>
      </c>
      <c r="G457">
        <v>7.683069679174491E-2</v>
      </c>
      <c r="H457">
        <v>9535.3422160000209</v>
      </c>
      <c r="I457">
        <v>56</v>
      </c>
      <c r="J457">
        <v>180</v>
      </c>
      <c r="K457">
        <v>1</v>
      </c>
      <c r="L457">
        <v>2</v>
      </c>
      <c r="M457">
        <v>2</v>
      </c>
      <c r="N457">
        <v>1</v>
      </c>
    </row>
    <row r="458" spans="1:14">
      <c r="A458">
        <v>58</v>
      </c>
      <c r="B458">
        <v>1</v>
      </c>
      <c r="C458">
        <v>1041</v>
      </c>
      <c r="D458">
        <v>0.22874461799712342</v>
      </c>
      <c r="E458">
        <v>8</v>
      </c>
      <c r="F458">
        <v>0</v>
      </c>
      <c r="G458">
        <v>9.6351202804397629E-2</v>
      </c>
      <c r="H458">
        <v>8743.3751120000161</v>
      </c>
      <c r="I458">
        <v>60</v>
      </c>
      <c r="J458">
        <v>180</v>
      </c>
      <c r="K458">
        <v>2</v>
      </c>
      <c r="L458">
        <v>2</v>
      </c>
      <c r="M458">
        <v>3</v>
      </c>
      <c r="N458">
        <v>1</v>
      </c>
    </row>
    <row r="459" spans="1:14">
      <c r="A459">
        <v>58</v>
      </c>
      <c r="B459">
        <v>2</v>
      </c>
      <c r="C459">
        <v>1125</v>
      </c>
      <c r="D459">
        <v>0.20973055507977548</v>
      </c>
      <c r="E459">
        <v>6</v>
      </c>
      <c r="F459">
        <v>0</v>
      </c>
      <c r="G459">
        <v>7.6831110241749462E-2</v>
      </c>
      <c r="H459">
        <v>9536.0449470000094</v>
      </c>
      <c r="I459">
        <v>54</v>
      </c>
      <c r="J459">
        <v>180</v>
      </c>
      <c r="K459">
        <v>1</v>
      </c>
      <c r="L459">
        <v>2</v>
      </c>
      <c r="M459">
        <v>2</v>
      </c>
      <c r="N459">
        <v>1</v>
      </c>
    </row>
    <row r="460" spans="1:14">
      <c r="A460">
        <v>59</v>
      </c>
      <c r="B460">
        <v>1</v>
      </c>
      <c r="C460">
        <v>754</v>
      </c>
      <c r="D460">
        <v>0.24017388497045122</v>
      </c>
      <c r="E460">
        <v>8</v>
      </c>
      <c r="F460">
        <v>0</v>
      </c>
      <c r="G460">
        <v>9.6087605413602006E-2</v>
      </c>
      <c r="H460">
        <v>8327.3000319999883</v>
      </c>
      <c r="I460">
        <v>56</v>
      </c>
      <c r="J460">
        <v>180</v>
      </c>
      <c r="K460">
        <v>2</v>
      </c>
      <c r="L460">
        <v>2</v>
      </c>
      <c r="M460">
        <v>2</v>
      </c>
      <c r="N460">
        <v>2</v>
      </c>
    </row>
    <row r="461" spans="1:14">
      <c r="A461">
        <v>59</v>
      </c>
      <c r="B461">
        <v>2</v>
      </c>
      <c r="C461">
        <v>958</v>
      </c>
      <c r="D461">
        <v>0.21122829244133617</v>
      </c>
      <c r="E461">
        <v>6</v>
      </c>
      <c r="F461">
        <v>0</v>
      </c>
      <c r="G461">
        <v>7.6791234901851052E-2</v>
      </c>
      <c r="H461">
        <v>9468.4285749999817</v>
      </c>
      <c r="I461">
        <v>55</v>
      </c>
      <c r="J461">
        <v>180</v>
      </c>
      <c r="K461">
        <v>1</v>
      </c>
      <c r="L461">
        <v>2</v>
      </c>
      <c r="M461">
        <v>2</v>
      </c>
      <c r="N461">
        <v>1</v>
      </c>
    </row>
    <row r="462" spans="1:14">
      <c r="A462">
        <v>60</v>
      </c>
      <c r="B462">
        <v>1</v>
      </c>
      <c r="C462">
        <v>5739</v>
      </c>
      <c r="D462">
        <v>0.23258775382472943</v>
      </c>
      <c r="E462">
        <v>8</v>
      </c>
      <c r="F462">
        <v>0</v>
      </c>
      <c r="G462">
        <v>9.626064312814929E-2</v>
      </c>
      <c r="H462">
        <v>8598.9050030000071</v>
      </c>
      <c r="I462">
        <v>57</v>
      </c>
      <c r="J462">
        <v>180</v>
      </c>
      <c r="K462">
        <v>2</v>
      </c>
      <c r="L462">
        <v>2</v>
      </c>
      <c r="M462">
        <v>2</v>
      </c>
      <c r="N462">
        <v>2</v>
      </c>
    </row>
    <row r="463" spans="1:14">
      <c r="A463">
        <v>60</v>
      </c>
      <c r="B463">
        <v>2</v>
      </c>
      <c r="C463">
        <v>751</v>
      </c>
      <c r="D463">
        <v>0.20748587250272651</v>
      </c>
      <c r="E463">
        <v>6</v>
      </c>
      <c r="F463">
        <v>0</v>
      </c>
      <c r="G463">
        <v>7.6891588367924299E-2</v>
      </c>
      <c r="H463">
        <v>9639.2104960000033</v>
      </c>
      <c r="I463">
        <v>55</v>
      </c>
      <c r="J463">
        <v>180</v>
      </c>
      <c r="K463">
        <v>1</v>
      </c>
      <c r="L463">
        <v>2</v>
      </c>
      <c r="M463">
        <v>2</v>
      </c>
      <c r="N463">
        <v>1</v>
      </c>
    </row>
    <row r="464" spans="1:14">
      <c r="A464">
        <v>61</v>
      </c>
      <c r="B464">
        <v>1</v>
      </c>
      <c r="C464">
        <v>2246</v>
      </c>
      <c r="D464">
        <v>0.2293430639516125</v>
      </c>
      <c r="E464">
        <v>14</v>
      </c>
      <c r="F464">
        <v>0</v>
      </c>
      <c r="G464">
        <v>0.15633696818342119</v>
      </c>
      <c r="H464">
        <v>8720.560218999979</v>
      </c>
      <c r="I464">
        <v>60</v>
      </c>
      <c r="J464">
        <v>180</v>
      </c>
      <c r="K464">
        <v>3</v>
      </c>
      <c r="L464">
        <v>2</v>
      </c>
      <c r="M464">
        <v>3</v>
      </c>
      <c r="N464">
        <v>6</v>
      </c>
    </row>
    <row r="465" spans="1:14">
      <c r="A465">
        <v>61</v>
      </c>
      <c r="B465">
        <v>2</v>
      </c>
      <c r="C465">
        <v>2595</v>
      </c>
      <c r="D465">
        <v>0.1846454503261149</v>
      </c>
      <c r="E465">
        <v>8</v>
      </c>
      <c r="F465">
        <v>0</v>
      </c>
      <c r="G465">
        <v>9.7561184121231201E-2</v>
      </c>
      <c r="H465">
        <v>10831.569347999985</v>
      </c>
      <c r="I465">
        <v>59</v>
      </c>
      <c r="J465">
        <v>180</v>
      </c>
      <c r="K465">
        <v>2</v>
      </c>
      <c r="L465">
        <v>2</v>
      </c>
      <c r="M465">
        <v>1</v>
      </c>
      <c r="N465">
        <v>3</v>
      </c>
    </row>
    <row r="466" spans="1:14">
      <c r="A466">
        <v>62</v>
      </c>
      <c r="B466">
        <v>1</v>
      </c>
      <c r="C466">
        <v>5562</v>
      </c>
      <c r="D466">
        <v>0.20886184090361234</v>
      </c>
      <c r="E466">
        <v>12</v>
      </c>
      <c r="F466">
        <v>0</v>
      </c>
      <c r="G466">
        <v>0.13685441304517304</v>
      </c>
      <c r="H466">
        <v>9575.7079959999974</v>
      </c>
      <c r="I466">
        <v>58</v>
      </c>
      <c r="J466">
        <v>180</v>
      </c>
      <c r="K466">
        <v>2</v>
      </c>
      <c r="L466">
        <v>3</v>
      </c>
      <c r="M466">
        <v>2</v>
      </c>
      <c r="N466">
        <v>5</v>
      </c>
    </row>
    <row r="467" spans="1:14">
      <c r="A467">
        <v>62</v>
      </c>
      <c r="B467">
        <v>2</v>
      </c>
      <c r="C467">
        <v>3168</v>
      </c>
      <c r="D467">
        <v>0.16677959584117882</v>
      </c>
      <c r="E467">
        <v>8</v>
      </c>
      <c r="F467">
        <v>0</v>
      </c>
      <c r="G467">
        <v>9.8167103662673061E-2</v>
      </c>
      <c r="H467">
        <v>11991.874605000025</v>
      </c>
      <c r="I467">
        <v>58</v>
      </c>
      <c r="J467">
        <v>180</v>
      </c>
      <c r="K467">
        <v>2</v>
      </c>
      <c r="L467">
        <v>1</v>
      </c>
      <c r="M467">
        <v>1</v>
      </c>
      <c r="N467">
        <v>4</v>
      </c>
    </row>
    <row r="468" spans="1:14">
      <c r="A468">
        <v>63</v>
      </c>
      <c r="B468">
        <v>1</v>
      </c>
      <c r="C468">
        <v>7652</v>
      </c>
      <c r="D468">
        <v>0.20944275755431019</v>
      </c>
      <c r="E468">
        <v>12</v>
      </c>
      <c r="F468">
        <v>0</v>
      </c>
      <c r="G468">
        <v>0.13683881598263783</v>
      </c>
      <c r="H468">
        <v>9549.1485279999906</v>
      </c>
      <c r="I468">
        <v>58</v>
      </c>
      <c r="J468">
        <v>180</v>
      </c>
      <c r="K468">
        <v>3</v>
      </c>
      <c r="L468">
        <v>2</v>
      </c>
      <c r="M468">
        <v>3</v>
      </c>
      <c r="N468">
        <v>4</v>
      </c>
    </row>
    <row r="469" spans="1:14">
      <c r="A469">
        <v>63</v>
      </c>
      <c r="B469">
        <v>2</v>
      </c>
      <c r="C469">
        <v>2071</v>
      </c>
      <c r="D469">
        <v>0.16531765447869606</v>
      </c>
      <c r="E469">
        <v>7</v>
      </c>
      <c r="F469">
        <v>0</v>
      </c>
      <c r="G469">
        <v>8.8220498510215822E-2</v>
      </c>
      <c r="H469">
        <v>12097.921461000002</v>
      </c>
      <c r="I469">
        <v>53</v>
      </c>
      <c r="J469">
        <v>180</v>
      </c>
      <c r="K469">
        <v>1</v>
      </c>
      <c r="L469">
        <v>1</v>
      </c>
      <c r="M469">
        <v>2</v>
      </c>
      <c r="N469">
        <v>3</v>
      </c>
    </row>
    <row r="470" spans="1:14">
      <c r="A470">
        <v>64</v>
      </c>
      <c r="B470">
        <v>1</v>
      </c>
      <c r="C470">
        <v>847</v>
      </c>
      <c r="D470">
        <v>0.23077457539300938</v>
      </c>
      <c r="E470">
        <v>16</v>
      </c>
      <c r="F470">
        <v>0</v>
      </c>
      <c r="G470">
        <v>0.17630311829572989</v>
      </c>
      <c r="H470">
        <v>8666.4659510000074</v>
      </c>
      <c r="I470">
        <v>57</v>
      </c>
      <c r="J470">
        <v>180</v>
      </c>
      <c r="K470">
        <v>3</v>
      </c>
      <c r="L470">
        <v>2</v>
      </c>
      <c r="M470">
        <v>6</v>
      </c>
      <c r="N470">
        <v>5</v>
      </c>
    </row>
    <row r="471" spans="1:14">
      <c r="A471">
        <v>64</v>
      </c>
      <c r="B471">
        <v>2</v>
      </c>
      <c r="C471">
        <v>619</v>
      </c>
      <c r="D471">
        <v>0.17576522257697896</v>
      </c>
      <c r="E471">
        <v>8</v>
      </c>
      <c r="F471">
        <v>0</v>
      </c>
      <c r="G471">
        <v>9.7852087925934472E-2</v>
      </c>
      <c r="H471">
        <v>11378.815278000007</v>
      </c>
      <c r="I471">
        <v>55</v>
      </c>
      <c r="J471">
        <v>180</v>
      </c>
      <c r="K471">
        <v>1</v>
      </c>
      <c r="L471">
        <v>2</v>
      </c>
      <c r="M471">
        <v>1</v>
      </c>
      <c r="N471">
        <v>4</v>
      </c>
    </row>
    <row r="472" spans="1:14">
      <c r="A472">
        <v>65</v>
      </c>
      <c r="B472">
        <v>1</v>
      </c>
      <c r="C472">
        <v>600</v>
      </c>
      <c r="D472">
        <v>0.21607257597969973</v>
      </c>
      <c r="E472">
        <v>14</v>
      </c>
      <c r="F472">
        <v>0</v>
      </c>
      <c r="G472">
        <v>0.15666480041854597</v>
      </c>
      <c r="H472">
        <v>9256.1491939999942</v>
      </c>
      <c r="I472">
        <v>58</v>
      </c>
      <c r="J472">
        <v>180</v>
      </c>
      <c r="K472">
        <v>2</v>
      </c>
      <c r="L472">
        <v>3</v>
      </c>
      <c r="M472">
        <v>3</v>
      </c>
      <c r="N472">
        <v>6</v>
      </c>
    </row>
    <row r="473" spans="1:14">
      <c r="A473">
        <v>65</v>
      </c>
      <c r="B473">
        <v>2</v>
      </c>
      <c r="C473">
        <v>3521</v>
      </c>
      <c r="D473">
        <v>0.17598049738936133</v>
      </c>
      <c r="E473">
        <v>8</v>
      </c>
      <c r="F473">
        <v>0</v>
      </c>
      <c r="G473">
        <v>9.7844805541283261E-2</v>
      </c>
      <c r="H473">
        <v>11364.895711000005</v>
      </c>
      <c r="I473">
        <v>60</v>
      </c>
      <c r="J473">
        <v>180</v>
      </c>
      <c r="K473">
        <v>2</v>
      </c>
      <c r="L473">
        <v>2</v>
      </c>
      <c r="M473">
        <v>2</v>
      </c>
      <c r="N473">
        <v>2</v>
      </c>
    </row>
    <row r="474" spans="1:14">
      <c r="A474">
        <v>66</v>
      </c>
      <c r="B474">
        <v>1</v>
      </c>
      <c r="C474">
        <v>1175</v>
      </c>
      <c r="D474">
        <v>0.22747524468319821</v>
      </c>
      <c r="E474">
        <v>22</v>
      </c>
      <c r="F474">
        <v>0</v>
      </c>
      <c r="G474">
        <v>0.23638156111458744</v>
      </c>
      <c r="H474">
        <v>8792.1655069999979</v>
      </c>
      <c r="I474">
        <v>53</v>
      </c>
      <c r="J474">
        <v>180</v>
      </c>
      <c r="K474">
        <v>1</v>
      </c>
      <c r="L474">
        <v>9</v>
      </c>
      <c r="M474">
        <v>4</v>
      </c>
      <c r="N474">
        <v>8</v>
      </c>
    </row>
    <row r="475" spans="1:14">
      <c r="A475">
        <v>66</v>
      </c>
      <c r="B475">
        <v>2</v>
      </c>
      <c r="C475">
        <v>7666</v>
      </c>
      <c r="D475">
        <v>0.1784074040059612</v>
      </c>
      <c r="E475">
        <v>9</v>
      </c>
      <c r="F475">
        <v>0</v>
      </c>
      <c r="G475">
        <v>0.10776352052126061</v>
      </c>
      <c r="H475">
        <v>11210.297079000002</v>
      </c>
      <c r="I475">
        <v>56</v>
      </c>
      <c r="J475">
        <v>180</v>
      </c>
      <c r="K475">
        <v>1</v>
      </c>
      <c r="L475">
        <v>1</v>
      </c>
      <c r="M475">
        <v>3</v>
      </c>
      <c r="N475">
        <v>4</v>
      </c>
    </row>
    <row r="476" spans="1:14">
      <c r="A476">
        <v>67</v>
      </c>
      <c r="B476">
        <v>1</v>
      </c>
      <c r="C476">
        <v>8326</v>
      </c>
      <c r="D476">
        <v>0.21064783446743557</v>
      </c>
      <c r="E476">
        <v>13</v>
      </c>
      <c r="F476">
        <v>0</v>
      </c>
      <c r="G476">
        <v>0.1468066439808032</v>
      </c>
      <c r="H476">
        <v>9494.5196329999944</v>
      </c>
      <c r="I476">
        <v>57</v>
      </c>
      <c r="J476">
        <v>180</v>
      </c>
      <c r="K476">
        <v>3</v>
      </c>
      <c r="L476">
        <v>2</v>
      </c>
      <c r="M476">
        <v>3</v>
      </c>
      <c r="N476">
        <v>5</v>
      </c>
    </row>
    <row r="477" spans="1:14">
      <c r="A477">
        <v>67</v>
      </c>
      <c r="B477">
        <v>2</v>
      </c>
      <c r="C477">
        <v>674</v>
      </c>
      <c r="D477">
        <v>0.16696825289257197</v>
      </c>
      <c r="E477">
        <v>8</v>
      </c>
      <c r="F477">
        <v>0</v>
      </c>
      <c r="G477">
        <v>9.816025876089611E-2</v>
      </c>
      <c r="H477">
        <v>11978.325012999974</v>
      </c>
      <c r="I477">
        <v>56</v>
      </c>
      <c r="J477">
        <v>180</v>
      </c>
      <c r="K477">
        <v>2</v>
      </c>
      <c r="L477">
        <v>1</v>
      </c>
      <c r="M477">
        <v>1</v>
      </c>
      <c r="N477">
        <v>4</v>
      </c>
    </row>
    <row r="478" spans="1:14">
      <c r="A478">
        <v>68</v>
      </c>
      <c r="B478">
        <v>1</v>
      </c>
      <c r="C478">
        <v>4467</v>
      </c>
      <c r="D478">
        <v>0.22436809629562396</v>
      </c>
      <c r="E478">
        <v>14</v>
      </c>
      <c r="F478">
        <v>0</v>
      </c>
      <c r="G478">
        <v>0.15645683439927688</v>
      </c>
      <c r="H478">
        <v>8913.9232940000111</v>
      </c>
      <c r="I478">
        <v>57</v>
      </c>
      <c r="J478">
        <v>180</v>
      </c>
      <c r="K478">
        <v>2</v>
      </c>
      <c r="L478">
        <v>3</v>
      </c>
      <c r="M478">
        <v>3</v>
      </c>
      <c r="N478">
        <v>6</v>
      </c>
    </row>
    <row r="479" spans="1:14">
      <c r="A479">
        <v>68</v>
      </c>
      <c r="B479">
        <v>2</v>
      </c>
      <c r="C479">
        <v>7287</v>
      </c>
      <c r="D479">
        <v>0.17436729311134985</v>
      </c>
      <c r="E479">
        <v>8</v>
      </c>
      <c r="F479">
        <v>0</v>
      </c>
      <c r="G479">
        <v>9.7899668644449281E-2</v>
      </c>
      <c r="H479">
        <v>11470.040994000019</v>
      </c>
      <c r="I479">
        <v>57</v>
      </c>
      <c r="J479">
        <v>180</v>
      </c>
      <c r="K479">
        <v>1</v>
      </c>
      <c r="L479">
        <v>2</v>
      </c>
      <c r="M479">
        <v>1</v>
      </c>
      <c r="N479">
        <v>4</v>
      </c>
    </row>
    <row r="480" spans="1:14">
      <c r="A480">
        <v>69</v>
      </c>
      <c r="B480">
        <v>1</v>
      </c>
      <c r="C480">
        <v>4520</v>
      </c>
      <c r="D480">
        <v>0.22321812272419897</v>
      </c>
      <c r="E480">
        <v>14</v>
      </c>
      <c r="F480">
        <v>0</v>
      </c>
      <c r="G480">
        <v>0.15648504674153238</v>
      </c>
      <c r="H480">
        <v>8959.8459820000135</v>
      </c>
      <c r="I480">
        <v>58</v>
      </c>
      <c r="J480">
        <v>180</v>
      </c>
      <c r="K480">
        <v>3</v>
      </c>
      <c r="L480">
        <v>2</v>
      </c>
      <c r="M480">
        <v>4</v>
      </c>
      <c r="N480">
        <v>5</v>
      </c>
    </row>
    <row r="481" spans="1:14">
      <c r="A481">
        <v>69</v>
      </c>
      <c r="B481">
        <v>2</v>
      </c>
      <c r="C481">
        <v>717</v>
      </c>
      <c r="D481">
        <v>0.17461103831937771</v>
      </c>
      <c r="E481">
        <v>7</v>
      </c>
      <c r="F481">
        <v>0</v>
      </c>
      <c r="G481">
        <v>8.7891335856696243E-2</v>
      </c>
      <c r="H481">
        <v>11454.02959200001</v>
      </c>
      <c r="I481">
        <v>57</v>
      </c>
      <c r="J481">
        <v>180</v>
      </c>
      <c r="K481">
        <v>1</v>
      </c>
      <c r="L481">
        <v>2</v>
      </c>
      <c r="M481">
        <v>2</v>
      </c>
      <c r="N481">
        <v>2</v>
      </c>
    </row>
    <row r="482" spans="1:14">
      <c r="A482">
        <v>70</v>
      </c>
      <c r="B482">
        <v>1</v>
      </c>
      <c r="C482">
        <v>3316</v>
      </c>
      <c r="D482">
        <v>0.23301571895076184</v>
      </c>
      <c r="E482">
        <v>16</v>
      </c>
      <c r="F482">
        <v>0</v>
      </c>
      <c r="G482">
        <v>0.17625068206494116</v>
      </c>
      <c r="H482">
        <v>8583.1119420000014</v>
      </c>
      <c r="I482">
        <v>59</v>
      </c>
      <c r="J482">
        <v>180</v>
      </c>
      <c r="K482">
        <v>3</v>
      </c>
      <c r="L482">
        <v>4</v>
      </c>
      <c r="M482">
        <v>3</v>
      </c>
      <c r="N482">
        <v>6</v>
      </c>
    </row>
    <row r="483" spans="1:14">
      <c r="A483">
        <v>70</v>
      </c>
      <c r="B483">
        <v>2</v>
      </c>
      <c r="C483">
        <v>4078</v>
      </c>
      <c r="D483">
        <v>0.18403991362976688</v>
      </c>
      <c r="E483">
        <v>9</v>
      </c>
      <c r="F483">
        <v>0</v>
      </c>
      <c r="G483">
        <v>0.1075804232448104</v>
      </c>
      <c r="H483">
        <v>10867.20788199999</v>
      </c>
      <c r="I483">
        <v>59</v>
      </c>
      <c r="J483">
        <v>180</v>
      </c>
      <c r="K483">
        <v>2</v>
      </c>
      <c r="L483">
        <v>3</v>
      </c>
      <c r="M483">
        <v>1</v>
      </c>
      <c r="N483">
        <v>3</v>
      </c>
    </row>
    <row r="484" spans="1:14">
      <c r="A484">
        <v>71</v>
      </c>
      <c r="B484">
        <v>1</v>
      </c>
      <c r="C484">
        <v>759</v>
      </c>
      <c r="D484">
        <v>0.22989020999789853</v>
      </c>
      <c r="E484">
        <v>7</v>
      </c>
      <c r="F484">
        <v>0</v>
      </c>
      <c r="G484">
        <v>8.6323997051953191E-2</v>
      </c>
      <c r="H484">
        <v>8699.8050070000045</v>
      </c>
      <c r="I484">
        <v>55</v>
      </c>
      <c r="J484">
        <v>180</v>
      </c>
      <c r="K484">
        <v>1</v>
      </c>
      <c r="L484">
        <v>2</v>
      </c>
      <c r="M484">
        <v>2</v>
      </c>
      <c r="N484">
        <v>2</v>
      </c>
    </row>
    <row r="485" spans="1:14">
      <c r="A485">
        <v>71</v>
      </c>
      <c r="B485">
        <v>2</v>
      </c>
      <c r="C485">
        <v>2353</v>
      </c>
      <c r="D485">
        <v>0.19778012759600211</v>
      </c>
      <c r="E485">
        <v>5</v>
      </c>
      <c r="F485">
        <v>0</v>
      </c>
      <c r="G485">
        <v>6.7163497157054775E-2</v>
      </c>
      <c r="H485">
        <v>10112.239405999997</v>
      </c>
      <c r="I485">
        <v>53</v>
      </c>
      <c r="J485">
        <v>180</v>
      </c>
      <c r="K485">
        <v>1</v>
      </c>
      <c r="L485">
        <v>1</v>
      </c>
      <c r="M485">
        <v>1</v>
      </c>
      <c r="N485">
        <v>2</v>
      </c>
    </row>
    <row r="486" spans="1:14">
      <c r="A486">
        <v>72</v>
      </c>
      <c r="B486">
        <v>1</v>
      </c>
      <c r="C486">
        <v>1389</v>
      </c>
      <c r="D486">
        <v>0.22886697933242026</v>
      </c>
      <c r="E486">
        <v>7</v>
      </c>
      <c r="F486">
        <v>0</v>
      </c>
      <c r="G486">
        <v>8.634828828511143E-2</v>
      </c>
      <c r="H486">
        <v>8738.7005580000205</v>
      </c>
      <c r="I486">
        <v>58</v>
      </c>
      <c r="J486">
        <v>180</v>
      </c>
      <c r="K486">
        <v>2</v>
      </c>
      <c r="L486">
        <v>1</v>
      </c>
      <c r="M486">
        <v>2</v>
      </c>
      <c r="N486">
        <v>2</v>
      </c>
    </row>
    <row r="487" spans="1:14">
      <c r="A487">
        <v>72</v>
      </c>
      <c r="B487">
        <v>2</v>
      </c>
      <c r="C487">
        <v>1782</v>
      </c>
      <c r="D487">
        <v>0.19986146979958963</v>
      </c>
      <c r="E487">
        <v>5</v>
      </c>
      <c r="F487">
        <v>0</v>
      </c>
      <c r="G487">
        <v>6.7103709346009094E-2</v>
      </c>
      <c r="H487">
        <v>10006.931311000028</v>
      </c>
      <c r="I487">
        <v>57</v>
      </c>
      <c r="J487">
        <v>180</v>
      </c>
      <c r="K487">
        <v>1</v>
      </c>
      <c r="L487">
        <v>1</v>
      </c>
      <c r="M487">
        <v>1</v>
      </c>
      <c r="N487">
        <v>2</v>
      </c>
    </row>
    <row r="488" spans="1:14">
      <c r="A488">
        <v>73</v>
      </c>
      <c r="B488">
        <v>1</v>
      </c>
      <c r="C488">
        <v>5468</v>
      </c>
      <c r="D488">
        <v>0.22870910980882733</v>
      </c>
      <c r="E488">
        <v>7</v>
      </c>
      <c r="F488">
        <v>0</v>
      </c>
      <c r="G488">
        <v>8.6352048961544664E-2</v>
      </c>
      <c r="H488">
        <v>8744.7325630000214</v>
      </c>
      <c r="I488">
        <v>56</v>
      </c>
      <c r="J488">
        <v>180</v>
      </c>
      <c r="K488">
        <v>1</v>
      </c>
      <c r="L488">
        <v>2</v>
      </c>
      <c r="M488">
        <v>2</v>
      </c>
      <c r="N488">
        <v>2</v>
      </c>
    </row>
    <row r="489" spans="1:14">
      <c r="A489">
        <v>73</v>
      </c>
      <c r="B489">
        <v>2</v>
      </c>
      <c r="C489">
        <v>3731</v>
      </c>
      <c r="D489">
        <v>0.19728840423107552</v>
      </c>
      <c r="E489">
        <v>5</v>
      </c>
      <c r="F489">
        <v>0</v>
      </c>
      <c r="G489">
        <v>6.7177744810686835E-2</v>
      </c>
      <c r="H489">
        <v>10137.443241000039</v>
      </c>
      <c r="I489">
        <v>56</v>
      </c>
      <c r="J489">
        <v>180</v>
      </c>
      <c r="K489">
        <v>1</v>
      </c>
      <c r="L489">
        <v>1</v>
      </c>
      <c r="M489">
        <v>1</v>
      </c>
      <c r="N489">
        <v>2</v>
      </c>
    </row>
    <row r="490" spans="1:14">
      <c r="A490">
        <v>74</v>
      </c>
      <c r="B490">
        <v>1</v>
      </c>
      <c r="C490">
        <v>1462</v>
      </c>
      <c r="D490">
        <v>0.23016745126648028</v>
      </c>
      <c r="E490">
        <v>7</v>
      </c>
      <c r="F490">
        <v>0</v>
      </c>
      <c r="G490">
        <v>8.6317440225700814E-2</v>
      </c>
      <c r="H490">
        <v>8689.3259190000153</v>
      </c>
      <c r="I490">
        <v>56</v>
      </c>
      <c r="J490">
        <v>180</v>
      </c>
      <c r="K490">
        <v>1</v>
      </c>
      <c r="L490">
        <v>2</v>
      </c>
      <c r="M490">
        <v>2</v>
      </c>
      <c r="N490">
        <v>2</v>
      </c>
    </row>
    <row r="491" spans="1:14">
      <c r="A491">
        <v>74</v>
      </c>
      <c r="B491">
        <v>2</v>
      </c>
      <c r="C491">
        <v>1012</v>
      </c>
      <c r="D491">
        <v>0.19793621698454861</v>
      </c>
      <c r="E491">
        <v>5</v>
      </c>
      <c r="F491">
        <v>0</v>
      </c>
      <c r="G491">
        <v>6.7158984349272088E-2</v>
      </c>
      <c r="H491">
        <v>10104.265053000003</v>
      </c>
      <c r="I491">
        <v>56</v>
      </c>
      <c r="J491">
        <v>180</v>
      </c>
      <c r="K491">
        <v>1</v>
      </c>
      <c r="L491">
        <v>1</v>
      </c>
      <c r="M491">
        <v>1</v>
      </c>
      <c r="N491">
        <v>2</v>
      </c>
    </row>
    <row r="492" spans="1:14">
      <c r="A492">
        <v>75</v>
      </c>
      <c r="B492">
        <v>1</v>
      </c>
      <c r="C492">
        <v>1170</v>
      </c>
      <c r="D492">
        <v>0.23315406864642521</v>
      </c>
      <c r="E492">
        <v>7</v>
      </c>
      <c r="F492">
        <v>0</v>
      </c>
      <c r="G492">
        <v>8.6247467135325065E-2</v>
      </c>
      <c r="H492">
        <v>8578.0188679999883</v>
      </c>
      <c r="I492">
        <v>55</v>
      </c>
      <c r="J492">
        <v>180</v>
      </c>
      <c r="K492">
        <v>1</v>
      </c>
      <c r="L492">
        <v>2</v>
      </c>
      <c r="M492">
        <v>2</v>
      </c>
      <c r="N492">
        <v>2</v>
      </c>
    </row>
    <row r="493" spans="1:14">
      <c r="A493">
        <v>75</v>
      </c>
      <c r="B493">
        <v>2</v>
      </c>
      <c r="C493">
        <v>1193</v>
      </c>
      <c r="D493">
        <v>0.1999626168488064</v>
      </c>
      <c r="E493">
        <v>5</v>
      </c>
      <c r="F493">
        <v>0</v>
      </c>
      <c r="G493">
        <v>6.7100825004369438E-2</v>
      </c>
      <c r="H493">
        <v>10001.869506999994</v>
      </c>
      <c r="I493">
        <v>55</v>
      </c>
      <c r="J493">
        <v>180</v>
      </c>
      <c r="K493">
        <v>1</v>
      </c>
      <c r="L493">
        <v>1</v>
      </c>
      <c r="M493">
        <v>1</v>
      </c>
      <c r="N493">
        <v>2</v>
      </c>
    </row>
    <row r="494" spans="1:14">
      <c r="A494">
        <v>76</v>
      </c>
      <c r="B494">
        <v>1</v>
      </c>
      <c r="C494">
        <v>2720</v>
      </c>
      <c r="D494">
        <v>0.22886862091015803</v>
      </c>
      <c r="E494">
        <v>7</v>
      </c>
      <c r="F494">
        <v>0</v>
      </c>
      <c r="G494">
        <v>8.6348249198567442E-2</v>
      </c>
      <c r="H494">
        <v>8738.6378790000072</v>
      </c>
      <c r="I494">
        <v>58</v>
      </c>
      <c r="J494">
        <v>180</v>
      </c>
      <c r="K494">
        <v>1</v>
      </c>
      <c r="L494">
        <v>2</v>
      </c>
      <c r="M494">
        <v>2</v>
      </c>
      <c r="N494">
        <v>2</v>
      </c>
    </row>
    <row r="495" spans="1:14">
      <c r="A495">
        <v>76</v>
      </c>
      <c r="B495">
        <v>2</v>
      </c>
      <c r="C495">
        <v>800</v>
      </c>
      <c r="D495">
        <v>0.19806233490572267</v>
      </c>
      <c r="E495">
        <v>5</v>
      </c>
      <c r="F495">
        <v>0</v>
      </c>
      <c r="G495">
        <v>6.7155341531593429E-2</v>
      </c>
      <c r="H495">
        <v>10097.831073999994</v>
      </c>
      <c r="I495">
        <v>54</v>
      </c>
      <c r="J495">
        <v>180</v>
      </c>
      <c r="K495">
        <v>1</v>
      </c>
      <c r="L495">
        <v>1</v>
      </c>
      <c r="M495">
        <v>1</v>
      </c>
      <c r="N495">
        <v>2</v>
      </c>
    </row>
    <row r="496" spans="1:14">
      <c r="A496">
        <v>77</v>
      </c>
      <c r="B496">
        <v>1</v>
      </c>
      <c r="C496">
        <v>8553</v>
      </c>
      <c r="D496">
        <v>0.22578917358074888</v>
      </c>
      <c r="E496">
        <v>7</v>
      </c>
      <c r="F496">
        <v>0</v>
      </c>
      <c r="G496">
        <v>8.6422236240266875E-2</v>
      </c>
      <c r="H496">
        <v>8857.8206310000114</v>
      </c>
      <c r="I496">
        <v>60</v>
      </c>
      <c r="J496">
        <v>180</v>
      </c>
      <c r="K496">
        <v>2</v>
      </c>
      <c r="L496">
        <v>1</v>
      </c>
      <c r="M496">
        <v>2</v>
      </c>
      <c r="N496">
        <v>2</v>
      </c>
    </row>
    <row r="497" spans="1:14">
      <c r="A497">
        <v>77</v>
      </c>
      <c r="B497">
        <v>2</v>
      </c>
      <c r="C497">
        <v>1225</v>
      </c>
      <c r="D497">
        <v>0.19900480051499173</v>
      </c>
      <c r="E497">
        <v>5</v>
      </c>
      <c r="F497">
        <v>0</v>
      </c>
      <c r="G497">
        <v>6.7128216707554159E-2</v>
      </c>
      <c r="H497">
        <v>10050.008818000011</v>
      </c>
      <c r="I497">
        <v>56</v>
      </c>
      <c r="J497">
        <v>180</v>
      </c>
      <c r="K497">
        <v>1</v>
      </c>
      <c r="L497">
        <v>1</v>
      </c>
      <c r="M497">
        <v>1</v>
      </c>
      <c r="N497">
        <v>2</v>
      </c>
    </row>
    <row r="498" spans="1:14">
      <c r="A498">
        <v>78</v>
      </c>
      <c r="B498">
        <v>1</v>
      </c>
      <c r="C498">
        <v>528</v>
      </c>
      <c r="D498">
        <v>0.2313261961417698</v>
      </c>
      <c r="E498">
        <v>7</v>
      </c>
      <c r="F498">
        <v>0</v>
      </c>
      <c r="G498">
        <v>8.6290149169151065E-2</v>
      </c>
      <c r="H498">
        <v>8645.7998849999967</v>
      </c>
      <c r="I498">
        <v>56</v>
      </c>
      <c r="J498">
        <v>180</v>
      </c>
      <c r="K498">
        <v>1</v>
      </c>
      <c r="L498">
        <v>2</v>
      </c>
      <c r="M498">
        <v>2</v>
      </c>
      <c r="N498">
        <v>2</v>
      </c>
    </row>
    <row r="499" spans="1:14">
      <c r="A499">
        <v>78</v>
      </c>
      <c r="B499">
        <v>2</v>
      </c>
      <c r="C499">
        <v>1515</v>
      </c>
      <c r="D499">
        <v>0.19913207996198365</v>
      </c>
      <c r="E499">
        <v>5</v>
      </c>
      <c r="F499">
        <v>0</v>
      </c>
      <c r="G499">
        <v>6.7124566643410682E-2</v>
      </c>
      <c r="H499">
        <v>10043.585144000004</v>
      </c>
      <c r="I499">
        <v>54</v>
      </c>
      <c r="J499">
        <v>180</v>
      </c>
      <c r="K499">
        <v>1</v>
      </c>
      <c r="L499">
        <v>1</v>
      </c>
      <c r="M499">
        <v>1</v>
      </c>
      <c r="N499">
        <v>2</v>
      </c>
    </row>
    <row r="500" spans="1:14">
      <c r="A500">
        <v>79</v>
      </c>
      <c r="B500">
        <v>1</v>
      </c>
      <c r="C500">
        <v>752</v>
      </c>
      <c r="D500">
        <v>0.22375961754539847</v>
      </c>
      <c r="E500">
        <v>7</v>
      </c>
      <c r="F500">
        <v>0</v>
      </c>
      <c r="G500">
        <v>8.647173814732044E-2</v>
      </c>
      <c r="H500">
        <v>8938.1632930000033</v>
      </c>
      <c r="I500">
        <v>55</v>
      </c>
      <c r="J500">
        <v>180</v>
      </c>
      <c r="K500">
        <v>1</v>
      </c>
      <c r="L500">
        <v>2</v>
      </c>
      <c r="M500">
        <v>1</v>
      </c>
      <c r="N500">
        <v>3</v>
      </c>
    </row>
    <row r="501" spans="1:14">
      <c r="A501">
        <v>79</v>
      </c>
      <c r="B501">
        <v>2</v>
      </c>
      <c r="C501">
        <v>1956</v>
      </c>
      <c r="D501">
        <v>0.19911811395747844</v>
      </c>
      <c r="E501">
        <v>5</v>
      </c>
      <c r="F501">
        <v>0</v>
      </c>
      <c r="G501">
        <v>6.7124967002405014E-2</v>
      </c>
      <c r="H501">
        <v>10044.289593999965</v>
      </c>
      <c r="I501">
        <v>57</v>
      </c>
      <c r="J501">
        <v>180</v>
      </c>
      <c r="K501">
        <v>1</v>
      </c>
      <c r="L501">
        <v>1</v>
      </c>
      <c r="M501">
        <v>1</v>
      </c>
      <c r="N501">
        <v>2</v>
      </c>
    </row>
    <row r="502" spans="1:14">
      <c r="A502">
        <v>80</v>
      </c>
      <c r="B502">
        <v>1</v>
      </c>
      <c r="C502">
        <v>1319</v>
      </c>
      <c r="D502">
        <v>0.22430734358579618</v>
      </c>
      <c r="E502">
        <v>7</v>
      </c>
      <c r="F502">
        <v>0</v>
      </c>
      <c r="G502">
        <v>8.6458320020179724E-2</v>
      </c>
      <c r="H502">
        <v>8916.3375929999911</v>
      </c>
      <c r="I502">
        <v>54</v>
      </c>
      <c r="J502">
        <v>180</v>
      </c>
      <c r="K502">
        <v>1</v>
      </c>
      <c r="L502">
        <v>2</v>
      </c>
      <c r="M502">
        <v>1</v>
      </c>
      <c r="N502">
        <v>3</v>
      </c>
    </row>
    <row r="503" spans="1:14">
      <c r="A503">
        <v>80</v>
      </c>
      <c r="B503">
        <v>2</v>
      </c>
      <c r="C503">
        <v>855</v>
      </c>
      <c r="D503">
        <v>0.19945357260451421</v>
      </c>
      <c r="E503">
        <v>5</v>
      </c>
      <c r="F503">
        <v>0</v>
      </c>
      <c r="G503">
        <v>6.7115360853871098E-2</v>
      </c>
      <c r="H503">
        <v>10027.396219999993</v>
      </c>
      <c r="I503">
        <v>54</v>
      </c>
      <c r="J503">
        <v>180</v>
      </c>
      <c r="K503">
        <v>1</v>
      </c>
      <c r="L503">
        <v>1</v>
      </c>
      <c r="M503">
        <v>1</v>
      </c>
      <c r="N503">
        <v>2</v>
      </c>
    </row>
    <row r="514" spans="1:14">
      <c r="A514">
        <v>1</v>
      </c>
      <c r="B514">
        <v>1</v>
      </c>
      <c r="C514">
        <v>2655</v>
      </c>
      <c r="D514">
        <v>0.38505223355706025</v>
      </c>
      <c r="E514">
        <v>62</v>
      </c>
      <c r="F514">
        <v>0</v>
      </c>
      <c r="G514">
        <v>0.6337454865653499</v>
      </c>
      <c r="H514">
        <v>5194.1005029999997</v>
      </c>
      <c r="I514">
        <v>56</v>
      </c>
      <c r="J514">
        <v>180</v>
      </c>
      <c r="K514">
        <v>14</v>
      </c>
      <c r="L514">
        <v>19</v>
      </c>
      <c r="M514">
        <v>16</v>
      </c>
      <c r="N514">
        <v>13</v>
      </c>
    </row>
    <row r="515" spans="1:14">
      <c r="A515">
        <v>1</v>
      </c>
      <c r="B515">
        <v>2</v>
      </c>
      <c r="C515">
        <v>3780</v>
      </c>
      <c r="D515">
        <v>0.32269706984001595</v>
      </c>
      <c r="E515">
        <v>28</v>
      </c>
      <c r="F515">
        <v>0</v>
      </c>
      <c r="G515">
        <v>0.29457924360602489</v>
      </c>
      <c r="H515">
        <v>6197.7631249999986</v>
      </c>
      <c r="I515">
        <v>56</v>
      </c>
      <c r="J515">
        <v>180</v>
      </c>
      <c r="K515">
        <v>6</v>
      </c>
      <c r="L515">
        <v>7</v>
      </c>
      <c r="M515">
        <v>7</v>
      </c>
      <c r="N515">
        <v>8</v>
      </c>
    </row>
    <row r="516" spans="1:14">
      <c r="A516">
        <v>2</v>
      </c>
      <c r="B516">
        <v>1</v>
      </c>
      <c r="C516">
        <v>2819</v>
      </c>
      <c r="D516">
        <v>0.37046326279863973</v>
      </c>
      <c r="E516">
        <v>40</v>
      </c>
      <c r="F516">
        <v>0</v>
      </c>
      <c r="G516">
        <v>0.4139236025406185</v>
      </c>
      <c r="H516">
        <v>5398.645967999998</v>
      </c>
      <c r="I516">
        <v>57</v>
      </c>
      <c r="J516">
        <v>180</v>
      </c>
      <c r="K516">
        <v>9</v>
      </c>
      <c r="L516">
        <v>11</v>
      </c>
      <c r="M516">
        <v>12</v>
      </c>
      <c r="N516">
        <v>8</v>
      </c>
    </row>
    <row r="517" spans="1:14">
      <c r="A517">
        <v>2</v>
      </c>
      <c r="B517">
        <v>2</v>
      </c>
      <c r="C517">
        <v>5724</v>
      </c>
      <c r="D517">
        <v>0.31474918404645735</v>
      </c>
      <c r="E517">
        <v>21</v>
      </c>
      <c r="F517">
        <v>0</v>
      </c>
      <c r="G517">
        <v>0.22470094081087377</v>
      </c>
      <c r="H517">
        <v>6354.2658770000098</v>
      </c>
      <c r="I517">
        <v>56</v>
      </c>
      <c r="J517">
        <v>180</v>
      </c>
      <c r="K517">
        <v>6</v>
      </c>
      <c r="L517">
        <v>6</v>
      </c>
      <c r="M517">
        <v>5</v>
      </c>
      <c r="N517">
        <v>4</v>
      </c>
    </row>
    <row r="518" spans="1:14">
      <c r="A518">
        <v>3</v>
      </c>
      <c r="B518">
        <v>1</v>
      </c>
      <c r="C518">
        <v>752</v>
      </c>
      <c r="D518">
        <v>0.40842982669910494</v>
      </c>
      <c r="E518">
        <v>68</v>
      </c>
      <c r="F518">
        <v>0</v>
      </c>
      <c r="G518">
        <v>0.69347806407328316</v>
      </c>
      <c r="H518">
        <v>4896.802019000007</v>
      </c>
      <c r="I518">
        <v>56</v>
      </c>
      <c r="J518">
        <v>180</v>
      </c>
      <c r="K518">
        <v>13</v>
      </c>
      <c r="L518">
        <v>16</v>
      </c>
      <c r="M518">
        <v>25</v>
      </c>
      <c r="N518">
        <v>14</v>
      </c>
    </row>
    <row r="519" spans="1:14">
      <c r="A519">
        <v>3</v>
      </c>
      <c r="B519">
        <v>2</v>
      </c>
      <c r="C519">
        <v>5390</v>
      </c>
      <c r="D519">
        <v>0.33854022898152847</v>
      </c>
      <c r="E519">
        <v>24</v>
      </c>
      <c r="F519">
        <v>0</v>
      </c>
      <c r="G519">
        <v>0.25434817193222409</v>
      </c>
      <c r="H519">
        <v>5907.7173960000027</v>
      </c>
      <c r="I519">
        <v>55</v>
      </c>
      <c r="J519">
        <v>180</v>
      </c>
      <c r="K519">
        <v>5</v>
      </c>
      <c r="L519">
        <v>5</v>
      </c>
      <c r="M519">
        <v>9</v>
      </c>
      <c r="N519">
        <v>5</v>
      </c>
    </row>
    <row r="520" spans="1:14">
      <c r="A520">
        <v>4</v>
      </c>
      <c r="B520">
        <v>1</v>
      </c>
      <c r="C520">
        <v>4700</v>
      </c>
      <c r="D520">
        <v>0.42019397633450578</v>
      </c>
      <c r="E520">
        <v>99</v>
      </c>
      <c r="F520">
        <v>0</v>
      </c>
      <c r="G520">
        <v>1.0033510900735669</v>
      </c>
      <c r="H520">
        <v>4759.7064990000017</v>
      </c>
      <c r="I520">
        <v>55</v>
      </c>
      <c r="J520">
        <v>180</v>
      </c>
      <c r="K520">
        <v>23</v>
      </c>
      <c r="L520">
        <v>28</v>
      </c>
      <c r="M520">
        <v>27</v>
      </c>
      <c r="N520">
        <v>21</v>
      </c>
    </row>
    <row r="521" spans="1:14">
      <c r="A521">
        <v>4</v>
      </c>
      <c r="B521">
        <v>2</v>
      </c>
      <c r="C521">
        <v>6226</v>
      </c>
      <c r="D521">
        <v>0.344838625323662</v>
      </c>
      <c r="E521">
        <v>29</v>
      </c>
      <c r="F521">
        <v>0</v>
      </c>
      <c r="G521">
        <v>0.3042602792995226</v>
      </c>
      <c r="H521">
        <v>5799.814328000004</v>
      </c>
      <c r="I521">
        <v>56</v>
      </c>
      <c r="J521">
        <v>180</v>
      </c>
      <c r="K521">
        <v>6</v>
      </c>
      <c r="L521">
        <v>9</v>
      </c>
      <c r="M521">
        <v>8</v>
      </c>
      <c r="N521">
        <v>6</v>
      </c>
    </row>
    <row r="522" spans="1:14">
      <c r="A522">
        <v>5</v>
      </c>
      <c r="B522">
        <v>1</v>
      </c>
      <c r="C522">
        <v>6666</v>
      </c>
      <c r="D522">
        <v>0.4007411566631594</v>
      </c>
      <c r="E522">
        <v>71</v>
      </c>
      <c r="F522">
        <v>0</v>
      </c>
      <c r="G522">
        <v>0.72356371588643298</v>
      </c>
      <c r="H522">
        <v>4990.7526760000046</v>
      </c>
      <c r="I522">
        <v>56</v>
      </c>
      <c r="J522">
        <v>180</v>
      </c>
      <c r="K522">
        <v>16</v>
      </c>
      <c r="L522">
        <v>18</v>
      </c>
      <c r="M522">
        <v>23</v>
      </c>
      <c r="N522">
        <v>14</v>
      </c>
    </row>
    <row r="523" spans="1:14">
      <c r="A523">
        <v>5</v>
      </c>
      <c r="B523">
        <v>2</v>
      </c>
      <c r="C523">
        <v>3067</v>
      </c>
      <c r="D523">
        <v>0.31377174999584739</v>
      </c>
      <c r="E523">
        <v>21</v>
      </c>
      <c r="F523">
        <v>0</v>
      </c>
      <c r="G523">
        <v>0.22471619001175366</v>
      </c>
      <c r="H523">
        <v>6374.0601250000009</v>
      </c>
      <c r="I523">
        <v>56</v>
      </c>
      <c r="J523">
        <v>180</v>
      </c>
      <c r="K523">
        <v>4</v>
      </c>
      <c r="L523">
        <v>7</v>
      </c>
      <c r="M523">
        <v>7</v>
      </c>
      <c r="N523">
        <v>3</v>
      </c>
    </row>
    <row r="524" spans="1:14">
      <c r="A524">
        <v>6</v>
      </c>
      <c r="B524">
        <v>1</v>
      </c>
      <c r="C524">
        <v>1920</v>
      </c>
      <c r="D524">
        <v>0.42622490653288558</v>
      </c>
      <c r="E524">
        <v>63</v>
      </c>
      <c r="F524">
        <v>0</v>
      </c>
      <c r="G524">
        <v>0.64328781965857207</v>
      </c>
      <c r="H524">
        <v>4692.3583519999884</v>
      </c>
      <c r="I524">
        <v>55</v>
      </c>
      <c r="J524">
        <v>180</v>
      </c>
      <c r="K524">
        <v>16</v>
      </c>
      <c r="L524">
        <v>16</v>
      </c>
      <c r="M524">
        <v>19</v>
      </c>
      <c r="N524">
        <v>12</v>
      </c>
    </row>
    <row r="525" spans="1:14">
      <c r="A525">
        <v>6</v>
      </c>
      <c r="B525">
        <v>2</v>
      </c>
      <c r="C525">
        <v>1215</v>
      </c>
      <c r="D525">
        <v>0.33355820098300237</v>
      </c>
      <c r="E525">
        <v>21</v>
      </c>
      <c r="F525">
        <v>0</v>
      </c>
      <c r="G525">
        <v>0.22441925400815838</v>
      </c>
      <c r="H525">
        <v>5995.9551110000048</v>
      </c>
      <c r="I525">
        <v>57</v>
      </c>
      <c r="J525">
        <v>180</v>
      </c>
      <c r="K525">
        <v>5</v>
      </c>
      <c r="L525">
        <v>6</v>
      </c>
      <c r="M525">
        <v>5</v>
      </c>
      <c r="N525">
        <v>5</v>
      </c>
    </row>
    <row r="526" spans="1:14">
      <c r="A526">
        <v>7</v>
      </c>
      <c r="B526">
        <v>1</v>
      </c>
      <c r="C526">
        <v>7261</v>
      </c>
      <c r="D526">
        <v>0.42582826264365981</v>
      </c>
      <c r="E526">
        <v>174</v>
      </c>
      <c r="F526">
        <v>0</v>
      </c>
      <c r="G526">
        <v>1.7532919440888017</v>
      </c>
      <c r="H526">
        <v>4696.729116999999</v>
      </c>
      <c r="I526">
        <v>55</v>
      </c>
      <c r="J526">
        <v>180</v>
      </c>
      <c r="K526">
        <v>30</v>
      </c>
      <c r="L526">
        <v>58</v>
      </c>
      <c r="M526">
        <v>59</v>
      </c>
      <c r="N526">
        <v>27</v>
      </c>
    </row>
    <row r="527" spans="1:14">
      <c r="A527">
        <v>7</v>
      </c>
      <c r="B527">
        <v>2</v>
      </c>
      <c r="C527">
        <v>1283</v>
      </c>
      <c r="D527">
        <v>0.33475648911900724</v>
      </c>
      <c r="E527">
        <v>32</v>
      </c>
      <c r="F527">
        <v>0</v>
      </c>
      <c r="G527">
        <v>0.334402028473406</v>
      </c>
      <c r="H527">
        <v>5974.4921009999962</v>
      </c>
      <c r="I527">
        <v>57</v>
      </c>
      <c r="J527">
        <v>180</v>
      </c>
      <c r="K527">
        <v>7</v>
      </c>
      <c r="L527">
        <v>6</v>
      </c>
      <c r="M527">
        <v>11</v>
      </c>
      <c r="N527">
        <v>8</v>
      </c>
    </row>
    <row r="528" spans="1:14">
      <c r="A528">
        <v>8</v>
      </c>
      <c r="B528">
        <v>1</v>
      </c>
      <c r="C528">
        <v>301</v>
      </c>
      <c r="D528">
        <v>0.39339155236936396</v>
      </c>
      <c r="E528">
        <v>39</v>
      </c>
      <c r="F528">
        <v>0</v>
      </c>
      <c r="G528">
        <v>0.40364766405124208</v>
      </c>
      <c r="H528">
        <v>5083.9932579999995</v>
      </c>
      <c r="I528">
        <v>56</v>
      </c>
      <c r="J528">
        <v>180</v>
      </c>
      <c r="K528">
        <v>11</v>
      </c>
      <c r="L528">
        <v>9</v>
      </c>
      <c r="M528">
        <v>11</v>
      </c>
      <c r="N528">
        <v>8</v>
      </c>
    </row>
    <row r="529" spans="1:14">
      <c r="A529">
        <v>8</v>
      </c>
      <c r="B529">
        <v>2</v>
      </c>
      <c r="C529">
        <v>3676</v>
      </c>
      <c r="D529">
        <v>0.32628415754176793</v>
      </c>
      <c r="E529">
        <v>20</v>
      </c>
      <c r="F529">
        <v>0</v>
      </c>
      <c r="G529">
        <v>0.21452561974242829</v>
      </c>
      <c r="H529">
        <v>6129.6264430000047</v>
      </c>
      <c r="I529">
        <v>56</v>
      </c>
      <c r="J529">
        <v>180</v>
      </c>
      <c r="K529">
        <v>5</v>
      </c>
      <c r="L529">
        <v>5</v>
      </c>
      <c r="M529">
        <v>5</v>
      </c>
      <c r="N529">
        <v>5</v>
      </c>
    </row>
    <row r="530" spans="1:14">
      <c r="A530">
        <v>9</v>
      </c>
      <c r="B530">
        <v>1</v>
      </c>
      <c r="C530">
        <v>7361</v>
      </c>
      <c r="D530">
        <v>0.40277458969103291</v>
      </c>
      <c r="E530">
        <v>75</v>
      </c>
      <c r="F530">
        <v>0</v>
      </c>
      <c r="G530">
        <v>0.76354085160630691</v>
      </c>
      <c r="H530">
        <v>4965.5565450000049</v>
      </c>
      <c r="I530">
        <v>54</v>
      </c>
      <c r="J530">
        <v>180</v>
      </c>
      <c r="K530">
        <v>14</v>
      </c>
      <c r="L530">
        <v>31</v>
      </c>
      <c r="M530">
        <v>17</v>
      </c>
      <c r="N530">
        <v>13</v>
      </c>
    </row>
    <row r="531" spans="1:14">
      <c r="A531">
        <v>9</v>
      </c>
      <c r="B531">
        <v>2</v>
      </c>
      <c r="C531">
        <v>1162</v>
      </c>
      <c r="D531">
        <v>0.3336380374460769</v>
      </c>
      <c r="E531">
        <v>27</v>
      </c>
      <c r="F531">
        <v>0</v>
      </c>
      <c r="G531">
        <v>0.2844181037855163</v>
      </c>
      <c r="H531">
        <v>5994.520335000002</v>
      </c>
      <c r="I531">
        <v>55</v>
      </c>
      <c r="J531">
        <v>180</v>
      </c>
      <c r="K531">
        <v>5</v>
      </c>
      <c r="L531">
        <v>7</v>
      </c>
      <c r="M531">
        <v>10</v>
      </c>
      <c r="N531">
        <v>5</v>
      </c>
    </row>
    <row r="532" spans="1:14">
      <c r="A532">
        <v>10</v>
      </c>
      <c r="B532">
        <v>1</v>
      </c>
      <c r="C532">
        <v>2310</v>
      </c>
      <c r="D532">
        <v>0.393097473934366</v>
      </c>
      <c r="E532">
        <v>62</v>
      </c>
      <c r="F532">
        <v>0</v>
      </c>
      <c r="G532">
        <v>0.63365106650104208</v>
      </c>
      <c r="H532">
        <v>5087.7966219999989</v>
      </c>
      <c r="I532">
        <v>56</v>
      </c>
      <c r="J532">
        <v>180</v>
      </c>
      <c r="K532">
        <v>12</v>
      </c>
      <c r="L532">
        <v>10</v>
      </c>
      <c r="M532">
        <v>26</v>
      </c>
      <c r="N532">
        <v>14</v>
      </c>
    </row>
    <row r="533" spans="1:14">
      <c r="A533">
        <v>10</v>
      </c>
      <c r="B533">
        <v>2</v>
      </c>
      <c r="C533">
        <v>7456</v>
      </c>
      <c r="D533">
        <v>0.31280494772732198</v>
      </c>
      <c r="E533">
        <v>21</v>
      </c>
      <c r="F533">
        <v>0</v>
      </c>
      <c r="G533">
        <v>0.22473133577918275</v>
      </c>
      <c r="H533">
        <v>6393.760759000008</v>
      </c>
      <c r="I533">
        <v>56</v>
      </c>
      <c r="J533">
        <v>180</v>
      </c>
      <c r="K533">
        <v>5</v>
      </c>
      <c r="L533">
        <v>5</v>
      </c>
      <c r="M533">
        <v>7</v>
      </c>
      <c r="N533">
        <v>4</v>
      </c>
    </row>
    <row r="534" spans="1:14">
      <c r="A534">
        <v>11</v>
      </c>
      <c r="B534">
        <v>1</v>
      </c>
      <c r="C534">
        <v>2206</v>
      </c>
      <c r="D534">
        <v>0.43886783965233866</v>
      </c>
      <c r="E534">
        <v>19</v>
      </c>
      <c r="F534">
        <v>0</v>
      </c>
      <c r="G534">
        <v>0.20315897558278428</v>
      </c>
      <c r="H534">
        <v>4557.1805889999951</v>
      </c>
      <c r="I534">
        <v>57</v>
      </c>
      <c r="J534">
        <v>180</v>
      </c>
      <c r="K534">
        <v>4</v>
      </c>
      <c r="L534">
        <v>5</v>
      </c>
      <c r="M534">
        <v>4</v>
      </c>
      <c r="N534">
        <v>6</v>
      </c>
    </row>
    <row r="535" spans="1:14">
      <c r="A535">
        <v>11</v>
      </c>
      <c r="B535">
        <v>2</v>
      </c>
      <c r="C535">
        <v>7030</v>
      </c>
      <c r="D535">
        <v>0.3558612791120202</v>
      </c>
      <c r="E535">
        <v>9</v>
      </c>
      <c r="F535">
        <v>0</v>
      </c>
      <c r="G535">
        <v>0.10411149701341411</v>
      </c>
      <c r="H535">
        <v>5620.1675129999958</v>
      </c>
      <c r="I535">
        <v>54</v>
      </c>
      <c r="J535">
        <v>180</v>
      </c>
      <c r="K535">
        <v>2</v>
      </c>
      <c r="L535">
        <v>3</v>
      </c>
      <c r="M535">
        <v>2</v>
      </c>
      <c r="N535">
        <v>2</v>
      </c>
    </row>
    <row r="536" spans="1:14">
      <c r="A536">
        <v>12</v>
      </c>
      <c r="B536">
        <v>1</v>
      </c>
      <c r="C536">
        <v>7115</v>
      </c>
      <c r="D536">
        <v>0.43520827218815811</v>
      </c>
      <c r="E536">
        <v>19</v>
      </c>
      <c r="F536">
        <v>0</v>
      </c>
      <c r="G536">
        <v>0.20319575629288728</v>
      </c>
      <c r="H536">
        <v>4595.5008849999967</v>
      </c>
      <c r="I536">
        <v>54</v>
      </c>
      <c r="J536">
        <v>180</v>
      </c>
      <c r="K536">
        <v>3</v>
      </c>
      <c r="L536">
        <v>5</v>
      </c>
      <c r="M536">
        <v>6</v>
      </c>
      <c r="N536">
        <v>5</v>
      </c>
    </row>
    <row r="537" spans="1:14">
      <c r="A537">
        <v>12</v>
      </c>
      <c r="B537">
        <v>2</v>
      </c>
      <c r="C537">
        <v>984</v>
      </c>
      <c r="D537">
        <v>0.35197239436021738</v>
      </c>
      <c r="E537">
        <v>9</v>
      </c>
      <c r="F537">
        <v>0</v>
      </c>
      <c r="G537">
        <v>0.10416327863548963</v>
      </c>
      <c r="H537">
        <v>5682.2638139999972</v>
      </c>
      <c r="I537">
        <v>57</v>
      </c>
      <c r="J537">
        <v>180</v>
      </c>
      <c r="K537">
        <v>2</v>
      </c>
      <c r="L537">
        <v>3</v>
      </c>
      <c r="M537">
        <v>2</v>
      </c>
      <c r="N537">
        <v>2</v>
      </c>
    </row>
    <row r="538" spans="1:14">
      <c r="A538">
        <v>13</v>
      </c>
      <c r="B538">
        <v>1</v>
      </c>
      <c r="C538">
        <v>1608</v>
      </c>
      <c r="D538">
        <v>0.43555677175201818</v>
      </c>
      <c r="E538">
        <v>17</v>
      </c>
      <c r="F538">
        <v>0</v>
      </c>
      <c r="G538">
        <v>0.18319223593865616</v>
      </c>
      <c r="H538">
        <v>4591.8239130000002</v>
      </c>
      <c r="I538">
        <v>56</v>
      </c>
      <c r="J538">
        <v>180</v>
      </c>
      <c r="K538">
        <v>4</v>
      </c>
      <c r="L538">
        <v>5</v>
      </c>
      <c r="M538">
        <v>4</v>
      </c>
      <c r="N538">
        <v>4</v>
      </c>
    </row>
    <row r="539" spans="1:14">
      <c r="A539">
        <v>13</v>
      </c>
      <c r="B539">
        <v>2</v>
      </c>
      <c r="C539">
        <v>2016</v>
      </c>
      <c r="D539">
        <v>0.35396976716007295</v>
      </c>
      <c r="E539">
        <v>9</v>
      </c>
      <c r="F539">
        <v>0</v>
      </c>
      <c r="G539">
        <v>0.1041365882909658</v>
      </c>
      <c r="H539">
        <v>5650.2000610000005</v>
      </c>
      <c r="I539">
        <v>56</v>
      </c>
      <c r="J539">
        <v>180</v>
      </c>
      <c r="K539">
        <v>2</v>
      </c>
      <c r="L539">
        <v>3</v>
      </c>
      <c r="M539">
        <v>2</v>
      </c>
      <c r="N539">
        <v>2</v>
      </c>
    </row>
    <row r="540" spans="1:14">
      <c r="A540">
        <v>14</v>
      </c>
      <c r="B540">
        <v>1</v>
      </c>
      <c r="C540">
        <v>3561</v>
      </c>
      <c r="D540">
        <v>0.4271842270368012</v>
      </c>
      <c r="E540">
        <v>16</v>
      </c>
      <c r="F540">
        <v>0</v>
      </c>
      <c r="G540">
        <v>0.17327786545842258</v>
      </c>
      <c r="H540">
        <v>4681.8208009999944</v>
      </c>
      <c r="I540">
        <v>55</v>
      </c>
      <c r="J540">
        <v>180</v>
      </c>
      <c r="K540">
        <v>4</v>
      </c>
      <c r="L540">
        <v>4</v>
      </c>
      <c r="M540">
        <v>4</v>
      </c>
      <c r="N540">
        <v>4</v>
      </c>
    </row>
    <row r="541" spans="1:14">
      <c r="A541">
        <v>14</v>
      </c>
      <c r="B541">
        <v>2</v>
      </c>
      <c r="C541">
        <v>1685</v>
      </c>
      <c r="D541">
        <v>0.33591993192555702</v>
      </c>
      <c r="E541">
        <v>8</v>
      </c>
      <c r="F541">
        <v>0</v>
      </c>
      <c r="G541">
        <v>9.4385382325911704E-2</v>
      </c>
      <c r="H541">
        <v>5953.7997300000006</v>
      </c>
      <c r="I541">
        <v>55</v>
      </c>
      <c r="J541">
        <v>180</v>
      </c>
      <c r="K541">
        <v>2</v>
      </c>
      <c r="L541">
        <v>2</v>
      </c>
      <c r="M541">
        <v>2</v>
      </c>
      <c r="N541">
        <v>2</v>
      </c>
    </row>
    <row r="542" spans="1:14">
      <c r="A542">
        <v>15</v>
      </c>
      <c r="B542">
        <v>1</v>
      </c>
      <c r="C542">
        <v>7858</v>
      </c>
      <c r="D542">
        <v>0.44332317383876069</v>
      </c>
      <c r="E542">
        <v>19</v>
      </c>
      <c r="F542">
        <v>0</v>
      </c>
      <c r="G542">
        <v>0.2031147451425101</v>
      </c>
      <c r="H542">
        <v>4511.3815790000008</v>
      </c>
      <c r="I542">
        <v>57</v>
      </c>
      <c r="J542">
        <v>180</v>
      </c>
      <c r="K542">
        <v>4</v>
      </c>
      <c r="L542">
        <v>6</v>
      </c>
      <c r="M542">
        <v>4</v>
      </c>
      <c r="N542">
        <v>5</v>
      </c>
    </row>
    <row r="543" spans="1:14">
      <c r="A543">
        <v>15</v>
      </c>
      <c r="B543">
        <v>2</v>
      </c>
      <c r="C543">
        <v>2114</v>
      </c>
      <c r="D543">
        <v>0.3538417704025863</v>
      </c>
      <c r="E543">
        <v>9</v>
      </c>
      <c r="F543">
        <v>0</v>
      </c>
      <c r="G543">
        <v>0.10413829264912784</v>
      </c>
      <c r="H543">
        <v>5652.243933000007</v>
      </c>
      <c r="I543">
        <v>57</v>
      </c>
      <c r="J543">
        <v>180</v>
      </c>
      <c r="K543">
        <v>2</v>
      </c>
      <c r="L543">
        <v>3</v>
      </c>
      <c r="M543">
        <v>2</v>
      </c>
      <c r="N543">
        <v>2</v>
      </c>
    </row>
    <row r="544" spans="1:14">
      <c r="A544">
        <v>16</v>
      </c>
      <c r="B544">
        <v>1</v>
      </c>
      <c r="C544">
        <v>853</v>
      </c>
      <c r="D544">
        <v>0.43485774596942706</v>
      </c>
      <c r="E544">
        <v>23</v>
      </c>
      <c r="F544">
        <v>0</v>
      </c>
      <c r="G544">
        <v>0.2431993009128155</v>
      </c>
      <c r="H544">
        <v>4599.2051849999962</v>
      </c>
      <c r="I544">
        <v>56</v>
      </c>
      <c r="J544">
        <v>180</v>
      </c>
      <c r="K544">
        <v>4</v>
      </c>
      <c r="L544">
        <v>7</v>
      </c>
      <c r="M544">
        <v>5</v>
      </c>
      <c r="N544">
        <v>7</v>
      </c>
    </row>
    <row r="545" spans="1:14">
      <c r="A545">
        <v>16</v>
      </c>
      <c r="B545">
        <v>2</v>
      </c>
      <c r="C545">
        <v>2156</v>
      </c>
      <c r="D545">
        <v>0.34559482614575282</v>
      </c>
      <c r="E545">
        <v>9</v>
      </c>
      <c r="F545">
        <v>0</v>
      </c>
      <c r="G545">
        <v>0.1042498706659032</v>
      </c>
      <c r="H545">
        <v>5787.1236739999995</v>
      </c>
      <c r="I545">
        <v>55</v>
      </c>
      <c r="J545">
        <v>180</v>
      </c>
      <c r="K545">
        <v>2</v>
      </c>
      <c r="L545">
        <v>2</v>
      </c>
      <c r="M545">
        <v>3</v>
      </c>
      <c r="N545">
        <v>2</v>
      </c>
    </row>
    <row r="546" spans="1:14">
      <c r="A546">
        <v>17</v>
      </c>
      <c r="B546">
        <v>1</v>
      </c>
      <c r="C546">
        <v>8610</v>
      </c>
      <c r="D546">
        <v>0.4278590739885299</v>
      </c>
      <c r="E546">
        <v>17</v>
      </c>
      <c r="F546">
        <v>0</v>
      </c>
      <c r="G546">
        <v>0.18327088088277754</v>
      </c>
      <c r="H546">
        <v>4674.4363309999972</v>
      </c>
      <c r="I546">
        <v>57</v>
      </c>
      <c r="J546">
        <v>180</v>
      </c>
      <c r="K546">
        <v>3</v>
      </c>
      <c r="L546">
        <v>5</v>
      </c>
      <c r="M546">
        <v>5</v>
      </c>
      <c r="N546">
        <v>4</v>
      </c>
    </row>
    <row r="547" spans="1:14">
      <c r="A547">
        <v>17</v>
      </c>
      <c r="B547">
        <v>2</v>
      </c>
      <c r="C547">
        <v>758</v>
      </c>
      <c r="D547">
        <v>0.33975999384613115</v>
      </c>
      <c r="E547">
        <v>8</v>
      </c>
      <c r="F547">
        <v>0</v>
      </c>
      <c r="G547">
        <v>9.4330980991583699E-2</v>
      </c>
      <c r="H547">
        <v>5886.5082299999985</v>
      </c>
      <c r="I547">
        <v>57</v>
      </c>
      <c r="J547">
        <v>180</v>
      </c>
      <c r="K547">
        <v>2</v>
      </c>
      <c r="L547">
        <v>2</v>
      </c>
      <c r="M547">
        <v>2</v>
      </c>
      <c r="N547">
        <v>2</v>
      </c>
    </row>
    <row r="548" spans="1:14">
      <c r="A548">
        <v>18</v>
      </c>
      <c r="B548">
        <v>1</v>
      </c>
      <c r="C548">
        <v>2308</v>
      </c>
      <c r="D548">
        <v>0.43766999203701956</v>
      </c>
      <c r="E548">
        <v>19</v>
      </c>
      <c r="F548">
        <v>0</v>
      </c>
      <c r="G548">
        <v>0.20317096946682853</v>
      </c>
      <c r="H548">
        <v>4569.6530179999945</v>
      </c>
      <c r="I548">
        <v>56</v>
      </c>
      <c r="J548">
        <v>180</v>
      </c>
      <c r="K548">
        <v>5</v>
      </c>
      <c r="L548">
        <v>5</v>
      </c>
      <c r="M548">
        <v>5</v>
      </c>
      <c r="N548">
        <v>4</v>
      </c>
    </row>
    <row r="549" spans="1:14">
      <c r="A549">
        <v>18</v>
      </c>
      <c r="B549">
        <v>2</v>
      </c>
      <c r="C549">
        <v>690</v>
      </c>
      <c r="D549">
        <v>0.34792737787411471</v>
      </c>
      <c r="E549">
        <v>9</v>
      </c>
      <c r="F549">
        <v>0</v>
      </c>
      <c r="G549">
        <v>0.10421795488974762</v>
      </c>
      <c r="H549">
        <v>5748.3260219999984</v>
      </c>
      <c r="I549">
        <v>56</v>
      </c>
      <c r="J549">
        <v>180</v>
      </c>
      <c r="K549">
        <v>2</v>
      </c>
      <c r="L549">
        <v>3</v>
      </c>
      <c r="M549">
        <v>2</v>
      </c>
      <c r="N549">
        <v>2</v>
      </c>
    </row>
    <row r="550" spans="1:14">
      <c r="A550">
        <v>19</v>
      </c>
      <c r="B550">
        <v>1</v>
      </c>
      <c r="C550">
        <v>1252</v>
      </c>
      <c r="D550">
        <v>0.43618421317713918</v>
      </c>
      <c r="E550">
        <v>17</v>
      </c>
      <c r="F550">
        <v>0</v>
      </c>
      <c r="G550">
        <v>0.18318590732246304</v>
      </c>
      <c r="H550">
        <v>4585.218675000001</v>
      </c>
      <c r="I550">
        <v>56</v>
      </c>
      <c r="J550">
        <v>180</v>
      </c>
      <c r="K550">
        <v>4</v>
      </c>
      <c r="L550">
        <v>4</v>
      </c>
      <c r="M550">
        <v>5</v>
      </c>
      <c r="N550">
        <v>4</v>
      </c>
    </row>
    <row r="551" spans="1:14">
      <c r="A551">
        <v>19</v>
      </c>
      <c r="B551">
        <v>2</v>
      </c>
      <c r="C551">
        <v>2989</v>
      </c>
      <c r="D551">
        <v>0.35564741526805449</v>
      </c>
      <c r="E551">
        <v>9</v>
      </c>
      <c r="F551">
        <v>0</v>
      </c>
      <c r="G551">
        <v>0.10411432503365306</v>
      </c>
      <c r="H551">
        <v>5623.5471260000104</v>
      </c>
      <c r="I551">
        <v>56</v>
      </c>
      <c r="J551">
        <v>180</v>
      </c>
      <c r="K551">
        <v>2</v>
      </c>
      <c r="L551">
        <v>2</v>
      </c>
      <c r="M551">
        <v>3</v>
      </c>
      <c r="N551">
        <v>2</v>
      </c>
    </row>
    <row r="552" spans="1:14">
      <c r="A552">
        <v>20</v>
      </c>
      <c r="B552">
        <v>1</v>
      </c>
      <c r="C552">
        <v>345</v>
      </c>
      <c r="D552">
        <v>0.43482913692575192</v>
      </c>
      <c r="E552">
        <v>20</v>
      </c>
      <c r="F552">
        <v>0</v>
      </c>
      <c r="G552">
        <v>0.21319959038367725</v>
      </c>
      <c r="H552">
        <v>4599.5077840000049</v>
      </c>
      <c r="I552">
        <v>55</v>
      </c>
      <c r="J552">
        <v>180</v>
      </c>
      <c r="K552">
        <v>3</v>
      </c>
      <c r="L552">
        <v>7</v>
      </c>
      <c r="M552">
        <v>5</v>
      </c>
      <c r="N552">
        <v>5</v>
      </c>
    </row>
    <row r="553" spans="1:14">
      <c r="A553">
        <v>20</v>
      </c>
      <c r="B553">
        <v>2</v>
      </c>
      <c r="C553">
        <v>508</v>
      </c>
      <c r="D553">
        <v>0.35264151757781903</v>
      </c>
      <c r="E553">
        <v>9</v>
      </c>
      <c r="F553">
        <v>0</v>
      </c>
      <c r="G553">
        <v>0.10415431487816171</v>
      </c>
      <c r="H553">
        <v>5671.4819449999977</v>
      </c>
      <c r="I553">
        <v>54</v>
      </c>
      <c r="J553">
        <v>180</v>
      </c>
      <c r="K553">
        <v>2</v>
      </c>
      <c r="L553">
        <v>2</v>
      </c>
      <c r="M553">
        <v>3</v>
      </c>
      <c r="N553">
        <v>2</v>
      </c>
    </row>
    <row r="554" spans="1:14">
      <c r="A554">
        <v>21</v>
      </c>
      <c r="B554">
        <v>1</v>
      </c>
      <c r="C554">
        <v>7728</v>
      </c>
      <c r="D554">
        <v>0.23612777963507961</v>
      </c>
      <c r="E554">
        <v>15</v>
      </c>
      <c r="F554">
        <v>0</v>
      </c>
      <c r="G554">
        <v>0.16617897381842264</v>
      </c>
      <c r="H554">
        <v>8469.9902869999969</v>
      </c>
      <c r="I554">
        <v>54</v>
      </c>
      <c r="J554">
        <v>180</v>
      </c>
      <c r="K554">
        <v>6</v>
      </c>
      <c r="L554">
        <v>4</v>
      </c>
      <c r="M554">
        <v>3</v>
      </c>
      <c r="N554">
        <v>2</v>
      </c>
    </row>
    <row r="555" spans="1:14">
      <c r="A555">
        <v>21</v>
      </c>
      <c r="B555">
        <v>2</v>
      </c>
      <c r="C555">
        <v>615</v>
      </c>
      <c r="D555">
        <v>0.18209840079691178</v>
      </c>
      <c r="E555">
        <v>8</v>
      </c>
      <c r="F555">
        <v>0</v>
      </c>
      <c r="G555">
        <v>9.7642682669012493E-2</v>
      </c>
      <c r="H555">
        <v>10983.072840000021</v>
      </c>
      <c r="I555">
        <v>57</v>
      </c>
      <c r="J555">
        <v>180</v>
      </c>
      <c r="K555">
        <v>3</v>
      </c>
      <c r="L555">
        <v>3</v>
      </c>
      <c r="M555">
        <v>1</v>
      </c>
      <c r="N555">
        <v>1</v>
      </c>
    </row>
    <row r="556" spans="1:14">
      <c r="A556">
        <v>22</v>
      </c>
      <c r="B556">
        <v>1</v>
      </c>
      <c r="C556">
        <v>806</v>
      </c>
      <c r="D556">
        <v>0.20996367800015892</v>
      </c>
      <c r="E556">
        <v>13</v>
      </c>
      <c r="F556">
        <v>0</v>
      </c>
      <c r="G556">
        <v>0.14682487873435085</v>
      </c>
      <c r="H556">
        <v>9525.457065000006</v>
      </c>
      <c r="I556">
        <v>54</v>
      </c>
      <c r="J556">
        <v>180</v>
      </c>
      <c r="K556">
        <v>6</v>
      </c>
      <c r="L556">
        <v>3</v>
      </c>
      <c r="M556">
        <v>2</v>
      </c>
      <c r="N556">
        <v>2</v>
      </c>
    </row>
    <row r="557" spans="1:14">
      <c r="A557">
        <v>22</v>
      </c>
      <c r="B557">
        <v>2</v>
      </c>
      <c r="C557">
        <v>343</v>
      </c>
      <c r="D557">
        <v>0.1734209530189029</v>
      </c>
      <c r="E557">
        <v>8</v>
      </c>
      <c r="F557">
        <v>0</v>
      </c>
      <c r="G557">
        <v>9.7932168476190407E-2</v>
      </c>
      <c r="H557">
        <v>11532.631814000006</v>
      </c>
      <c r="I557">
        <v>52</v>
      </c>
      <c r="J557">
        <v>180</v>
      </c>
      <c r="K557">
        <v>3</v>
      </c>
      <c r="L557">
        <v>1</v>
      </c>
      <c r="M557">
        <v>2</v>
      </c>
      <c r="N557">
        <v>2</v>
      </c>
    </row>
    <row r="558" spans="1:14">
      <c r="A558">
        <v>23</v>
      </c>
      <c r="B558">
        <v>1</v>
      </c>
      <c r="C558">
        <v>4807</v>
      </c>
      <c r="D558">
        <v>0.230605536573252</v>
      </c>
      <c r="E558">
        <v>15</v>
      </c>
      <c r="F558">
        <v>0</v>
      </c>
      <c r="G558">
        <v>0.16630710083494946</v>
      </c>
      <c r="H558">
        <v>8672.818657000018</v>
      </c>
      <c r="I558">
        <v>53</v>
      </c>
      <c r="J558">
        <v>180</v>
      </c>
      <c r="K558">
        <v>6</v>
      </c>
      <c r="L558">
        <v>3</v>
      </c>
      <c r="M558">
        <v>3</v>
      </c>
      <c r="N558">
        <v>3</v>
      </c>
    </row>
    <row r="559" spans="1:14">
      <c r="A559">
        <v>23</v>
      </c>
      <c r="B559">
        <v>2</v>
      </c>
      <c r="C559">
        <v>761</v>
      </c>
      <c r="D559">
        <v>0.18734886333009063</v>
      </c>
      <c r="E559">
        <v>8</v>
      </c>
      <c r="F559">
        <v>0</v>
      </c>
      <c r="G559">
        <v>9.7476306220467143E-2</v>
      </c>
      <c r="H559">
        <v>10675.271600000011</v>
      </c>
      <c r="I559">
        <v>57</v>
      </c>
      <c r="J559">
        <v>180</v>
      </c>
      <c r="K559">
        <v>3</v>
      </c>
      <c r="L559">
        <v>2</v>
      </c>
      <c r="M559">
        <v>2</v>
      </c>
      <c r="N559">
        <v>1</v>
      </c>
    </row>
    <row r="560" spans="1:14">
      <c r="A560">
        <v>24</v>
      </c>
      <c r="B560">
        <v>1</v>
      </c>
      <c r="C560">
        <v>4947</v>
      </c>
      <c r="D560">
        <v>0.23036392003573639</v>
      </c>
      <c r="E560">
        <v>17</v>
      </c>
      <c r="F560">
        <v>0</v>
      </c>
      <c r="G560">
        <v>0.18631280006153758</v>
      </c>
      <c r="H560">
        <v>8681.9151179999881</v>
      </c>
      <c r="I560">
        <v>54</v>
      </c>
      <c r="J560">
        <v>180</v>
      </c>
      <c r="K560">
        <v>8</v>
      </c>
      <c r="L560">
        <v>3</v>
      </c>
      <c r="M560">
        <v>4</v>
      </c>
      <c r="N560">
        <v>2</v>
      </c>
    </row>
    <row r="561" spans="1:14">
      <c r="A561">
        <v>24</v>
      </c>
      <c r="B561">
        <v>2</v>
      </c>
      <c r="C561">
        <v>216</v>
      </c>
      <c r="D561">
        <v>0.18093441313813799</v>
      </c>
      <c r="E561">
        <v>8</v>
      </c>
      <c r="F561">
        <v>0</v>
      </c>
      <c r="G561">
        <v>9.7680434810119593E-2</v>
      </c>
      <c r="H561">
        <v>11053.729168000009</v>
      </c>
      <c r="I561">
        <v>57</v>
      </c>
      <c r="J561">
        <v>180</v>
      </c>
      <c r="K561">
        <v>3</v>
      </c>
      <c r="L561">
        <v>2</v>
      </c>
      <c r="M561">
        <v>2</v>
      </c>
      <c r="N561">
        <v>1</v>
      </c>
    </row>
    <row r="562" spans="1:14">
      <c r="A562">
        <v>25</v>
      </c>
      <c r="B562">
        <v>1</v>
      </c>
      <c r="C562">
        <v>71</v>
      </c>
      <c r="D562">
        <v>0.20186259981402335</v>
      </c>
      <c r="E562">
        <v>14</v>
      </c>
      <c r="F562">
        <v>0</v>
      </c>
      <c r="G562">
        <v>0.157047003326651</v>
      </c>
      <c r="H562">
        <v>9907.7293259999933</v>
      </c>
      <c r="I562">
        <v>57</v>
      </c>
      <c r="J562">
        <v>180</v>
      </c>
      <c r="K562">
        <v>6</v>
      </c>
      <c r="L562">
        <v>4</v>
      </c>
      <c r="M562">
        <v>3</v>
      </c>
      <c r="N562">
        <v>1</v>
      </c>
    </row>
    <row r="563" spans="1:14">
      <c r="A563">
        <v>25</v>
      </c>
      <c r="B563">
        <v>2</v>
      </c>
      <c r="C563">
        <v>403</v>
      </c>
      <c r="D563">
        <v>0.16162244925838404</v>
      </c>
      <c r="E563">
        <v>7</v>
      </c>
      <c r="F563">
        <v>0</v>
      </c>
      <c r="G563">
        <v>8.8358313082796791E-2</v>
      </c>
      <c r="H563">
        <v>12374.518571999995</v>
      </c>
      <c r="I563">
        <v>56</v>
      </c>
      <c r="J563">
        <v>180</v>
      </c>
      <c r="K563">
        <v>3</v>
      </c>
      <c r="L563">
        <v>1</v>
      </c>
      <c r="M563">
        <v>2</v>
      </c>
      <c r="N563">
        <v>1</v>
      </c>
    </row>
    <row r="564" spans="1:14">
      <c r="A564">
        <v>26</v>
      </c>
      <c r="B564">
        <v>1</v>
      </c>
      <c r="C564">
        <v>5468</v>
      </c>
      <c r="D564">
        <v>0.20354688596780734</v>
      </c>
      <c r="E564">
        <v>12</v>
      </c>
      <c r="F564">
        <v>0</v>
      </c>
      <c r="G564">
        <v>0.13699985351488542</v>
      </c>
      <c r="H564">
        <v>9825.7459970000073</v>
      </c>
      <c r="I564">
        <v>54</v>
      </c>
      <c r="J564">
        <v>180</v>
      </c>
      <c r="K564">
        <v>5</v>
      </c>
      <c r="L564">
        <v>2</v>
      </c>
      <c r="M564">
        <v>3</v>
      </c>
      <c r="N564">
        <v>2</v>
      </c>
    </row>
    <row r="565" spans="1:14">
      <c r="A565">
        <v>26</v>
      </c>
      <c r="B565">
        <v>2</v>
      </c>
      <c r="C565">
        <v>349</v>
      </c>
      <c r="D565">
        <v>0.15881804383326095</v>
      </c>
      <c r="E565">
        <v>7</v>
      </c>
      <c r="F565">
        <v>0</v>
      </c>
      <c r="G565">
        <v>8.8465740119967454E-2</v>
      </c>
      <c r="H565">
        <v>12593.027540999998</v>
      </c>
      <c r="I565">
        <v>54</v>
      </c>
      <c r="J565">
        <v>180</v>
      </c>
      <c r="K565">
        <v>3</v>
      </c>
      <c r="L565">
        <v>1</v>
      </c>
      <c r="M565">
        <v>1</v>
      </c>
      <c r="N565">
        <v>2</v>
      </c>
    </row>
    <row r="566" spans="1:14">
      <c r="A566">
        <v>27</v>
      </c>
      <c r="B566">
        <v>1</v>
      </c>
      <c r="C566">
        <v>6698</v>
      </c>
      <c r="D566">
        <v>0.21483914315641833</v>
      </c>
      <c r="E566">
        <v>16</v>
      </c>
      <c r="F566">
        <v>0</v>
      </c>
      <c r="G566">
        <v>0.17669663152087559</v>
      </c>
      <c r="H566">
        <v>9309.2905259999861</v>
      </c>
      <c r="I566">
        <v>55</v>
      </c>
      <c r="J566">
        <v>180</v>
      </c>
      <c r="K566">
        <v>6</v>
      </c>
      <c r="L566">
        <v>6</v>
      </c>
      <c r="M566">
        <v>1</v>
      </c>
      <c r="N566">
        <v>3</v>
      </c>
    </row>
    <row r="567" spans="1:14">
      <c r="A567">
        <v>27</v>
      </c>
      <c r="B567">
        <v>2</v>
      </c>
      <c r="C567">
        <v>209</v>
      </c>
      <c r="D567">
        <v>0.16833246783694028</v>
      </c>
      <c r="E567">
        <v>7</v>
      </c>
      <c r="F567">
        <v>0</v>
      </c>
      <c r="G567">
        <v>8.8111066971497468E-2</v>
      </c>
      <c r="H567">
        <v>11881.249207000003</v>
      </c>
      <c r="I567">
        <v>58</v>
      </c>
      <c r="J567">
        <v>180</v>
      </c>
      <c r="K567">
        <v>3</v>
      </c>
      <c r="L567">
        <v>2</v>
      </c>
      <c r="M567">
        <v>1</v>
      </c>
      <c r="N567">
        <v>1</v>
      </c>
    </row>
    <row r="568" spans="1:14">
      <c r="A568">
        <v>28</v>
      </c>
      <c r="B568">
        <v>1</v>
      </c>
      <c r="C568">
        <v>709</v>
      </c>
      <c r="D568">
        <v>0.22222706143871215</v>
      </c>
      <c r="E568">
        <v>17</v>
      </c>
      <c r="F568">
        <v>0</v>
      </c>
      <c r="G568">
        <v>0.18650951640565697</v>
      </c>
      <c r="H568">
        <v>8999.8040159999982</v>
      </c>
      <c r="I568">
        <v>53</v>
      </c>
      <c r="J568">
        <v>180</v>
      </c>
      <c r="K568">
        <v>8</v>
      </c>
      <c r="L568">
        <v>3</v>
      </c>
      <c r="M568">
        <v>3</v>
      </c>
      <c r="N568">
        <v>3</v>
      </c>
    </row>
    <row r="569" spans="1:14">
      <c r="A569">
        <v>28</v>
      </c>
      <c r="B569">
        <v>2</v>
      </c>
      <c r="C569">
        <v>453</v>
      </c>
      <c r="D569">
        <v>0.12747337937263933</v>
      </c>
      <c r="E569">
        <v>4</v>
      </c>
      <c r="F569">
        <v>0</v>
      </c>
      <c r="G569">
        <v>5.9869800206222609E-2</v>
      </c>
      <c r="H569">
        <v>15689.550318999989</v>
      </c>
      <c r="I569">
        <v>51</v>
      </c>
      <c r="J569">
        <v>180</v>
      </c>
      <c r="K569">
        <v>1</v>
      </c>
      <c r="L569">
        <v>1</v>
      </c>
      <c r="M569">
        <v>1</v>
      </c>
      <c r="N569">
        <v>1</v>
      </c>
    </row>
    <row r="570" spans="1:14">
      <c r="A570">
        <v>29</v>
      </c>
      <c r="B570">
        <v>1</v>
      </c>
      <c r="C570">
        <v>3867</v>
      </c>
      <c r="D570">
        <v>0.2174329539610339</v>
      </c>
      <c r="E570">
        <v>14</v>
      </c>
      <c r="F570">
        <v>0</v>
      </c>
      <c r="G570">
        <v>0.15662997302057755</v>
      </c>
      <c r="H570">
        <v>9198.2377259999848</v>
      </c>
      <c r="I570">
        <v>53</v>
      </c>
      <c r="J570">
        <v>180</v>
      </c>
      <c r="K570">
        <v>7</v>
      </c>
      <c r="L570">
        <v>2</v>
      </c>
      <c r="M570">
        <v>3</v>
      </c>
      <c r="N570">
        <v>2</v>
      </c>
    </row>
    <row r="571" spans="1:14">
      <c r="A571">
        <v>29</v>
      </c>
      <c r="B571">
        <v>2</v>
      </c>
      <c r="C571">
        <v>496</v>
      </c>
      <c r="D571">
        <v>0.17572141866564014</v>
      </c>
      <c r="E571">
        <v>8</v>
      </c>
      <c r="F571">
        <v>0</v>
      </c>
      <c r="G571">
        <v>9.785357119476093E-2</v>
      </c>
      <c r="H571">
        <v>11381.651793999954</v>
      </c>
      <c r="I571">
        <v>57</v>
      </c>
      <c r="J571">
        <v>180</v>
      </c>
      <c r="K571">
        <v>3</v>
      </c>
      <c r="L571">
        <v>3</v>
      </c>
      <c r="M571">
        <v>1</v>
      </c>
      <c r="N571">
        <v>1</v>
      </c>
    </row>
    <row r="572" spans="1:14">
      <c r="A572">
        <v>30</v>
      </c>
      <c r="B572">
        <v>1</v>
      </c>
      <c r="C572">
        <v>6333</v>
      </c>
      <c r="D572">
        <v>0.20127584958954028</v>
      </c>
      <c r="E572">
        <v>12</v>
      </c>
      <c r="F572">
        <v>0</v>
      </c>
      <c r="G572">
        <v>0.1370635521398185</v>
      </c>
      <c r="H572">
        <v>9936.6118889999907</v>
      </c>
      <c r="I572">
        <v>53</v>
      </c>
      <c r="J572">
        <v>180</v>
      </c>
      <c r="K572">
        <v>5</v>
      </c>
      <c r="L572">
        <v>3</v>
      </c>
      <c r="M572">
        <v>2</v>
      </c>
      <c r="N572">
        <v>2</v>
      </c>
    </row>
    <row r="573" spans="1:14">
      <c r="A573">
        <v>30</v>
      </c>
      <c r="B573">
        <v>2</v>
      </c>
      <c r="C573">
        <v>2317</v>
      </c>
      <c r="D573">
        <v>0.1595601820084932</v>
      </c>
      <c r="E573">
        <v>12</v>
      </c>
      <c r="F573">
        <v>0</v>
      </c>
      <c r="G573">
        <v>0.13843706664970939</v>
      </c>
      <c r="H573">
        <v>12534.455494000014</v>
      </c>
      <c r="I573">
        <v>50</v>
      </c>
      <c r="J573">
        <v>180</v>
      </c>
      <c r="K573">
        <v>1</v>
      </c>
      <c r="L573">
        <v>7</v>
      </c>
      <c r="M573">
        <v>1</v>
      </c>
      <c r="N573">
        <v>3</v>
      </c>
    </row>
    <row r="574" spans="1:14">
      <c r="A574">
        <v>31</v>
      </c>
      <c r="B574">
        <v>1</v>
      </c>
      <c r="C574">
        <v>51</v>
      </c>
      <c r="D574">
        <v>0.22789715213240713</v>
      </c>
      <c r="E574">
        <v>7</v>
      </c>
      <c r="F574">
        <v>0</v>
      </c>
      <c r="G574">
        <v>8.6371445773677044E-2</v>
      </c>
      <c r="H574">
        <v>8775.8885150000024</v>
      </c>
      <c r="I574">
        <v>52</v>
      </c>
      <c r="J574">
        <v>180</v>
      </c>
      <c r="K574">
        <v>2</v>
      </c>
      <c r="L574">
        <v>2</v>
      </c>
      <c r="M574">
        <v>2</v>
      </c>
      <c r="N574">
        <v>1</v>
      </c>
    </row>
    <row r="575" spans="1:14">
      <c r="A575">
        <v>31</v>
      </c>
      <c r="B575">
        <v>2</v>
      </c>
      <c r="C575">
        <v>471</v>
      </c>
      <c r="D575">
        <v>0.19611461011514986</v>
      </c>
      <c r="E575">
        <v>5</v>
      </c>
      <c r="F575">
        <v>0</v>
      </c>
      <c r="G575">
        <v>6.7211947671102987E-2</v>
      </c>
      <c r="H575">
        <v>10198.118329000008</v>
      </c>
      <c r="I575">
        <v>55</v>
      </c>
      <c r="J575">
        <v>180</v>
      </c>
      <c r="K575">
        <v>2</v>
      </c>
      <c r="L575">
        <v>1</v>
      </c>
      <c r="M575">
        <v>1</v>
      </c>
      <c r="N575">
        <v>1</v>
      </c>
    </row>
    <row r="576" spans="1:14">
      <c r="A576">
        <v>32</v>
      </c>
      <c r="B576">
        <v>1</v>
      </c>
      <c r="C576">
        <v>51</v>
      </c>
      <c r="D576">
        <v>0.22974135789607322</v>
      </c>
      <c r="E576">
        <v>7</v>
      </c>
      <c r="F576">
        <v>0</v>
      </c>
      <c r="G576">
        <v>8.6327521793433434E-2</v>
      </c>
      <c r="H576">
        <v>8705.4417120000162</v>
      </c>
      <c r="I576">
        <v>55</v>
      </c>
      <c r="J576">
        <v>180</v>
      </c>
      <c r="K576">
        <v>2</v>
      </c>
      <c r="L576">
        <v>2</v>
      </c>
      <c r="M576">
        <v>2</v>
      </c>
      <c r="N576">
        <v>1</v>
      </c>
    </row>
    <row r="577" spans="1:14">
      <c r="A577">
        <v>32</v>
      </c>
      <c r="B577">
        <v>2</v>
      </c>
      <c r="C577">
        <v>241</v>
      </c>
      <c r="D577">
        <v>0.19676080670443652</v>
      </c>
      <c r="E577">
        <v>5</v>
      </c>
      <c r="F577">
        <v>0</v>
      </c>
      <c r="G577">
        <v>6.7193084666513317E-2</v>
      </c>
      <c r="H577">
        <v>10164.625940999989</v>
      </c>
      <c r="I577">
        <v>56</v>
      </c>
      <c r="J577">
        <v>180</v>
      </c>
      <c r="K577">
        <v>2</v>
      </c>
      <c r="L577">
        <v>1</v>
      </c>
      <c r="M577">
        <v>1</v>
      </c>
      <c r="N577">
        <v>1</v>
      </c>
    </row>
    <row r="578" spans="1:14">
      <c r="A578">
        <v>33</v>
      </c>
      <c r="B578">
        <v>1</v>
      </c>
      <c r="C578">
        <v>98</v>
      </c>
      <c r="D578">
        <v>0.23247996574050636</v>
      </c>
      <c r="E578">
        <v>7</v>
      </c>
      <c r="F578">
        <v>0</v>
      </c>
      <c r="G578">
        <v>8.6263155793069327E-2</v>
      </c>
      <c r="H578">
        <v>8602.8918389999926</v>
      </c>
      <c r="I578">
        <v>54</v>
      </c>
      <c r="J578">
        <v>180</v>
      </c>
      <c r="K578">
        <v>2</v>
      </c>
      <c r="L578">
        <v>2</v>
      </c>
      <c r="M578">
        <v>2</v>
      </c>
      <c r="N578">
        <v>1</v>
      </c>
    </row>
    <row r="579" spans="1:14">
      <c r="A579">
        <v>33</v>
      </c>
      <c r="B579">
        <v>2</v>
      </c>
      <c r="C579">
        <v>89</v>
      </c>
      <c r="D579">
        <v>0.19944760468852724</v>
      </c>
      <c r="E579">
        <v>5</v>
      </c>
      <c r="F579">
        <v>0</v>
      </c>
      <c r="G579">
        <v>6.7115531562057948E-2</v>
      </c>
      <c r="H579">
        <v>10027.696262000009</v>
      </c>
      <c r="I579">
        <v>56</v>
      </c>
      <c r="J579">
        <v>180</v>
      </c>
      <c r="K579">
        <v>2</v>
      </c>
      <c r="L579">
        <v>1</v>
      </c>
      <c r="M579">
        <v>1</v>
      </c>
      <c r="N579">
        <v>1</v>
      </c>
    </row>
    <row r="580" spans="1:14">
      <c r="A580">
        <v>34</v>
      </c>
      <c r="B580">
        <v>1</v>
      </c>
      <c r="C580">
        <v>264</v>
      </c>
      <c r="D580">
        <v>0.22345952615968845</v>
      </c>
      <c r="E580">
        <v>7</v>
      </c>
      <c r="F580">
        <v>0</v>
      </c>
      <c r="G580">
        <v>8.6479108334576116E-2</v>
      </c>
      <c r="H580">
        <v>8950.1666559999849</v>
      </c>
      <c r="I580">
        <v>53</v>
      </c>
      <c r="J580">
        <v>180</v>
      </c>
      <c r="K580">
        <v>2</v>
      </c>
      <c r="L580">
        <v>2</v>
      </c>
      <c r="M580">
        <v>1</v>
      </c>
      <c r="N580">
        <v>2</v>
      </c>
    </row>
    <row r="581" spans="1:14">
      <c r="A581">
        <v>34</v>
      </c>
      <c r="B581">
        <v>2</v>
      </c>
      <c r="C581">
        <v>470</v>
      </c>
      <c r="D581">
        <v>0.1967365447989749</v>
      </c>
      <c r="E581">
        <v>5</v>
      </c>
      <c r="F581">
        <v>0</v>
      </c>
      <c r="G581">
        <v>6.7193791398196895E-2</v>
      </c>
      <c r="H581">
        <v>10165.879460999973</v>
      </c>
      <c r="I581">
        <v>56</v>
      </c>
      <c r="J581">
        <v>180</v>
      </c>
      <c r="K581">
        <v>2</v>
      </c>
      <c r="L581">
        <v>1</v>
      </c>
      <c r="M581">
        <v>1</v>
      </c>
      <c r="N581">
        <v>1</v>
      </c>
    </row>
    <row r="582" spans="1:14">
      <c r="A582">
        <v>35</v>
      </c>
      <c r="B582">
        <v>1</v>
      </c>
      <c r="C582">
        <v>381</v>
      </c>
      <c r="D582">
        <v>0.23198796184214784</v>
      </c>
      <c r="E582">
        <v>8</v>
      </c>
      <c r="F582">
        <v>0</v>
      </c>
      <c r="G582">
        <v>9.6274644731324438E-2</v>
      </c>
      <c r="H582">
        <v>8621.136993999995</v>
      </c>
      <c r="I582">
        <v>50</v>
      </c>
      <c r="J582">
        <v>180</v>
      </c>
      <c r="K582">
        <v>3</v>
      </c>
      <c r="L582">
        <v>1</v>
      </c>
      <c r="M582">
        <v>2</v>
      </c>
      <c r="N582">
        <v>2</v>
      </c>
    </row>
    <row r="583" spans="1:14">
      <c r="A583">
        <v>35</v>
      </c>
      <c r="B583">
        <v>2</v>
      </c>
      <c r="C583">
        <v>130</v>
      </c>
      <c r="D583">
        <v>0.19876609609187842</v>
      </c>
      <c r="E583">
        <v>5</v>
      </c>
      <c r="F583">
        <v>0</v>
      </c>
      <c r="G583">
        <v>6.7135070568378433E-2</v>
      </c>
      <c r="H583">
        <v>10062.07818799999</v>
      </c>
      <c r="I583">
        <v>55</v>
      </c>
      <c r="J583">
        <v>180</v>
      </c>
      <c r="K583">
        <v>2</v>
      </c>
      <c r="L583">
        <v>1</v>
      </c>
      <c r="M583">
        <v>1</v>
      </c>
      <c r="N583">
        <v>1</v>
      </c>
    </row>
    <row r="584" spans="1:14">
      <c r="A584">
        <v>36</v>
      </c>
      <c r="B584">
        <v>1</v>
      </c>
      <c r="C584">
        <v>35</v>
      </c>
      <c r="D584">
        <v>0.23147507230108855</v>
      </c>
      <c r="E584">
        <v>7</v>
      </c>
      <c r="F584">
        <v>0</v>
      </c>
      <c r="G584">
        <v>8.6286656014084334E-2</v>
      </c>
      <c r="H584">
        <v>8640.2392279999931</v>
      </c>
      <c r="I584">
        <v>55</v>
      </c>
      <c r="J584">
        <v>180</v>
      </c>
      <c r="K584">
        <v>2</v>
      </c>
      <c r="L584">
        <v>2</v>
      </c>
      <c r="M584">
        <v>2</v>
      </c>
      <c r="N584">
        <v>1</v>
      </c>
    </row>
    <row r="585" spans="1:14">
      <c r="A585">
        <v>36</v>
      </c>
      <c r="B585">
        <v>2</v>
      </c>
      <c r="C585">
        <v>358</v>
      </c>
      <c r="D585">
        <v>0.19754102268365309</v>
      </c>
      <c r="E585">
        <v>5</v>
      </c>
      <c r="F585">
        <v>0</v>
      </c>
      <c r="G585">
        <v>6.7170419300371431E-2</v>
      </c>
      <c r="H585">
        <v>10124.479324999991</v>
      </c>
      <c r="I585">
        <v>55</v>
      </c>
      <c r="J585">
        <v>180</v>
      </c>
      <c r="K585">
        <v>2</v>
      </c>
      <c r="L585">
        <v>1</v>
      </c>
      <c r="M585">
        <v>1</v>
      </c>
      <c r="N585">
        <v>1</v>
      </c>
    </row>
    <row r="586" spans="1:14">
      <c r="A586">
        <v>37</v>
      </c>
      <c r="B586">
        <v>1</v>
      </c>
      <c r="C586">
        <v>132</v>
      </c>
      <c r="D586">
        <v>0.22959227491037953</v>
      </c>
      <c r="E586">
        <v>7</v>
      </c>
      <c r="F586">
        <v>0</v>
      </c>
      <c r="G586">
        <v>8.6331055055496403E-2</v>
      </c>
      <c r="H586">
        <v>8711.0944859999854</v>
      </c>
      <c r="I586">
        <v>51</v>
      </c>
      <c r="J586">
        <v>180</v>
      </c>
      <c r="K586">
        <v>2</v>
      </c>
      <c r="L586">
        <v>2</v>
      </c>
      <c r="M586">
        <v>1</v>
      </c>
      <c r="N586">
        <v>2</v>
      </c>
    </row>
    <row r="587" spans="1:14">
      <c r="A587">
        <v>37</v>
      </c>
      <c r="B587">
        <v>2</v>
      </c>
      <c r="C587">
        <v>329</v>
      </c>
      <c r="D587">
        <v>0.20126735227949458</v>
      </c>
      <c r="E587">
        <v>5</v>
      </c>
      <c r="F587">
        <v>0</v>
      </c>
      <c r="G587">
        <v>6.7063792271912961E-2</v>
      </c>
      <c r="H587">
        <v>9937.0314029999936</v>
      </c>
      <c r="I587">
        <v>56</v>
      </c>
      <c r="J587">
        <v>180</v>
      </c>
      <c r="K587">
        <v>2</v>
      </c>
      <c r="L587">
        <v>1</v>
      </c>
      <c r="M587">
        <v>1</v>
      </c>
      <c r="N587">
        <v>1</v>
      </c>
    </row>
    <row r="588" spans="1:14">
      <c r="A588">
        <v>38</v>
      </c>
      <c r="B588">
        <v>1</v>
      </c>
      <c r="C588">
        <v>191</v>
      </c>
      <c r="D588">
        <v>0.22694857656923456</v>
      </c>
      <c r="E588">
        <v>7</v>
      </c>
      <c r="F588">
        <v>0</v>
      </c>
      <c r="G588">
        <v>8.6394223279005422E-2</v>
      </c>
      <c r="H588">
        <v>8812.5690419999864</v>
      </c>
      <c r="I588">
        <v>50</v>
      </c>
      <c r="J588">
        <v>180</v>
      </c>
      <c r="K588">
        <v>2</v>
      </c>
      <c r="L588">
        <v>2</v>
      </c>
      <c r="M588">
        <v>1</v>
      </c>
      <c r="N588">
        <v>2</v>
      </c>
    </row>
    <row r="589" spans="1:14">
      <c r="A589">
        <v>38</v>
      </c>
      <c r="B589">
        <v>2</v>
      </c>
      <c r="C589">
        <v>137</v>
      </c>
      <c r="D589">
        <v>0.20021384101569864</v>
      </c>
      <c r="E589">
        <v>5</v>
      </c>
      <c r="F589">
        <v>0</v>
      </c>
      <c r="G589">
        <v>6.709366942403365E-2</v>
      </c>
      <c r="H589">
        <v>9989.3193689999753</v>
      </c>
      <c r="I589">
        <v>55</v>
      </c>
      <c r="J589">
        <v>180</v>
      </c>
      <c r="K589">
        <v>2</v>
      </c>
      <c r="L589">
        <v>1</v>
      </c>
      <c r="M589">
        <v>1</v>
      </c>
      <c r="N589">
        <v>1</v>
      </c>
    </row>
    <row r="590" spans="1:14">
      <c r="A590">
        <v>39</v>
      </c>
      <c r="B590">
        <v>1</v>
      </c>
      <c r="C590">
        <v>1069</v>
      </c>
      <c r="D590">
        <v>0.22361762912459798</v>
      </c>
      <c r="E590">
        <v>7</v>
      </c>
      <c r="F590">
        <v>0</v>
      </c>
      <c r="G590">
        <v>8.6475223712175794E-2</v>
      </c>
      <c r="H590">
        <v>8943.8386759999848</v>
      </c>
      <c r="I590">
        <v>54</v>
      </c>
      <c r="J590">
        <v>180</v>
      </c>
      <c r="K590">
        <v>3</v>
      </c>
      <c r="L590">
        <v>1</v>
      </c>
      <c r="M590">
        <v>2</v>
      </c>
      <c r="N590">
        <v>1</v>
      </c>
    </row>
    <row r="591" spans="1:14">
      <c r="A591">
        <v>39</v>
      </c>
      <c r="B591">
        <v>2</v>
      </c>
      <c r="C591">
        <v>57</v>
      </c>
      <c r="D591">
        <v>0.19840560781355676</v>
      </c>
      <c r="E591">
        <v>5</v>
      </c>
      <c r="F591">
        <v>0</v>
      </c>
      <c r="G591">
        <v>6.7145442007106509E-2</v>
      </c>
      <c r="H591">
        <v>10080.360238000001</v>
      </c>
      <c r="I591">
        <v>55</v>
      </c>
      <c r="J591">
        <v>180</v>
      </c>
      <c r="K591">
        <v>2</v>
      </c>
      <c r="L591">
        <v>1</v>
      </c>
      <c r="M591">
        <v>1</v>
      </c>
      <c r="N591">
        <v>1</v>
      </c>
    </row>
    <row r="592" spans="1:14">
      <c r="A592">
        <v>40</v>
      </c>
      <c r="B592">
        <v>1</v>
      </c>
      <c r="C592">
        <v>1912</v>
      </c>
      <c r="D592">
        <v>0.23187691489847448</v>
      </c>
      <c r="E592">
        <v>7</v>
      </c>
      <c r="F592">
        <v>0</v>
      </c>
      <c r="G592">
        <v>8.6277242317971084E-2</v>
      </c>
      <c r="H592">
        <v>8625.2656969999989</v>
      </c>
      <c r="I592">
        <v>54</v>
      </c>
      <c r="J592">
        <v>180</v>
      </c>
      <c r="K592">
        <v>2</v>
      </c>
      <c r="L592">
        <v>2</v>
      </c>
      <c r="M592">
        <v>2</v>
      </c>
      <c r="N592">
        <v>1</v>
      </c>
    </row>
    <row r="593" spans="1:14">
      <c r="A593">
        <v>40</v>
      </c>
      <c r="B593">
        <v>2</v>
      </c>
      <c r="C593">
        <v>188</v>
      </c>
      <c r="D593">
        <v>0.19907952751533251</v>
      </c>
      <c r="E593">
        <v>5</v>
      </c>
      <c r="F593">
        <v>0</v>
      </c>
      <c r="G593">
        <v>6.7126073342283099E-2</v>
      </c>
      <c r="H593">
        <v>10046.236420999974</v>
      </c>
      <c r="I593">
        <v>55</v>
      </c>
      <c r="J593">
        <v>180</v>
      </c>
      <c r="K593">
        <v>2</v>
      </c>
      <c r="L593">
        <v>1</v>
      </c>
      <c r="M593">
        <v>1</v>
      </c>
      <c r="N593">
        <v>1</v>
      </c>
    </row>
    <row r="594" spans="1:14">
      <c r="A594">
        <v>41</v>
      </c>
      <c r="B594">
        <v>1</v>
      </c>
      <c r="C594">
        <v>4429</v>
      </c>
      <c r="D594">
        <v>0.22388024899809064</v>
      </c>
      <c r="E594">
        <v>17</v>
      </c>
      <c r="F594">
        <v>0</v>
      </c>
      <c r="G594">
        <v>0.18646877917453938</v>
      </c>
      <c r="H594">
        <v>8933.347219999996</v>
      </c>
      <c r="I594">
        <v>56</v>
      </c>
      <c r="J594">
        <v>180</v>
      </c>
      <c r="K594">
        <v>3</v>
      </c>
      <c r="L594">
        <v>5</v>
      </c>
      <c r="M594">
        <v>7</v>
      </c>
      <c r="N594">
        <v>2</v>
      </c>
    </row>
    <row r="595" spans="1:14">
      <c r="A595">
        <v>41</v>
      </c>
      <c r="B595">
        <v>2</v>
      </c>
      <c r="C595">
        <v>604</v>
      </c>
      <c r="D595">
        <v>0.18213472934510883</v>
      </c>
      <c r="E595">
        <v>9</v>
      </c>
      <c r="F595">
        <v>0</v>
      </c>
      <c r="G595">
        <v>0.1076415095893036</v>
      </c>
      <c r="H595">
        <v>10980.882159000004</v>
      </c>
      <c r="I595">
        <v>55</v>
      </c>
      <c r="J595">
        <v>180</v>
      </c>
      <c r="K595">
        <v>2</v>
      </c>
      <c r="L595">
        <v>2</v>
      </c>
      <c r="M595">
        <v>3</v>
      </c>
      <c r="N595">
        <v>2</v>
      </c>
    </row>
    <row r="596" spans="1:14">
      <c r="A596">
        <v>42</v>
      </c>
      <c r="B596">
        <v>1</v>
      </c>
      <c r="C596">
        <v>2818</v>
      </c>
      <c r="D596">
        <v>0.20842838436239952</v>
      </c>
      <c r="E596">
        <v>20</v>
      </c>
      <c r="F596">
        <v>0</v>
      </c>
      <c r="G596">
        <v>0.21686608867349341</v>
      </c>
      <c r="H596">
        <v>9595.6220459999877</v>
      </c>
      <c r="I596">
        <v>59</v>
      </c>
      <c r="J596">
        <v>180</v>
      </c>
      <c r="K596">
        <v>2</v>
      </c>
      <c r="L596">
        <v>6</v>
      </c>
      <c r="M596">
        <v>11</v>
      </c>
      <c r="N596">
        <v>1</v>
      </c>
    </row>
    <row r="597" spans="1:14">
      <c r="A597">
        <v>42</v>
      </c>
      <c r="B597">
        <v>2</v>
      </c>
      <c r="C597">
        <v>783</v>
      </c>
      <c r="D597">
        <v>0.16769410750156569</v>
      </c>
      <c r="E597">
        <v>9</v>
      </c>
      <c r="F597">
        <v>0</v>
      </c>
      <c r="G597">
        <v>0.10813401897555554</v>
      </c>
      <c r="H597">
        <v>11926.477499999974</v>
      </c>
      <c r="I597">
        <v>55</v>
      </c>
      <c r="J597">
        <v>180</v>
      </c>
      <c r="K597">
        <v>3</v>
      </c>
      <c r="L597">
        <v>2</v>
      </c>
      <c r="M597">
        <v>2</v>
      </c>
      <c r="N597">
        <v>2</v>
      </c>
    </row>
    <row r="598" spans="1:14">
      <c r="A598">
        <v>43</v>
      </c>
      <c r="B598">
        <v>1</v>
      </c>
      <c r="C598">
        <v>7327</v>
      </c>
      <c r="D598">
        <v>0.24071815243135161</v>
      </c>
      <c r="E598">
        <v>21</v>
      </c>
      <c r="F598">
        <v>0</v>
      </c>
      <c r="G598">
        <v>0.22607547148922599</v>
      </c>
      <c r="H598">
        <v>8308.4718779999912</v>
      </c>
      <c r="I598">
        <v>56</v>
      </c>
      <c r="J598">
        <v>180</v>
      </c>
      <c r="K598">
        <v>4</v>
      </c>
      <c r="L598">
        <v>7</v>
      </c>
      <c r="M598">
        <v>7</v>
      </c>
      <c r="N598">
        <v>3</v>
      </c>
    </row>
    <row r="599" spans="1:14">
      <c r="A599">
        <v>43</v>
      </c>
      <c r="B599">
        <v>2</v>
      </c>
      <c r="C599">
        <v>423</v>
      </c>
      <c r="D599">
        <v>0.18873299886257522</v>
      </c>
      <c r="E599">
        <v>10</v>
      </c>
      <c r="F599">
        <v>0</v>
      </c>
      <c r="G599">
        <v>0.11743347860552664</v>
      </c>
      <c r="H599">
        <v>10596.980983999983</v>
      </c>
      <c r="I599">
        <v>55</v>
      </c>
      <c r="J599">
        <v>180</v>
      </c>
      <c r="K599">
        <v>1</v>
      </c>
      <c r="L599">
        <v>4</v>
      </c>
      <c r="M599">
        <v>4</v>
      </c>
      <c r="N599">
        <v>1</v>
      </c>
    </row>
    <row r="600" spans="1:14">
      <c r="A600">
        <v>44</v>
      </c>
      <c r="B600">
        <v>1</v>
      </c>
      <c r="C600">
        <v>1809</v>
      </c>
      <c r="D600">
        <v>0.22116802311982575</v>
      </c>
      <c r="E600">
        <v>16</v>
      </c>
      <c r="F600">
        <v>0</v>
      </c>
      <c r="G600">
        <v>0.17653582578075672</v>
      </c>
      <c r="H600">
        <v>9042.898570000003</v>
      </c>
      <c r="I600">
        <v>55</v>
      </c>
      <c r="J600">
        <v>180</v>
      </c>
      <c r="K600">
        <v>3</v>
      </c>
      <c r="L600">
        <v>5</v>
      </c>
      <c r="M600">
        <v>6</v>
      </c>
      <c r="N600">
        <v>2</v>
      </c>
    </row>
    <row r="601" spans="1:14">
      <c r="A601">
        <v>44</v>
      </c>
      <c r="B601">
        <v>2</v>
      </c>
      <c r="C601">
        <v>7924</v>
      </c>
      <c r="D601">
        <v>0.17321132315374624</v>
      </c>
      <c r="E601">
        <v>8</v>
      </c>
      <c r="F601">
        <v>0</v>
      </c>
      <c r="G601">
        <v>9.7939399725112092E-2</v>
      </c>
      <c r="H601">
        <v>11546.589239000012</v>
      </c>
      <c r="I601">
        <v>60</v>
      </c>
      <c r="J601">
        <v>180</v>
      </c>
      <c r="K601">
        <v>2</v>
      </c>
      <c r="L601">
        <v>2</v>
      </c>
      <c r="M601">
        <v>3</v>
      </c>
      <c r="N601">
        <v>1</v>
      </c>
    </row>
    <row r="602" spans="1:14">
      <c r="A602">
        <v>45</v>
      </c>
      <c r="B602">
        <v>1</v>
      </c>
      <c r="C602">
        <v>1234</v>
      </c>
      <c r="D602">
        <v>0.2336238528802492</v>
      </c>
      <c r="E602">
        <v>21</v>
      </c>
      <c r="F602">
        <v>0</v>
      </c>
      <c r="G602">
        <v>0.22623656938139483</v>
      </c>
      <c r="H602">
        <v>8560.7696960000012</v>
      </c>
      <c r="I602">
        <v>55</v>
      </c>
      <c r="J602">
        <v>180</v>
      </c>
      <c r="K602">
        <v>3</v>
      </c>
      <c r="L602">
        <v>8</v>
      </c>
      <c r="M602">
        <v>6</v>
      </c>
      <c r="N602">
        <v>4</v>
      </c>
    </row>
    <row r="603" spans="1:14">
      <c r="A603">
        <v>45</v>
      </c>
      <c r="B603">
        <v>2</v>
      </c>
      <c r="C603">
        <v>857</v>
      </c>
      <c r="D603">
        <v>0.18083422768705723</v>
      </c>
      <c r="E603">
        <v>10</v>
      </c>
      <c r="F603">
        <v>0</v>
      </c>
      <c r="G603">
        <v>0.11768369930148115</v>
      </c>
      <c r="H603">
        <v>11059.853134999979</v>
      </c>
      <c r="I603">
        <v>55</v>
      </c>
      <c r="J603">
        <v>180</v>
      </c>
      <c r="K603">
        <v>3</v>
      </c>
      <c r="L603">
        <v>2</v>
      </c>
      <c r="M603">
        <v>2</v>
      </c>
      <c r="N603">
        <v>3</v>
      </c>
    </row>
    <row r="604" spans="1:14">
      <c r="A604">
        <v>46</v>
      </c>
      <c r="B604">
        <v>1</v>
      </c>
      <c r="C604">
        <v>6850</v>
      </c>
      <c r="D604">
        <v>0.22358589582897323</v>
      </c>
      <c r="E604">
        <v>24</v>
      </c>
      <c r="F604">
        <v>0</v>
      </c>
      <c r="G604">
        <v>0.25647600311198315</v>
      </c>
      <c r="H604">
        <v>8945.1080650000076</v>
      </c>
      <c r="I604">
        <v>57</v>
      </c>
      <c r="J604">
        <v>180</v>
      </c>
      <c r="K604">
        <v>3</v>
      </c>
      <c r="L604">
        <v>8</v>
      </c>
      <c r="M604">
        <v>9</v>
      </c>
      <c r="N604">
        <v>4</v>
      </c>
    </row>
    <row r="605" spans="1:14">
      <c r="A605">
        <v>46</v>
      </c>
      <c r="B605">
        <v>2</v>
      </c>
      <c r="C605">
        <v>1643</v>
      </c>
      <c r="D605">
        <v>0.17037912163775346</v>
      </c>
      <c r="E605">
        <v>11</v>
      </c>
      <c r="F605">
        <v>0</v>
      </c>
      <c r="G605">
        <v>0.12803825581339545</v>
      </c>
      <c r="H605">
        <v>11738.527472000009</v>
      </c>
      <c r="I605">
        <v>54</v>
      </c>
      <c r="J605">
        <v>180</v>
      </c>
      <c r="K605">
        <v>2</v>
      </c>
      <c r="L605">
        <v>2</v>
      </c>
      <c r="M605">
        <v>2</v>
      </c>
      <c r="N605">
        <v>5</v>
      </c>
    </row>
    <row r="606" spans="1:14">
      <c r="A606">
        <v>47</v>
      </c>
      <c r="B606">
        <v>1</v>
      </c>
      <c r="C606">
        <v>4782</v>
      </c>
      <c r="D606">
        <v>0.22405849767295344</v>
      </c>
      <c r="E606">
        <v>18</v>
      </c>
      <c r="F606">
        <v>0</v>
      </c>
      <c r="G606">
        <v>0.19646441079620616</v>
      </c>
      <c r="H606">
        <v>8926.2403380000178</v>
      </c>
      <c r="I606">
        <v>58</v>
      </c>
      <c r="J606">
        <v>180</v>
      </c>
      <c r="K606">
        <v>2</v>
      </c>
      <c r="L606">
        <v>7</v>
      </c>
      <c r="M606">
        <v>8</v>
      </c>
      <c r="N606">
        <v>1</v>
      </c>
    </row>
    <row r="607" spans="1:14">
      <c r="A607">
        <v>47</v>
      </c>
      <c r="B607">
        <v>2</v>
      </c>
      <c r="C607">
        <v>1493</v>
      </c>
      <c r="D607">
        <v>0.17932269602702658</v>
      </c>
      <c r="E607">
        <v>8</v>
      </c>
      <c r="F607">
        <v>0</v>
      </c>
      <c r="G607">
        <v>9.7733246328054899E-2</v>
      </c>
      <c r="H607">
        <v>11153.077911000013</v>
      </c>
      <c r="I607">
        <v>52</v>
      </c>
      <c r="J607">
        <v>180</v>
      </c>
      <c r="K607">
        <v>1</v>
      </c>
      <c r="L607">
        <v>3</v>
      </c>
      <c r="M607">
        <v>2</v>
      </c>
      <c r="N607">
        <v>2</v>
      </c>
    </row>
    <row r="608" spans="1:14">
      <c r="A608">
        <v>48</v>
      </c>
      <c r="B608">
        <v>1</v>
      </c>
      <c r="C608">
        <v>6916</v>
      </c>
      <c r="D608">
        <v>0.21847516083182528</v>
      </c>
      <c r="E608">
        <v>19</v>
      </c>
      <c r="F608">
        <v>0</v>
      </c>
      <c r="G608">
        <v>0.20660348716416746</v>
      </c>
      <c r="H608">
        <v>9154.3587489999918</v>
      </c>
      <c r="I608">
        <v>58</v>
      </c>
      <c r="J608">
        <v>180</v>
      </c>
      <c r="K608">
        <v>3</v>
      </c>
      <c r="L608">
        <v>5</v>
      </c>
      <c r="M608">
        <v>10</v>
      </c>
      <c r="N608">
        <v>1</v>
      </c>
    </row>
    <row r="609" spans="1:14">
      <c r="A609">
        <v>48</v>
      </c>
      <c r="B609">
        <v>2</v>
      </c>
      <c r="C609">
        <v>832</v>
      </c>
      <c r="D609">
        <v>0.16966881189077576</v>
      </c>
      <c r="E609">
        <v>15</v>
      </c>
      <c r="F609">
        <v>0</v>
      </c>
      <c r="G609">
        <v>0.16806339284413688</v>
      </c>
      <c r="H609">
        <v>11787.670213000014</v>
      </c>
      <c r="I609">
        <v>57</v>
      </c>
      <c r="J609">
        <v>180</v>
      </c>
      <c r="K609">
        <v>2</v>
      </c>
      <c r="L609">
        <v>6</v>
      </c>
      <c r="M609">
        <v>1</v>
      </c>
      <c r="N609">
        <v>6</v>
      </c>
    </row>
    <row r="610" spans="1:14">
      <c r="A610">
        <v>49</v>
      </c>
      <c r="B610">
        <v>1</v>
      </c>
      <c r="C610">
        <v>3321</v>
      </c>
      <c r="D610">
        <v>0.22792388519598034</v>
      </c>
      <c r="E610">
        <v>15</v>
      </c>
      <c r="F610">
        <v>0</v>
      </c>
      <c r="G610">
        <v>0.16637080568277959</v>
      </c>
      <c r="H610">
        <v>8774.8591960000158</v>
      </c>
      <c r="I610">
        <v>55</v>
      </c>
      <c r="J610">
        <v>180</v>
      </c>
      <c r="K610">
        <v>3</v>
      </c>
      <c r="L610">
        <v>5</v>
      </c>
      <c r="M610">
        <v>5</v>
      </c>
      <c r="N610">
        <v>2</v>
      </c>
    </row>
    <row r="611" spans="1:14">
      <c r="A611">
        <v>49</v>
      </c>
      <c r="B611">
        <v>2</v>
      </c>
      <c r="C611">
        <v>1198</v>
      </c>
      <c r="D611">
        <v>0.18122309798270225</v>
      </c>
      <c r="E611">
        <v>8</v>
      </c>
      <c r="F611">
        <v>0</v>
      </c>
      <c r="G611">
        <v>9.7671041625213548E-2</v>
      </c>
      <c r="H611">
        <v>11036.120794</v>
      </c>
      <c r="I611">
        <v>56</v>
      </c>
      <c r="J611">
        <v>180</v>
      </c>
      <c r="K611">
        <v>2</v>
      </c>
      <c r="L611">
        <v>2</v>
      </c>
      <c r="M611">
        <v>2</v>
      </c>
      <c r="N611">
        <v>2</v>
      </c>
    </row>
    <row r="612" spans="1:14">
      <c r="A612">
        <v>50</v>
      </c>
      <c r="B612">
        <v>1</v>
      </c>
      <c r="C612">
        <v>1487</v>
      </c>
      <c r="D612">
        <v>0.23860851944837166</v>
      </c>
      <c r="E612">
        <v>25</v>
      </c>
      <c r="F612">
        <v>0</v>
      </c>
      <c r="G612">
        <v>0.266122709095371</v>
      </c>
      <c r="H612">
        <v>8381.9303880000189</v>
      </c>
      <c r="I612">
        <v>56</v>
      </c>
      <c r="J612">
        <v>180</v>
      </c>
      <c r="K612">
        <v>6</v>
      </c>
      <c r="L612">
        <v>8</v>
      </c>
      <c r="M612">
        <v>8</v>
      </c>
      <c r="N612">
        <v>3</v>
      </c>
    </row>
    <row r="613" spans="1:14">
      <c r="A613">
        <v>50</v>
      </c>
      <c r="B613">
        <v>2</v>
      </c>
      <c r="C613">
        <v>1173</v>
      </c>
      <c r="D613">
        <v>0.18497929548758121</v>
      </c>
      <c r="E613">
        <v>9</v>
      </c>
      <c r="F613">
        <v>0</v>
      </c>
      <c r="G613">
        <v>0.10755061312403581</v>
      </c>
      <c r="H613">
        <v>10812.020852000012</v>
      </c>
      <c r="I613">
        <v>55</v>
      </c>
      <c r="J613">
        <v>180</v>
      </c>
      <c r="K613">
        <v>2</v>
      </c>
      <c r="L613">
        <v>3</v>
      </c>
      <c r="M613">
        <v>2</v>
      </c>
      <c r="N613">
        <v>2</v>
      </c>
    </row>
    <row r="614" spans="1:14">
      <c r="A614">
        <v>51</v>
      </c>
      <c r="B614">
        <v>1</v>
      </c>
      <c r="C614">
        <v>3493</v>
      </c>
      <c r="D614">
        <v>0.22875678138097805</v>
      </c>
      <c r="E614">
        <v>8</v>
      </c>
      <c r="F614">
        <v>0</v>
      </c>
      <c r="G614">
        <v>9.6350912992251375E-2</v>
      </c>
      <c r="H614">
        <v>8742.9102119999807</v>
      </c>
      <c r="I614">
        <v>50</v>
      </c>
      <c r="J614">
        <v>180</v>
      </c>
      <c r="K614">
        <v>1</v>
      </c>
      <c r="L614">
        <v>3</v>
      </c>
      <c r="M614">
        <v>2</v>
      </c>
      <c r="N614">
        <v>2</v>
      </c>
    </row>
    <row r="615" spans="1:14">
      <c r="A615">
        <v>51</v>
      </c>
      <c r="B615">
        <v>2</v>
      </c>
      <c r="C615">
        <v>3459</v>
      </c>
      <c r="D615">
        <v>0.20955195349072714</v>
      </c>
      <c r="E615">
        <v>6</v>
      </c>
      <c r="F615">
        <v>0</v>
      </c>
      <c r="G615">
        <v>7.6835890614610089E-2</v>
      </c>
      <c r="H615">
        <v>9544.1725389999847</v>
      </c>
      <c r="I615">
        <v>54</v>
      </c>
      <c r="J615">
        <v>180</v>
      </c>
      <c r="K615">
        <v>1</v>
      </c>
      <c r="L615">
        <v>2</v>
      </c>
      <c r="M615">
        <v>2</v>
      </c>
      <c r="N615">
        <v>1</v>
      </c>
    </row>
    <row r="616" spans="1:14">
      <c r="A616">
        <v>52</v>
      </c>
      <c r="B616">
        <v>1</v>
      </c>
      <c r="C616">
        <v>766</v>
      </c>
      <c r="D616">
        <v>0.23091686590431715</v>
      </c>
      <c r="E616">
        <v>8</v>
      </c>
      <c r="F616">
        <v>0</v>
      </c>
      <c r="G616">
        <v>9.6299768958045984E-2</v>
      </c>
      <c r="H616">
        <v>8661.1256919999996</v>
      </c>
      <c r="I616">
        <v>61</v>
      </c>
      <c r="J616">
        <v>180</v>
      </c>
      <c r="K616">
        <v>2</v>
      </c>
      <c r="L616">
        <v>2</v>
      </c>
      <c r="M616">
        <v>3</v>
      </c>
      <c r="N616">
        <v>1</v>
      </c>
    </row>
    <row r="617" spans="1:14">
      <c r="A617">
        <v>52</v>
      </c>
      <c r="B617">
        <v>2</v>
      </c>
      <c r="C617">
        <v>943</v>
      </c>
      <c r="D617">
        <v>0.21021181598860336</v>
      </c>
      <c r="E617">
        <v>6</v>
      </c>
      <c r="F617">
        <v>0</v>
      </c>
      <c r="G617">
        <v>7.6818255993172199E-2</v>
      </c>
      <c r="H617">
        <v>9514.2130359999846</v>
      </c>
      <c r="I617">
        <v>54</v>
      </c>
      <c r="J617">
        <v>180</v>
      </c>
      <c r="K617">
        <v>1</v>
      </c>
      <c r="L617">
        <v>2</v>
      </c>
      <c r="M617">
        <v>2</v>
      </c>
      <c r="N617">
        <v>1</v>
      </c>
    </row>
    <row r="618" spans="1:14">
      <c r="A618">
        <v>53</v>
      </c>
      <c r="B618">
        <v>1</v>
      </c>
      <c r="C618">
        <v>1012</v>
      </c>
      <c r="D618">
        <v>0.22756676297710812</v>
      </c>
      <c r="E618">
        <v>8</v>
      </c>
      <c r="F618">
        <v>0</v>
      </c>
      <c r="G618">
        <v>9.6379364816199187E-2</v>
      </c>
      <c r="H618">
        <v>8788.6296479999946</v>
      </c>
      <c r="I618">
        <v>55</v>
      </c>
      <c r="J618">
        <v>180</v>
      </c>
      <c r="K618">
        <v>1</v>
      </c>
      <c r="L618">
        <v>3</v>
      </c>
      <c r="M618">
        <v>3</v>
      </c>
      <c r="N618">
        <v>1</v>
      </c>
    </row>
    <row r="619" spans="1:14">
      <c r="A619">
        <v>53</v>
      </c>
      <c r="B619">
        <v>2</v>
      </c>
      <c r="C619">
        <v>909</v>
      </c>
      <c r="D619">
        <v>0.21034698988798295</v>
      </c>
      <c r="E619">
        <v>6</v>
      </c>
      <c r="F619">
        <v>0</v>
      </c>
      <c r="G619">
        <v>7.6814652619533519E-2</v>
      </c>
      <c r="H619">
        <v>9508.0989799999952</v>
      </c>
      <c r="I619">
        <v>55</v>
      </c>
      <c r="J619">
        <v>180</v>
      </c>
      <c r="K619">
        <v>1</v>
      </c>
      <c r="L619">
        <v>2</v>
      </c>
      <c r="M619">
        <v>2</v>
      </c>
      <c r="N619">
        <v>1</v>
      </c>
    </row>
    <row r="620" spans="1:14">
      <c r="A620">
        <v>54</v>
      </c>
      <c r="B620">
        <v>1</v>
      </c>
      <c r="C620">
        <v>876</v>
      </c>
      <c r="D620">
        <v>0.22340124997105529</v>
      </c>
      <c r="E620">
        <v>8</v>
      </c>
      <c r="F620">
        <v>0</v>
      </c>
      <c r="G620">
        <v>9.6480541116970533E-2</v>
      </c>
      <c r="H620">
        <v>8952.5013859999781</v>
      </c>
      <c r="I620">
        <v>56</v>
      </c>
      <c r="J620">
        <v>180</v>
      </c>
      <c r="K620">
        <v>1</v>
      </c>
      <c r="L620">
        <v>3</v>
      </c>
      <c r="M620">
        <v>3</v>
      </c>
      <c r="N620">
        <v>1</v>
      </c>
    </row>
    <row r="621" spans="1:14">
      <c r="A621">
        <v>54</v>
      </c>
      <c r="B621">
        <v>2</v>
      </c>
      <c r="C621">
        <v>2044</v>
      </c>
      <c r="D621">
        <v>0.20729752852015443</v>
      </c>
      <c r="E621">
        <v>6</v>
      </c>
      <c r="F621">
        <v>0</v>
      </c>
      <c r="G621">
        <v>7.6896702540483655E-2</v>
      </c>
      <c r="H621">
        <v>9647.968377999985</v>
      </c>
      <c r="I621">
        <v>56</v>
      </c>
      <c r="J621">
        <v>180</v>
      </c>
      <c r="K621">
        <v>1</v>
      </c>
      <c r="L621">
        <v>2</v>
      </c>
      <c r="M621">
        <v>2</v>
      </c>
      <c r="N621">
        <v>1</v>
      </c>
    </row>
    <row r="622" spans="1:14">
      <c r="A622">
        <v>55</v>
      </c>
      <c r="B622">
        <v>1</v>
      </c>
      <c r="C622">
        <v>1466</v>
      </c>
      <c r="D622">
        <v>0.23646406617800669</v>
      </c>
      <c r="E622">
        <v>9</v>
      </c>
      <c r="F622">
        <v>0</v>
      </c>
      <c r="G622">
        <v>0.10617130055613463</v>
      </c>
      <c r="H622">
        <v>8457.9447199999904</v>
      </c>
      <c r="I622">
        <v>61</v>
      </c>
      <c r="J622">
        <v>180</v>
      </c>
      <c r="K622">
        <v>2</v>
      </c>
      <c r="L622">
        <v>2</v>
      </c>
      <c r="M622">
        <v>4</v>
      </c>
      <c r="N622">
        <v>1</v>
      </c>
    </row>
    <row r="623" spans="1:14">
      <c r="A623">
        <v>55</v>
      </c>
      <c r="B623">
        <v>2</v>
      </c>
      <c r="C623">
        <v>1096</v>
      </c>
      <c r="D623">
        <v>0.21236227066419056</v>
      </c>
      <c r="E623">
        <v>6</v>
      </c>
      <c r="F623">
        <v>0</v>
      </c>
      <c r="G623">
        <v>7.6761294104202182E-2</v>
      </c>
      <c r="H623">
        <v>9417.8687849999933</v>
      </c>
      <c r="I623">
        <v>54</v>
      </c>
      <c r="J623">
        <v>180</v>
      </c>
      <c r="K623">
        <v>1</v>
      </c>
      <c r="L623">
        <v>2</v>
      </c>
      <c r="M623">
        <v>2</v>
      </c>
      <c r="N623">
        <v>1</v>
      </c>
    </row>
    <row r="624" spans="1:14">
      <c r="A624">
        <v>56</v>
      </c>
      <c r="B624">
        <v>1</v>
      </c>
      <c r="C624">
        <v>872</v>
      </c>
      <c r="D624">
        <v>0.22988730603335553</v>
      </c>
      <c r="E624">
        <v>8</v>
      </c>
      <c r="F624">
        <v>0</v>
      </c>
      <c r="G624">
        <v>9.6324065787238969E-2</v>
      </c>
      <c r="H624">
        <v>8699.9149040000048</v>
      </c>
      <c r="I624">
        <v>59</v>
      </c>
      <c r="J624">
        <v>180</v>
      </c>
      <c r="K624">
        <v>2</v>
      </c>
      <c r="L624">
        <v>2</v>
      </c>
      <c r="M624">
        <v>3</v>
      </c>
      <c r="N624">
        <v>1</v>
      </c>
    </row>
    <row r="625" spans="1:14">
      <c r="A625">
        <v>56</v>
      </c>
      <c r="B625">
        <v>2</v>
      </c>
      <c r="C625">
        <v>877</v>
      </c>
      <c r="D625">
        <v>0.20939637341567077</v>
      </c>
      <c r="E625">
        <v>6</v>
      </c>
      <c r="F625">
        <v>0</v>
      </c>
      <c r="G625">
        <v>7.6840059232935604E-2</v>
      </c>
      <c r="H625">
        <v>9551.2637939999986</v>
      </c>
      <c r="I625">
        <v>55</v>
      </c>
      <c r="J625">
        <v>180</v>
      </c>
      <c r="K625">
        <v>1</v>
      </c>
      <c r="L625">
        <v>2</v>
      </c>
      <c r="M625">
        <v>2</v>
      </c>
      <c r="N625">
        <v>1</v>
      </c>
    </row>
    <row r="626" spans="1:14">
      <c r="A626">
        <v>57</v>
      </c>
      <c r="B626">
        <v>1</v>
      </c>
      <c r="C626">
        <v>1286</v>
      </c>
      <c r="D626">
        <v>0.23550418799228787</v>
      </c>
      <c r="E626">
        <v>8</v>
      </c>
      <c r="F626">
        <v>0</v>
      </c>
      <c r="G626">
        <v>9.6193241336792745E-2</v>
      </c>
      <c r="H626">
        <v>8492.4179780000122</v>
      </c>
      <c r="I626">
        <v>57</v>
      </c>
      <c r="J626">
        <v>180</v>
      </c>
      <c r="K626">
        <v>2</v>
      </c>
      <c r="L626">
        <v>2</v>
      </c>
      <c r="M626">
        <v>2</v>
      </c>
      <c r="N626">
        <v>2</v>
      </c>
    </row>
    <row r="627" spans="1:14">
      <c r="A627">
        <v>57</v>
      </c>
      <c r="B627">
        <v>2</v>
      </c>
      <c r="C627">
        <v>1686</v>
      </c>
      <c r="D627">
        <v>0.20974601169993243</v>
      </c>
      <c r="E627">
        <v>6</v>
      </c>
      <c r="F627">
        <v>0</v>
      </c>
      <c r="G627">
        <v>7.683069679174491E-2</v>
      </c>
      <c r="H627">
        <v>9535.3422160000209</v>
      </c>
      <c r="I627">
        <v>57</v>
      </c>
      <c r="J627">
        <v>180</v>
      </c>
      <c r="K627">
        <v>1</v>
      </c>
      <c r="L627">
        <v>2</v>
      </c>
      <c r="M627">
        <v>2</v>
      </c>
      <c r="N627">
        <v>1</v>
      </c>
    </row>
    <row r="628" spans="1:14">
      <c r="A628">
        <v>58</v>
      </c>
      <c r="B628">
        <v>1</v>
      </c>
      <c r="C628">
        <v>1126</v>
      </c>
      <c r="D628">
        <v>0.22809885576036068</v>
      </c>
      <c r="E628">
        <v>8</v>
      </c>
      <c r="F628">
        <v>0</v>
      </c>
      <c r="G628">
        <v>9.6366618694313858E-2</v>
      </c>
      <c r="H628">
        <v>8768.128158000005</v>
      </c>
      <c r="I628">
        <v>50</v>
      </c>
      <c r="J628">
        <v>180</v>
      </c>
      <c r="K628">
        <v>1</v>
      </c>
      <c r="L628">
        <v>3</v>
      </c>
      <c r="M628">
        <v>2</v>
      </c>
      <c r="N628">
        <v>2</v>
      </c>
    </row>
    <row r="629" spans="1:14">
      <c r="A629">
        <v>58</v>
      </c>
      <c r="B629">
        <v>2</v>
      </c>
      <c r="C629">
        <v>1263</v>
      </c>
      <c r="D629">
        <v>0.20973055507977548</v>
      </c>
      <c r="E629">
        <v>6</v>
      </c>
      <c r="F629">
        <v>0</v>
      </c>
      <c r="G629">
        <v>7.6831110241749462E-2</v>
      </c>
      <c r="H629">
        <v>9536.0449470000094</v>
      </c>
      <c r="I629">
        <v>54</v>
      </c>
      <c r="J629">
        <v>180</v>
      </c>
      <c r="K629">
        <v>1</v>
      </c>
      <c r="L629">
        <v>2</v>
      </c>
      <c r="M629">
        <v>2</v>
      </c>
      <c r="N629">
        <v>1</v>
      </c>
    </row>
    <row r="630" spans="1:14">
      <c r="A630">
        <v>59</v>
      </c>
      <c r="B630">
        <v>1</v>
      </c>
      <c r="C630">
        <v>961</v>
      </c>
      <c r="D630">
        <v>0.22771179587876755</v>
      </c>
      <c r="E630">
        <v>8</v>
      </c>
      <c r="F630">
        <v>0</v>
      </c>
      <c r="G630">
        <v>9.6375886660378121E-2</v>
      </c>
      <c r="H630">
        <v>8783.0320439999887</v>
      </c>
      <c r="I630">
        <v>55</v>
      </c>
      <c r="J630">
        <v>180</v>
      </c>
      <c r="K630">
        <v>1</v>
      </c>
      <c r="L630">
        <v>3</v>
      </c>
      <c r="M630">
        <v>3</v>
      </c>
      <c r="N630">
        <v>1</v>
      </c>
    </row>
    <row r="631" spans="1:14">
      <c r="A631">
        <v>59</v>
      </c>
      <c r="B631">
        <v>2</v>
      </c>
      <c r="C631">
        <v>1093</v>
      </c>
      <c r="D631">
        <v>0.21122829244133617</v>
      </c>
      <c r="E631">
        <v>6</v>
      </c>
      <c r="F631">
        <v>0</v>
      </c>
      <c r="G631">
        <v>7.6791234901851052E-2</v>
      </c>
      <c r="H631">
        <v>9468.4285749999817</v>
      </c>
      <c r="I631">
        <v>54</v>
      </c>
      <c r="J631">
        <v>180</v>
      </c>
      <c r="K631">
        <v>1</v>
      </c>
      <c r="L631">
        <v>2</v>
      </c>
      <c r="M631">
        <v>2</v>
      </c>
      <c r="N631">
        <v>1</v>
      </c>
    </row>
    <row r="632" spans="1:14">
      <c r="A632">
        <v>60</v>
      </c>
      <c r="B632">
        <v>1</v>
      </c>
      <c r="C632">
        <v>612</v>
      </c>
      <c r="D632">
        <v>0.23258775382472943</v>
      </c>
      <c r="E632">
        <v>8</v>
      </c>
      <c r="F632">
        <v>0</v>
      </c>
      <c r="G632">
        <v>9.626064312814929E-2</v>
      </c>
      <c r="H632">
        <v>8598.9050030000071</v>
      </c>
      <c r="I632">
        <v>56</v>
      </c>
      <c r="J632">
        <v>180</v>
      </c>
      <c r="K632">
        <v>2</v>
      </c>
      <c r="L632">
        <v>2</v>
      </c>
      <c r="M632">
        <v>2</v>
      </c>
      <c r="N632">
        <v>2</v>
      </c>
    </row>
    <row r="633" spans="1:14">
      <c r="A633">
        <v>60</v>
      </c>
      <c r="B633">
        <v>2</v>
      </c>
      <c r="C633">
        <v>827</v>
      </c>
      <c r="D633">
        <v>0.20748587250272651</v>
      </c>
      <c r="E633">
        <v>6</v>
      </c>
      <c r="F633">
        <v>0</v>
      </c>
      <c r="G633">
        <v>7.6891588367924299E-2</v>
      </c>
      <c r="H633">
        <v>9639.2104960000033</v>
      </c>
      <c r="I633">
        <v>55</v>
      </c>
      <c r="J633">
        <v>180</v>
      </c>
      <c r="K633">
        <v>1</v>
      </c>
      <c r="L633">
        <v>2</v>
      </c>
      <c r="M633">
        <v>2</v>
      </c>
      <c r="N633">
        <v>1</v>
      </c>
    </row>
    <row r="634" spans="1:14">
      <c r="A634">
        <v>61</v>
      </c>
      <c r="B634">
        <v>1</v>
      </c>
      <c r="C634">
        <v>1753</v>
      </c>
      <c r="D634">
        <v>0.2274372696342562</v>
      </c>
      <c r="E634">
        <v>31</v>
      </c>
      <c r="F634">
        <v>0</v>
      </c>
      <c r="G634">
        <v>0.32638247280328581</v>
      </c>
      <c r="H634">
        <v>8793.6335289999606</v>
      </c>
      <c r="I634">
        <v>55</v>
      </c>
      <c r="J634">
        <v>180</v>
      </c>
      <c r="K634">
        <v>10</v>
      </c>
      <c r="L634">
        <v>1</v>
      </c>
      <c r="M634">
        <v>2</v>
      </c>
      <c r="N634">
        <v>18</v>
      </c>
    </row>
    <row r="635" spans="1:14">
      <c r="A635">
        <v>61</v>
      </c>
      <c r="B635">
        <v>2</v>
      </c>
      <c r="C635">
        <v>1040</v>
      </c>
      <c r="D635">
        <v>0.1760087775126763</v>
      </c>
      <c r="E635">
        <v>7</v>
      </c>
      <c r="F635">
        <v>0</v>
      </c>
      <c r="G635">
        <v>8.7843849754988407E-2</v>
      </c>
      <c r="H635">
        <v>11363.069662000002</v>
      </c>
      <c r="I635">
        <v>57</v>
      </c>
      <c r="J635">
        <v>180</v>
      </c>
      <c r="K635">
        <v>2</v>
      </c>
      <c r="L635">
        <v>1</v>
      </c>
      <c r="M635">
        <v>2</v>
      </c>
      <c r="N635">
        <v>2</v>
      </c>
    </row>
    <row r="636" spans="1:14">
      <c r="A636">
        <v>62</v>
      </c>
      <c r="B636">
        <v>1</v>
      </c>
      <c r="C636">
        <v>603</v>
      </c>
      <c r="D636">
        <v>0.20959036251417423</v>
      </c>
      <c r="E636">
        <v>12</v>
      </c>
      <c r="F636">
        <v>0</v>
      </c>
      <c r="G636">
        <v>0.1368348621169018</v>
      </c>
      <c r="H636">
        <v>9542.4234969999798</v>
      </c>
      <c r="I636">
        <v>57</v>
      </c>
      <c r="J636">
        <v>180</v>
      </c>
      <c r="K636">
        <v>2</v>
      </c>
      <c r="L636">
        <v>2</v>
      </c>
      <c r="M636">
        <v>3</v>
      </c>
      <c r="N636">
        <v>5</v>
      </c>
    </row>
    <row r="637" spans="1:14">
      <c r="A637">
        <v>62</v>
      </c>
      <c r="B637">
        <v>2</v>
      </c>
      <c r="C637">
        <v>803</v>
      </c>
      <c r="D637">
        <v>0.16469160989127035</v>
      </c>
      <c r="E637">
        <v>9</v>
      </c>
      <c r="F637">
        <v>0</v>
      </c>
      <c r="G637">
        <v>0.10824355659892555</v>
      </c>
      <c r="H637">
        <v>12143.909464000037</v>
      </c>
      <c r="I637">
        <v>54</v>
      </c>
      <c r="J637">
        <v>180</v>
      </c>
      <c r="K637">
        <v>1</v>
      </c>
      <c r="L637">
        <v>1</v>
      </c>
      <c r="M637">
        <v>1</v>
      </c>
      <c r="N637">
        <v>6</v>
      </c>
    </row>
    <row r="638" spans="1:14">
      <c r="A638">
        <v>63</v>
      </c>
      <c r="B638">
        <v>1</v>
      </c>
      <c r="C638">
        <v>6934</v>
      </c>
      <c r="D638">
        <v>0.21147528839586135</v>
      </c>
      <c r="E638">
        <v>12</v>
      </c>
      <c r="F638">
        <v>0</v>
      </c>
      <c r="G638">
        <v>0.13678469515776159</v>
      </c>
      <c r="H638">
        <v>9457.3697719999927</v>
      </c>
      <c r="I638">
        <v>57</v>
      </c>
      <c r="J638">
        <v>180</v>
      </c>
      <c r="K638">
        <v>2</v>
      </c>
      <c r="L638">
        <v>3</v>
      </c>
      <c r="M638">
        <v>2</v>
      </c>
      <c r="N638">
        <v>5</v>
      </c>
    </row>
    <row r="639" spans="1:14">
      <c r="A639">
        <v>63</v>
      </c>
      <c r="B639">
        <v>2</v>
      </c>
      <c r="C639">
        <v>908</v>
      </c>
      <c r="D639">
        <v>0.16404956687876551</v>
      </c>
      <c r="E639">
        <v>12</v>
      </c>
      <c r="F639">
        <v>0</v>
      </c>
      <c r="G639">
        <v>0.13826732563565181</v>
      </c>
      <c r="H639">
        <v>12191.437247000003</v>
      </c>
      <c r="I639">
        <v>61</v>
      </c>
      <c r="J639">
        <v>180</v>
      </c>
      <c r="K639">
        <v>2</v>
      </c>
      <c r="L639">
        <v>2</v>
      </c>
      <c r="M639">
        <v>7</v>
      </c>
      <c r="N639">
        <v>1</v>
      </c>
    </row>
    <row r="640" spans="1:14">
      <c r="A640">
        <v>64</v>
      </c>
      <c r="B640">
        <v>1</v>
      </c>
      <c r="C640">
        <v>1724</v>
      </c>
      <c r="D640">
        <v>0.23022646211787282</v>
      </c>
      <c r="E640">
        <v>15</v>
      </c>
      <c r="F640">
        <v>0</v>
      </c>
      <c r="G640">
        <v>0.16631604596326791</v>
      </c>
      <c r="H640">
        <v>8687.0987010000063</v>
      </c>
      <c r="I640">
        <v>59</v>
      </c>
      <c r="J640">
        <v>180</v>
      </c>
      <c r="K640">
        <v>3</v>
      </c>
      <c r="L640">
        <v>3</v>
      </c>
      <c r="M640">
        <v>3</v>
      </c>
      <c r="N640">
        <v>6</v>
      </c>
    </row>
    <row r="641" spans="1:14">
      <c r="A641">
        <v>64</v>
      </c>
      <c r="B641">
        <v>2</v>
      </c>
      <c r="C641">
        <v>529</v>
      </c>
      <c r="D641">
        <v>0.17816964566434454</v>
      </c>
      <c r="E641">
        <v>9</v>
      </c>
      <c r="F641">
        <v>0</v>
      </c>
      <c r="G641">
        <v>0.10777141851441091</v>
      </c>
      <c r="H641">
        <v>11225.256651000018</v>
      </c>
      <c r="I641">
        <v>54</v>
      </c>
      <c r="J641">
        <v>180</v>
      </c>
      <c r="K641">
        <v>1</v>
      </c>
      <c r="L641">
        <v>1</v>
      </c>
      <c r="M641">
        <v>3</v>
      </c>
      <c r="N641">
        <v>4</v>
      </c>
    </row>
    <row r="642" spans="1:14">
      <c r="A642">
        <v>65</v>
      </c>
      <c r="B642">
        <v>1</v>
      </c>
      <c r="C642">
        <v>767</v>
      </c>
      <c r="D642">
        <v>0.213405132972459</v>
      </c>
      <c r="E642">
        <v>19</v>
      </c>
      <c r="F642">
        <v>0</v>
      </c>
      <c r="G642">
        <v>0.20673394663242464</v>
      </c>
      <c r="H642">
        <v>9371.8458039999914</v>
      </c>
      <c r="I642">
        <v>58</v>
      </c>
      <c r="J642">
        <v>180</v>
      </c>
      <c r="K642">
        <v>4</v>
      </c>
      <c r="L642">
        <v>1</v>
      </c>
      <c r="M642">
        <v>7</v>
      </c>
      <c r="N642">
        <v>7</v>
      </c>
    </row>
    <row r="643" spans="1:14">
      <c r="A643">
        <v>65</v>
      </c>
      <c r="B643">
        <v>2</v>
      </c>
      <c r="C643">
        <v>709</v>
      </c>
      <c r="D643">
        <v>0.16813854999202685</v>
      </c>
      <c r="E643">
        <v>7</v>
      </c>
      <c r="F643">
        <v>0</v>
      </c>
      <c r="G643">
        <v>8.8118026925580517E-2</v>
      </c>
      <c r="H643">
        <v>11894.952109999998</v>
      </c>
      <c r="I643">
        <v>58</v>
      </c>
      <c r="J643">
        <v>180</v>
      </c>
      <c r="K643">
        <v>1</v>
      </c>
      <c r="L643">
        <v>2</v>
      </c>
      <c r="M643">
        <v>2</v>
      </c>
      <c r="N643">
        <v>2</v>
      </c>
    </row>
    <row r="644" spans="1:14">
      <c r="A644">
        <v>66</v>
      </c>
      <c r="B644">
        <v>1</v>
      </c>
      <c r="C644">
        <v>687</v>
      </c>
      <c r="D644">
        <v>0.22809750256985317</v>
      </c>
      <c r="E644">
        <v>27</v>
      </c>
      <c r="F644">
        <v>0</v>
      </c>
      <c r="G644">
        <v>0.28636665105928794</v>
      </c>
      <c r="H644">
        <v>8768.1801750000086</v>
      </c>
      <c r="I644">
        <v>60</v>
      </c>
      <c r="J644">
        <v>180</v>
      </c>
      <c r="K644">
        <v>3</v>
      </c>
      <c r="L644">
        <v>7</v>
      </c>
      <c r="M644">
        <v>1</v>
      </c>
      <c r="N644">
        <v>16</v>
      </c>
    </row>
    <row r="645" spans="1:14">
      <c r="A645">
        <v>66</v>
      </c>
      <c r="B645">
        <v>2</v>
      </c>
      <c r="C645">
        <v>810</v>
      </c>
      <c r="D645">
        <v>0.1776332935726016</v>
      </c>
      <c r="E645">
        <v>8</v>
      </c>
      <c r="F645">
        <v>0</v>
      </c>
      <c r="G645">
        <v>9.7789287086750235E-2</v>
      </c>
      <c r="H645">
        <v>11259.150577999993</v>
      </c>
      <c r="I645">
        <v>62</v>
      </c>
      <c r="J645">
        <v>180</v>
      </c>
      <c r="K645">
        <v>2</v>
      </c>
      <c r="L645">
        <v>2</v>
      </c>
      <c r="M645">
        <v>1</v>
      </c>
      <c r="N645">
        <v>3</v>
      </c>
    </row>
    <row r="646" spans="1:14">
      <c r="A646">
        <v>67</v>
      </c>
      <c r="B646">
        <v>1</v>
      </c>
      <c r="C646">
        <v>3458</v>
      </c>
      <c r="D646">
        <v>0.20857603832117844</v>
      </c>
      <c r="E646">
        <v>15</v>
      </c>
      <c r="F646">
        <v>0</v>
      </c>
      <c r="G646">
        <v>0.16686210781889596</v>
      </c>
      <c r="H646">
        <v>9588.8291679999929</v>
      </c>
      <c r="I646">
        <v>56</v>
      </c>
      <c r="J646">
        <v>180</v>
      </c>
      <c r="K646">
        <v>1</v>
      </c>
      <c r="L646">
        <v>4</v>
      </c>
      <c r="M646">
        <v>3</v>
      </c>
      <c r="N646">
        <v>7</v>
      </c>
    </row>
    <row r="647" spans="1:14">
      <c r="A647">
        <v>67</v>
      </c>
      <c r="B647">
        <v>2</v>
      </c>
      <c r="C647">
        <v>856</v>
      </c>
      <c r="D647">
        <v>0.16599392561347248</v>
      </c>
      <c r="E647">
        <v>7</v>
      </c>
      <c r="F647">
        <v>0</v>
      </c>
      <c r="G647">
        <v>8.8195720959467538E-2</v>
      </c>
      <c r="H647">
        <v>12048.633662999986</v>
      </c>
      <c r="I647">
        <v>53</v>
      </c>
      <c r="J647">
        <v>180</v>
      </c>
      <c r="K647">
        <v>1</v>
      </c>
      <c r="L647">
        <v>2</v>
      </c>
      <c r="M647">
        <v>1</v>
      </c>
      <c r="N647">
        <v>3</v>
      </c>
    </row>
    <row r="648" spans="1:14">
      <c r="A648">
        <v>68</v>
      </c>
      <c r="B648">
        <v>1</v>
      </c>
      <c r="C648">
        <v>4106</v>
      </c>
      <c r="D648">
        <v>0.22436809629562396</v>
      </c>
      <c r="E648">
        <v>14</v>
      </c>
      <c r="F648">
        <v>0</v>
      </c>
      <c r="G648">
        <v>0.15645683439927688</v>
      </c>
      <c r="H648">
        <v>8913.9232940000111</v>
      </c>
      <c r="I648">
        <v>57</v>
      </c>
      <c r="J648">
        <v>180</v>
      </c>
      <c r="K648">
        <v>2</v>
      </c>
      <c r="L648">
        <v>3</v>
      </c>
      <c r="M648">
        <v>3</v>
      </c>
      <c r="N648">
        <v>6</v>
      </c>
    </row>
    <row r="649" spans="1:14">
      <c r="A649">
        <v>68</v>
      </c>
      <c r="B649">
        <v>2</v>
      </c>
      <c r="C649">
        <v>618</v>
      </c>
      <c r="D649">
        <v>0.17404870619634563</v>
      </c>
      <c r="E649">
        <v>8</v>
      </c>
      <c r="F649">
        <v>0</v>
      </c>
      <c r="G649">
        <v>9.7910583451834565E-2</v>
      </c>
      <c r="H649">
        <v>11491.036295000005</v>
      </c>
      <c r="I649">
        <v>58</v>
      </c>
      <c r="J649">
        <v>180</v>
      </c>
      <c r="K649">
        <v>3</v>
      </c>
      <c r="L649">
        <v>1</v>
      </c>
      <c r="M649">
        <v>2</v>
      </c>
      <c r="N649">
        <v>2</v>
      </c>
    </row>
    <row r="650" spans="1:14">
      <c r="A650">
        <v>69</v>
      </c>
      <c r="B650">
        <v>1</v>
      </c>
      <c r="C650">
        <v>697</v>
      </c>
      <c r="D650">
        <v>0.22321258354395113</v>
      </c>
      <c r="E650">
        <v>14</v>
      </c>
      <c r="F650">
        <v>0</v>
      </c>
      <c r="G650">
        <v>0.1564851831031546</v>
      </c>
      <c r="H650">
        <v>8960.06832700001</v>
      </c>
      <c r="I650">
        <v>57</v>
      </c>
      <c r="J650">
        <v>180</v>
      </c>
      <c r="K650">
        <v>3</v>
      </c>
      <c r="L650">
        <v>3</v>
      </c>
      <c r="M650">
        <v>3</v>
      </c>
      <c r="N650">
        <v>5</v>
      </c>
    </row>
    <row r="651" spans="1:14">
      <c r="A651">
        <v>69</v>
      </c>
      <c r="B651">
        <v>2</v>
      </c>
      <c r="C651">
        <v>799</v>
      </c>
      <c r="D651">
        <v>0.18033254797507833</v>
      </c>
      <c r="E651">
        <v>8</v>
      </c>
      <c r="F651">
        <v>0</v>
      </c>
      <c r="G651">
        <v>9.7700082624339005E-2</v>
      </c>
      <c r="H651">
        <v>11090.621313000007</v>
      </c>
      <c r="I651">
        <v>57</v>
      </c>
      <c r="J651">
        <v>180</v>
      </c>
      <c r="K651">
        <v>2</v>
      </c>
      <c r="L651">
        <v>2</v>
      </c>
      <c r="M651">
        <v>1</v>
      </c>
      <c r="N651">
        <v>3</v>
      </c>
    </row>
    <row r="652" spans="1:14">
      <c r="A652">
        <v>70</v>
      </c>
      <c r="B652">
        <v>1</v>
      </c>
      <c r="C652">
        <v>8849</v>
      </c>
      <c r="D652">
        <v>0.2331349441490547</v>
      </c>
      <c r="E652">
        <v>23</v>
      </c>
      <c r="F652">
        <v>0</v>
      </c>
      <c r="G652">
        <v>0.24624791139325986</v>
      </c>
      <c r="H652">
        <v>8578.722538999993</v>
      </c>
      <c r="I652">
        <v>53</v>
      </c>
      <c r="J652">
        <v>180</v>
      </c>
      <c r="K652">
        <v>1</v>
      </c>
      <c r="L652">
        <v>11</v>
      </c>
      <c r="M652">
        <v>4</v>
      </c>
      <c r="N652">
        <v>7</v>
      </c>
    </row>
    <row r="653" spans="1:14">
      <c r="A653">
        <v>70</v>
      </c>
      <c r="B653">
        <v>2</v>
      </c>
      <c r="C653">
        <v>716</v>
      </c>
      <c r="D653">
        <v>0.18389561382183992</v>
      </c>
      <c r="E653">
        <v>8</v>
      </c>
      <c r="F653">
        <v>0</v>
      </c>
      <c r="G653">
        <v>9.7585020397133626E-2</v>
      </c>
      <c r="H653">
        <v>10875.735198000002</v>
      </c>
      <c r="I653">
        <v>57</v>
      </c>
      <c r="J653">
        <v>180</v>
      </c>
      <c r="K653">
        <v>1</v>
      </c>
      <c r="L653">
        <v>2</v>
      </c>
      <c r="M653">
        <v>3</v>
      </c>
      <c r="N653">
        <v>2</v>
      </c>
    </row>
    <row r="654" spans="1:14">
      <c r="A654">
        <v>71</v>
      </c>
      <c r="B654">
        <v>1</v>
      </c>
      <c r="C654">
        <v>535</v>
      </c>
      <c r="D654">
        <v>0.21933130858228</v>
      </c>
      <c r="E654">
        <v>8</v>
      </c>
      <c r="F654">
        <v>0</v>
      </c>
      <c r="G654">
        <v>9.6581855392631033E-2</v>
      </c>
      <c r="H654">
        <v>9118.6252110000041</v>
      </c>
      <c r="I654">
        <v>53</v>
      </c>
      <c r="J654">
        <v>180</v>
      </c>
      <c r="K654">
        <v>1</v>
      </c>
      <c r="L654">
        <v>1</v>
      </c>
      <c r="M654">
        <v>3</v>
      </c>
      <c r="N654">
        <v>3</v>
      </c>
    </row>
    <row r="655" spans="1:14">
      <c r="A655">
        <v>71</v>
      </c>
      <c r="B655">
        <v>2</v>
      </c>
      <c r="C655">
        <v>563</v>
      </c>
      <c r="D655">
        <v>0.19778012759600211</v>
      </c>
      <c r="E655">
        <v>5</v>
      </c>
      <c r="F655">
        <v>0</v>
      </c>
      <c r="G655">
        <v>6.7163497157054775E-2</v>
      </c>
      <c r="H655">
        <v>10112.239405999997</v>
      </c>
      <c r="I655">
        <v>57</v>
      </c>
      <c r="J655">
        <v>180</v>
      </c>
      <c r="K655">
        <v>1</v>
      </c>
      <c r="L655">
        <v>1</v>
      </c>
      <c r="M655">
        <v>1</v>
      </c>
      <c r="N655">
        <v>2</v>
      </c>
    </row>
    <row r="656" spans="1:14">
      <c r="A656">
        <v>72</v>
      </c>
      <c r="B656">
        <v>1</v>
      </c>
      <c r="C656">
        <v>1054</v>
      </c>
      <c r="D656">
        <v>0.22886697933242026</v>
      </c>
      <c r="E656">
        <v>7</v>
      </c>
      <c r="F656">
        <v>0</v>
      </c>
      <c r="G656">
        <v>8.634828828511143E-2</v>
      </c>
      <c r="H656">
        <v>8738.7005580000205</v>
      </c>
      <c r="I656">
        <v>62</v>
      </c>
      <c r="J656">
        <v>180</v>
      </c>
      <c r="K656">
        <v>2</v>
      </c>
      <c r="L656">
        <v>1</v>
      </c>
      <c r="M656">
        <v>2</v>
      </c>
      <c r="N656">
        <v>2</v>
      </c>
    </row>
    <row r="657" spans="1:14">
      <c r="A657">
        <v>72</v>
      </c>
      <c r="B657">
        <v>2</v>
      </c>
      <c r="C657">
        <v>1302</v>
      </c>
      <c r="D657">
        <v>0.19986146979958963</v>
      </c>
      <c r="E657">
        <v>5</v>
      </c>
      <c r="F657">
        <v>0</v>
      </c>
      <c r="G657">
        <v>6.7103709346009094E-2</v>
      </c>
      <c r="H657">
        <v>10006.931311000028</v>
      </c>
      <c r="I657">
        <v>54</v>
      </c>
      <c r="J657">
        <v>180</v>
      </c>
      <c r="K657">
        <v>1</v>
      </c>
      <c r="L657">
        <v>1</v>
      </c>
      <c r="M657">
        <v>1</v>
      </c>
      <c r="N657">
        <v>2</v>
      </c>
    </row>
    <row r="658" spans="1:14">
      <c r="A658">
        <v>73</v>
      </c>
      <c r="B658">
        <v>1</v>
      </c>
      <c r="C658">
        <v>728</v>
      </c>
      <c r="D658">
        <v>0.22488452302023826</v>
      </c>
      <c r="E658">
        <v>8</v>
      </c>
      <c r="F658">
        <v>0</v>
      </c>
      <c r="G658">
        <v>9.6444227539516703E-2</v>
      </c>
      <c r="H658">
        <v>8893.4532850000178</v>
      </c>
      <c r="I658">
        <v>55</v>
      </c>
      <c r="J658">
        <v>180</v>
      </c>
      <c r="K658">
        <v>1</v>
      </c>
      <c r="L658">
        <v>2</v>
      </c>
      <c r="M658">
        <v>1</v>
      </c>
      <c r="N658">
        <v>4</v>
      </c>
    </row>
    <row r="659" spans="1:14">
      <c r="A659">
        <v>73</v>
      </c>
      <c r="B659">
        <v>2</v>
      </c>
      <c r="C659">
        <v>663</v>
      </c>
      <c r="D659">
        <v>0.19728840423107552</v>
      </c>
      <c r="E659">
        <v>5</v>
      </c>
      <c r="F659">
        <v>0</v>
      </c>
      <c r="G659">
        <v>6.7177744810686835E-2</v>
      </c>
      <c r="H659">
        <v>10137.443241000039</v>
      </c>
      <c r="I659">
        <v>55</v>
      </c>
      <c r="J659">
        <v>180</v>
      </c>
      <c r="K659">
        <v>1</v>
      </c>
      <c r="L659">
        <v>1</v>
      </c>
      <c r="M659">
        <v>1</v>
      </c>
      <c r="N659">
        <v>2</v>
      </c>
    </row>
    <row r="660" spans="1:14">
      <c r="A660">
        <v>74</v>
      </c>
      <c r="B660">
        <v>1</v>
      </c>
      <c r="C660">
        <v>1126</v>
      </c>
      <c r="D660">
        <v>0.21781846420778142</v>
      </c>
      <c r="E660">
        <v>7</v>
      </c>
      <c r="F660">
        <v>0</v>
      </c>
      <c r="G660">
        <v>8.6620156266405693E-2</v>
      </c>
      <c r="H660">
        <v>9181.9580459999925</v>
      </c>
      <c r="I660">
        <v>51</v>
      </c>
      <c r="J660">
        <v>180</v>
      </c>
      <c r="K660">
        <v>1</v>
      </c>
      <c r="L660">
        <v>1</v>
      </c>
      <c r="M660">
        <v>2</v>
      </c>
      <c r="N660">
        <v>3</v>
      </c>
    </row>
    <row r="661" spans="1:14">
      <c r="A661">
        <v>74</v>
      </c>
      <c r="B661">
        <v>2</v>
      </c>
      <c r="C661">
        <v>1608</v>
      </c>
      <c r="D661">
        <v>0.19793621698454861</v>
      </c>
      <c r="E661">
        <v>5</v>
      </c>
      <c r="F661">
        <v>0</v>
      </c>
      <c r="G661">
        <v>6.7158984349272088E-2</v>
      </c>
      <c r="H661">
        <v>10104.265053000003</v>
      </c>
      <c r="I661">
        <v>54</v>
      </c>
      <c r="J661">
        <v>180</v>
      </c>
      <c r="K661">
        <v>1</v>
      </c>
      <c r="L661">
        <v>1</v>
      </c>
      <c r="M661">
        <v>1</v>
      </c>
      <c r="N661">
        <v>2</v>
      </c>
    </row>
    <row r="662" spans="1:14">
      <c r="A662">
        <v>75</v>
      </c>
      <c r="B662">
        <v>1</v>
      </c>
      <c r="C662">
        <v>4699</v>
      </c>
      <c r="D662">
        <v>0.23315406864642521</v>
      </c>
      <c r="E662">
        <v>7</v>
      </c>
      <c r="F662">
        <v>0</v>
      </c>
      <c r="G662">
        <v>8.6247467135325065E-2</v>
      </c>
      <c r="H662">
        <v>8578.0188679999883</v>
      </c>
      <c r="I662">
        <v>56</v>
      </c>
      <c r="J662">
        <v>180</v>
      </c>
      <c r="K662">
        <v>1</v>
      </c>
      <c r="L662">
        <v>2</v>
      </c>
      <c r="M662">
        <v>2</v>
      </c>
      <c r="N662">
        <v>2</v>
      </c>
    </row>
    <row r="663" spans="1:14">
      <c r="A663">
        <v>75</v>
      </c>
      <c r="B663">
        <v>2</v>
      </c>
      <c r="C663">
        <v>5159</v>
      </c>
      <c r="D663">
        <v>0.1999626168488064</v>
      </c>
      <c r="E663">
        <v>5</v>
      </c>
      <c r="F663">
        <v>0</v>
      </c>
      <c r="G663">
        <v>6.7100825004369438E-2</v>
      </c>
      <c r="H663">
        <v>10001.869506999994</v>
      </c>
      <c r="I663">
        <v>57</v>
      </c>
      <c r="J663">
        <v>180</v>
      </c>
      <c r="K663">
        <v>1</v>
      </c>
      <c r="L663">
        <v>1</v>
      </c>
      <c r="M663">
        <v>1</v>
      </c>
      <c r="N663">
        <v>2</v>
      </c>
    </row>
    <row r="664" spans="1:14">
      <c r="A664">
        <v>76</v>
      </c>
      <c r="B664">
        <v>1</v>
      </c>
      <c r="C664">
        <v>1123</v>
      </c>
      <c r="D664">
        <v>0.22886862091015803</v>
      </c>
      <c r="E664">
        <v>7</v>
      </c>
      <c r="F664">
        <v>0</v>
      </c>
      <c r="G664">
        <v>8.6348249198567442E-2</v>
      </c>
      <c r="H664">
        <v>8738.6378790000072</v>
      </c>
      <c r="I664">
        <v>55</v>
      </c>
      <c r="J664">
        <v>180</v>
      </c>
      <c r="K664">
        <v>1</v>
      </c>
      <c r="L664">
        <v>2</v>
      </c>
      <c r="M664">
        <v>2</v>
      </c>
      <c r="N664">
        <v>2</v>
      </c>
    </row>
    <row r="665" spans="1:14">
      <c r="A665">
        <v>76</v>
      </c>
      <c r="B665">
        <v>2</v>
      </c>
      <c r="C665">
        <v>1103</v>
      </c>
      <c r="D665">
        <v>0.19806233490572267</v>
      </c>
      <c r="E665">
        <v>5</v>
      </c>
      <c r="F665">
        <v>0</v>
      </c>
      <c r="G665">
        <v>6.7155341531593429E-2</v>
      </c>
      <c r="H665">
        <v>10097.831073999994</v>
      </c>
      <c r="I665">
        <v>54</v>
      </c>
      <c r="J665">
        <v>180</v>
      </c>
      <c r="K665">
        <v>1</v>
      </c>
      <c r="L665">
        <v>1</v>
      </c>
      <c r="M665">
        <v>1</v>
      </c>
      <c r="N665">
        <v>2</v>
      </c>
    </row>
    <row r="666" spans="1:14">
      <c r="A666">
        <v>77</v>
      </c>
      <c r="B666">
        <v>1</v>
      </c>
      <c r="C666">
        <v>2725</v>
      </c>
      <c r="D666">
        <v>0.23062115247524351</v>
      </c>
      <c r="E666">
        <v>7</v>
      </c>
      <c r="F666">
        <v>0</v>
      </c>
      <c r="G666">
        <v>8.6306732762559554E-2</v>
      </c>
      <c r="H666">
        <v>8672.2314000000242</v>
      </c>
      <c r="I666">
        <v>55</v>
      </c>
      <c r="J666">
        <v>180</v>
      </c>
      <c r="K666">
        <v>1</v>
      </c>
      <c r="L666">
        <v>2</v>
      </c>
      <c r="M666">
        <v>2</v>
      </c>
      <c r="N666">
        <v>2</v>
      </c>
    </row>
    <row r="667" spans="1:14">
      <c r="A667">
        <v>77</v>
      </c>
      <c r="B667">
        <v>2</v>
      </c>
      <c r="C667">
        <v>2721</v>
      </c>
      <c r="D667">
        <v>0.19900480051499173</v>
      </c>
      <c r="E667">
        <v>5</v>
      </c>
      <c r="F667">
        <v>0</v>
      </c>
      <c r="G667">
        <v>6.7128216707554159E-2</v>
      </c>
      <c r="H667">
        <v>10050.008818000011</v>
      </c>
      <c r="I667">
        <v>55</v>
      </c>
      <c r="J667">
        <v>180</v>
      </c>
      <c r="K667">
        <v>1</v>
      </c>
      <c r="L667">
        <v>1</v>
      </c>
      <c r="M667">
        <v>1</v>
      </c>
      <c r="N667">
        <v>2</v>
      </c>
    </row>
    <row r="668" spans="1:14">
      <c r="A668">
        <v>78</v>
      </c>
      <c r="B668">
        <v>1</v>
      </c>
      <c r="C668">
        <v>707</v>
      </c>
      <c r="D668">
        <v>0.2313261961417698</v>
      </c>
      <c r="E668">
        <v>7</v>
      </c>
      <c r="F668">
        <v>0</v>
      </c>
      <c r="G668">
        <v>8.6290149169151065E-2</v>
      </c>
      <c r="H668">
        <v>8645.7998849999967</v>
      </c>
      <c r="I668">
        <v>55</v>
      </c>
      <c r="J668">
        <v>180</v>
      </c>
      <c r="K668">
        <v>1</v>
      </c>
      <c r="L668">
        <v>2</v>
      </c>
      <c r="M668">
        <v>2</v>
      </c>
      <c r="N668">
        <v>2</v>
      </c>
    </row>
    <row r="669" spans="1:14">
      <c r="A669">
        <v>78</v>
      </c>
      <c r="B669">
        <v>2</v>
      </c>
      <c r="C669">
        <v>1031</v>
      </c>
      <c r="D669">
        <v>0.19913207996198365</v>
      </c>
      <c r="E669">
        <v>5</v>
      </c>
      <c r="F669">
        <v>0</v>
      </c>
      <c r="G669">
        <v>6.7124566643410682E-2</v>
      </c>
      <c r="H669">
        <v>10043.585144000004</v>
      </c>
      <c r="I669">
        <v>53</v>
      </c>
      <c r="J669">
        <v>180</v>
      </c>
      <c r="K669">
        <v>1</v>
      </c>
      <c r="L669">
        <v>1</v>
      </c>
      <c r="M669">
        <v>1</v>
      </c>
      <c r="N669">
        <v>2</v>
      </c>
    </row>
    <row r="670" spans="1:14">
      <c r="A670">
        <v>79</v>
      </c>
      <c r="B670">
        <v>1</v>
      </c>
      <c r="C670">
        <v>1106</v>
      </c>
      <c r="D670">
        <v>0.22640057996076648</v>
      </c>
      <c r="E670">
        <v>7</v>
      </c>
      <c r="F670">
        <v>0</v>
      </c>
      <c r="G670">
        <v>8.6407439882358203E-2</v>
      </c>
      <c r="H670">
        <v>8833.8996319999933</v>
      </c>
      <c r="I670">
        <v>58</v>
      </c>
      <c r="J670">
        <v>180</v>
      </c>
      <c r="K670">
        <v>2</v>
      </c>
      <c r="L670">
        <v>1</v>
      </c>
      <c r="M670">
        <v>2</v>
      </c>
      <c r="N670">
        <v>2</v>
      </c>
    </row>
    <row r="671" spans="1:14">
      <c r="A671">
        <v>79</v>
      </c>
      <c r="B671">
        <v>2</v>
      </c>
      <c r="C671">
        <v>6223</v>
      </c>
      <c r="D671">
        <v>0.19911811395747844</v>
      </c>
      <c r="E671">
        <v>5</v>
      </c>
      <c r="F671">
        <v>0</v>
      </c>
      <c r="G671">
        <v>6.7124967002405014E-2</v>
      </c>
      <c r="H671">
        <v>10044.289593999965</v>
      </c>
      <c r="I671">
        <v>57</v>
      </c>
      <c r="J671">
        <v>180</v>
      </c>
      <c r="K671">
        <v>1</v>
      </c>
      <c r="L671">
        <v>1</v>
      </c>
      <c r="M671">
        <v>1</v>
      </c>
      <c r="N671">
        <v>2</v>
      </c>
    </row>
    <row r="672" spans="1:14">
      <c r="A672">
        <v>80</v>
      </c>
      <c r="B672">
        <v>1</v>
      </c>
      <c r="C672">
        <v>1762</v>
      </c>
      <c r="D672">
        <v>0.22852677592810147</v>
      </c>
      <c r="E672">
        <v>8</v>
      </c>
      <c r="F672">
        <v>0</v>
      </c>
      <c r="G672">
        <v>9.6356396723317278E-2</v>
      </c>
      <c r="H672">
        <v>8751.7096929999789</v>
      </c>
      <c r="I672">
        <v>60</v>
      </c>
      <c r="J672">
        <v>180</v>
      </c>
      <c r="K672">
        <v>3</v>
      </c>
      <c r="L672">
        <v>1</v>
      </c>
      <c r="M672">
        <v>2</v>
      </c>
      <c r="N672">
        <v>2</v>
      </c>
    </row>
    <row r="673" spans="1:14">
      <c r="A673">
        <v>80</v>
      </c>
      <c r="B673">
        <v>2</v>
      </c>
      <c r="C673">
        <v>1437</v>
      </c>
      <c r="D673">
        <v>0.19945357260451421</v>
      </c>
      <c r="E673">
        <v>5</v>
      </c>
      <c r="F673">
        <v>0</v>
      </c>
      <c r="G673">
        <v>6.7115360853871098E-2</v>
      </c>
      <c r="H673">
        <v>10027.396219999993</v>
      </c>
      <c r="I673">
        <v>53</v>
      </c>
      <c r="J673">
        <v>180</v>
      </c>
      <c r="K673">
        <v>1</v>
      </c>
      <c r="L673">
        <v>1</v>
      </c>
      <c r="M673">
        <v>1</v>
      </c>
      <c r="N673">
        <v>2</v>
      </c>
    </row>
    <row r="684" spans="1:14">
      <c r="A684">
        <v>1</v>
      </c>
      <c r="B684">
        <v>1</v>
      </c>
      <c r="C684">
        <v>2908</v>
      </c>
      <c r="D684">
        <v>0.38478539360586966</v>
      </c>
      <c r="E684">
        <v>62</v>
      </c>
      <c r="F684">
        <v>0</v>
      </c>
      <c r="G684">
        <v>0.63374866322563539</v>
      </c>
      <c r="H684">
        <v>5197.7024939999992</v>
      </c>
      <c r="I684">
        <v>55</v>
      </c>
      <c r="J684">
        <v>180</v>
      </c>
      <c r="K684">
        <v>15</v>
      </c>
      <c r="L684">
        <v>18</v>
      </c>
      <c r="M684">
        <v>15</v>
      </c>
      <c r="N684">
        <v>14</v>
      </c>
    </row>
    <row r="685" spans="1:14">
      <c r="A685">
        <v>1</v>
      </c>
      <c r="B685">
        <v>2</v>
      </c>
      <c r="C685">
        <v>4015</v>
      </c>
      <c r="D685">
        <v>0.32499790260978573</v>
      </c>
      <c r="E685">
        <v>30</v>
      </c>
      <c r="F685">
        <v>0</v>
      </c>
      <c r="G685">
        <v>0.3145447573590478</v>
      </c>
      <c r="H685">
        <v>6153.8858679999976</v>
      </c>
      <c r="I685">
        <v>56</v>
      </c>
      <c r="J685">
        <v>180</v>
      </c>
      <c r="K685">
        <v>5</v>
      </c>
      <c r="L685">
        <v>10</v>
      </c>
      <c r="M685">
        <v>7</v>
      </c>
      <c r="N685">
        <v>8</v>
      </c>
    </row>
    <row r="686" spans="1:14">
      <c r="A686">
        <v>2</v>
      </c>
      <c r="B686">
        <v>1</v>
      </c>
      <c r="C686">
        <v>5774</v>
      </c>
      <c r="D686">
        <v>0.37151564439932849</v>
      </c>
      <c r="E686">
        <v>45</v>
      </c>
      <c r="F686">
        <v>0</v>
      </c>
      <c r="G686">
        <v>0.46391044311218843</v>
      </c>
      <c r="H686">
        <v>5383.3533799999914</v>
      </c>
      <c r="I686">
        <v>57</v>
      </c>
      <c r="J686">
        <v>180</v>
      </c>
      <c r="K686">
        <v>7</v>
      </c>
      <c r="L686">
        <v>10</v>
      </c>
      <c r="M686">
        <v>19</v>
      </c>
      <c r="N686">
        <v>9</v>
      </c>
    </row>
    <row r="687" spans="1:14">
      <c r="A687">
        <v>2</v>
      </c>
      <c r="B687">
        <v>2</v>
      </c>
      <c r="C687">
        <v>2620</v>
      </c>
      <c r="D687">
        <v>0.31474918404645735</v>
      </c>
      <c r="E687">
        <v>21</v>
      </c>
      <c r="F687">
        <v>0</v>
      </c>
      <c r="G687">
        <v>0.22470094081087377</v>
      </c>
      <c r="H687">
        <v>6354.2658770000098</v>
      </c>
      <c r="I687">
        <v>56</v>
      </c>
      <c r="J687">
        <v>180</v>
      </c>
      <c r="K687">
        <v>6</v>
      </c>
      <c r="L687">
        <v>6</v>
      </c>
      <c r="M687">
        <v>5</v>
      </c>
      <c r="N687">
        <v>4</v>
      </c>
    </row>
    <row r="688" spans="1:14">
      <c r="A688">
        <v>3</v>
      </c>
      <c r="B688">
        <v>1</v>
      </c>
      <c r="C688">
        <v>8360</v>
      </c>
      <c r="D688">
        <v>0.40891195020709209</v>
      </c>
      <c r="E688">
        <v>68</v>
      </c>
      <c r="F688">
        <v>0</v>
      </c>
      <c r="G688">
        <v>0.69347276493163079</v>
      </c>
      <c r="H688">
        <v>4891.0284940000083</v>
      </c>
      <c r="I688">
        <v>55</v>
      </c>
      <c r="J688">
        <v>180</v>
      </c>
      <c r="K688">
        <v>14</v>
      </c>
      <c r="L688">
        <v>17</v>
      </c>
      <c r="M688">
        <v>27</v>
      </c>
      <c r="N688">
        <v>10</v>
      </c>
    </row>
    <row r="689" spans="1:14">
      <c r="A689">
        <v>3</v>
      </c>
      <c r="B689">
        <v>2</v>
      </c>
      <c r="C689">
        <v>5020</v>
      </c>
      <c r="D689">
        <v>0.33540124102031149</v>
      </c>
      <c r="E689">
        <v>23</v>
      </c>
      <c r="F689">
        <v>0</v>
      </c>
      <c r="G689">
        <v>0.24439279406940481</v>
      </c>
      <c r="H689">
        <v>5963.0071550000093</v>
      </c>
      <c r="I689">
        <v>55</v>
      </c>
      <c r="J689">
        <v>180</v>
      </c>
      <c r="K689">
        <v>5</v>
      </c>
      <c r="L689">
        <v>6</v>
      </c>
      <c r="M689">
        <v>7</v>
      </c>
      <c r="N689">
        <v>5</v>
      </c>
    </row>
    <row r="690" spans="1:14">
      <c r="A690">
        <v>4</v>
      </c>
      <c r="B690">
        <v>1</v>
      </c>
      <c r="C690">
        <v>3516</v>
      </c>
      <c r="D690">
        <v>0.416996253642482</v>
      </c>
      <c r="E690">
        <v>93</v>
      </c>
      <c r="F690">
        <v>0</v>
      </c>
      <c r="G690">
        <v>0.94338513067999774</v>
      </c>
      <c r="H690">
        <v>4796.2061590000039</v>
      </c>
      <c r="I690">
        <v>55</v>
      </c>
      <c r="J690">
        <v>180</v>
      </c>
      <c r="K690">
        <v>24</v>
      </c>
      <c r="L690">
        <v>26</v>
      </c>
      <c r="M690">
        <v>25</v>
      </c>
      <c r="N690">
        <v>18</v>
      </c>
    </row>
    <row r="691" spans="1:14">
      <c r="A691">
        <v>4</v>
      </c>
      <c r="B691">
        <v>2</v>
      </c>
      <c r="C691">
        <v>5502</v>
      </c>
      <c r="D691">
        <v>0.34568296075352772</v>
      </c>
      <c r="E691">
        <v>30</v>
      </c>
      <c r="F691">
        <v>0</v>
      </c>
      <c r="G691">
        <v>0.31424865952385095</v>
      </c>
      <c r="H691">
        <v>5785.6482009999963</v>
      </c>
      <c r="I691">
        <v>55</v>
      </c>
      <c r="J691">
        <v>180</v>
      </c>
      <c r="K691">
        <v>9</v>
      </c>
      <c r="L691">
        <v>7</v>
      </c>
      <c r="M691">
        <v>9</v>
      </c>
      <c r="N691">
        <v>5</v>
      </c>
    </row>
    <row r="692" spans="1:14">
      <c r="A692">
        <v>5</v>
      </c>
      <c r="B692">
        <v>1</v>
      </c>
      <c r="C692">
        <v>6684</v>
      </c>
      <c r="D692">
        <v>0.40072637273241468</v>
      </c>
      <c r="E692">
        <v>69</v>
      </c>
      <c r="F692">
        <v>0</v>
      </c>
      <c r="G692">
        <v>0.70356388268567893</v>
      </c>
      <c r="H692">
        <v>4990.9367990000037</v>
      </c>
      <c r="I692">
        <v>56</v>
      </c>
      <c r="J692">
        <v>180</v>
      </c>
      <c r="K692">
        <v>19</v>
      </c>
      <c r="L692">
        <v>15</v>
      </c>
      <c r="M692">
        <v>23</v>
      </c>
      <c r="N692">
        <v>12</v>
      </c>
    </row>
    <row r="693" spans="1:14">
      <c r="A693">
        <v>5</v>
      </c>
      <c r="B693">
        <v>2</v>
      </c>
      <c r="C693">
        <v>3275</v>
      </c>
      <c r="D693">
        <v>0.31358719047303663</v>
      </c>
      <c r="E693">
        <v>20</v>
      </c>
      <c r="F693">
        <v>0</v>
      </c>
      <c r="G693">
        <v>0.21471907648206956</v>
      </c>
      <c r="H693">
        <v>6377.8115329999973</v>
      </c>
      <c r="I693">
        <v>56</v>
      </c>
      <c r="J693">
        <v>180</v>
      </c>
      <c r="K693">
        <v>4</v>
      </c>
      <c r="L693">
        <v>5</v>
      </c>
      <c r="M693">
        <v>7</v>
      </c>
      <c r="N693">
        <v>4</v>
      </c>
    </row>
    <row r="694" spans="1:14">
      <c r="A694">
        <v>6</v>
      </c>
      <c r="B694">
        <v>1</v>
      </c>
      <c r="C694">
        <v>907</v>
      </c>
      <c r="D694">
        <v>0.4255519165580397</v>
      </c>
      <c r="E694">
        <v>62</v>
      </c>
      <c r="F694">
        <v>0</v>
      </c>
      <c r="G694">
        <v>0.63329482065275211</v>
      </c>
      <c r="H694">
        <v>4699.7790919999916</v>
      </c>
      <c r="I694">
        <v>56</v>
      </c>
      <c r="J694">
        <v>180</v>
      </c>
      <c r="K694">
        <v>16</v>
      </c>
      <c r="L694">
        <v>19</v>
      </c>
      <c r="M694">
        <v>14</v>
      </c>
      <c r="N694">
        <v>13</v>
      </c>
    </row>
    <row r="695" spans="1:14">
      <c r="A695">
        <v>6</v>
      </c>
      <c r="B695">
        <v>2</v>
      </c>
      <c r="C695">
        <v>820</v>
      </c>
      <c r="D695">
        <v>0.33458253537155214</v>
      </c>
      <c r="E695">
        <v>21</v>
      </c>
      <c r="F695">
        <v>0</v>
      </c>
      <c r="G695">
        <v>0.22440452397402502</v>
      </c>
      <c r="H695">
        <v>5977.5983159999987</v>
      </c>
      <c r="I695">
        <v>56</v>
      </c>
      <c r="J695">
        <v>180</v>
      </c>
      <c r="K695">
        <v>4</v>
      </c>
      <c r="L695">
        <v>7</v>
      </c>
      <c r="M695">
        <v>5</v>
      </c>
      <c r="N695">
        <v>5</v>
      </c>
    </row>
    <row r="696" spans="1:14">
      <c r="A696">
        <v>7</v>
      </c>
      <c r="B696">
        <v>1</v>
      </c>
      <c r="C696">
        <v>8683</v>
      </c>
      <c r="D696">
        <v>0.42570802405341196</v>
      </c>
      <c r="E696">
        <v>157</v>
      </c>
      <c r="F696">
        <v>0</v>
      </c>
      <c r="G696">
        <v>1.5832931953800502</v>
      </c>
      <c r="H696">
        <v>4698.0556789999982</v>
      </c>
      <c r="I696">
        <v>55</v>
      </c>
      <c r="J696">
        <v>180</v>
      </c>
      <c r="K696">
        <v>30</v>
      </c>
      <c r="L696">
        <v>39</v>
      </c>
      <c r="M696">
        <v>60</v>
      </c>
      <c r="N696">
        <v>28</v>
      </c>
    </row>
    <row r="697" spans="1:14">
      <c r="A697">
        <v>7</v>
      </c>
      <c r="B697">
        <v>2</v>
      </c>
      <c r="C697">
        <v>3424</v>
      </c>
      <c r="D697">
        <v>0.3346602578533428</v>
      </c>
      <c r="E697">
        <v>32</v>
      </c>
      <c r="F697">
        <v>0</v>
      </c>
      <c r="G697">
        <v>0.33440340877136121</v>
      </c>
      <c r="H697">
        <v>5976.2100609999952</v>
      </c>
      <c r="I697">
        <v>56</v>
      </c>
      <c r="J697">
        <v>180</v>
      </c>
      <c r="K697">
        <v>7</v>
      </c>
      <c r="L697">
        <v>6</v>
      </c>
      <c r="M697">
        <v>10</v>
      </c>
      <c r="N697">
        <v>9</v>
      </c>
    </row>
    <row r="698" spans="1:14">
      <c r="A698">
        <v>8</v>
      </c>
      <c r="B698">
        <v>1</v>
      </c>
      <c r="C698">
        <v>2559</v>
      </c>
      <c r="D698">
        <v>0.39386754161473686</v>
      </c>
      <c r="E698">
        <v>39</v>
      </c>
      <c r="F698">
        <v>0</v>
      </c>
      <c r="G698">
        <v>0.40364216409736708</v>
      </c>
      <c r="H698">
        <v>5077.8492479999995</v>
      </c>
      <c r="I698">
        <v>55</v>
      </c>
      <c r="J698">
        <v>180</v>
      </c>
      <c r="K698">
        <v>9</v>
      </c>
      <c r="L698">
        <v>9</v>
      </c>
      <c r="M698">
        <v>12</v>
      </c>
      <c r="N698">
        <v>9</v>
      </c>
    </row>
    <row r="699" spans="1:14">
      <c r="A699">
        <v>8</v>
      </c>
      <c r="B699">
        <v>2</v>
      </c>
      <c r="C699">
        <v>5902</v>
      </c>
      <c r="D699">
        <v>0.329577538128554</v>
      </c>
      <c r="E699">
        <v>20</v>
      </c>
      <c r="F699">
        <v>0</v>
      </c>
      <c r="G699">
        <v>0.21447707413023431</v>
      </c>
      <c r="H699">
        <v>6068.3747180000055</v>
      </c>
      <c r="I699">
        <v>56</v>
      </c>
      <c r="J699">
        <v>180</v>
      </c>
      <c r="K699">
        <v>4</v>
      </c>
      <c r="L699">
        <v>5</v>
      </c>
      <c r="M699">
        <v>6</v>
      </c>
      <c r="N699">
        <v>5</v>
      </c>
    </row>
    <row r="700" spans="1:14">
      <c r="A700">
        <v>9</v>
      </c>
      <c r="B700">
        <v>1</v>
      </c>
      <c r="C700">
        <v>6401</v>
      </c>
      <c r="D700">
        <v>0.40000662490972189</v>
      </c>
      <c r="E700">
        <v>70</v>
      </c>
      <c r="F700">
        <v>0</v>
      </c>
      <c r="G700">
        <v>0.71357201315558649</v>
      </c>
      <c r="H700">
        <v>4999.9171899999983</v>
      </c>
      <c r="I700">
        <v>55</v>
      </c>
      <c r="J700">
        <v>180</v>
      </c>
      <c r="K700">
        <v>21</v>
      </c>
      <c r="L700">
        <v>13</v>
      </c>
      <c r="M700">
        <v>16</v>
      </c>
      <c r="N700">
        <v>20</v>
      </c>
    </row>
    <row r="701" spans="1:14">
      <c r="A701">
        <v>9</v>
      </c>
      <c r="B701">
        <v>2</v>
      </c>
      <c r="C701">
        <v>3711</v>
      </c>
      <c r="D701">
        <v>0.33362638429919161</v>
      </c>
      <c r="E701">
        <v>26</v>
      </c>
      <c r="F701">
        <v>0</v>
      </c>
      <c r="G701">
        <v>0.27441827165226085</v>
      </c>
      <c r="H701">
        <v>5994.7297160000007</v>
      </c>
      <c r="I701">
        <v>56</v>
      </c>
      <c r="J701">
        <v>180</v>
      </c>
      <c r="K701">
        <v>6</v>
      </c>
      <c r="L701">
        <v>7</v>
      </c>
      <c r="M701">
        <v>8</v>
      </c>
      <c r="N701">
        <v>5</v>
      </c>
    </row>
    <row r="702" spans="1:14">
      <c r="A702">
        <v>10</v>
      </c>
      <c r="B702">
        <v>1</v>
      </c>
      <c r="C702">
        <v>4466</v>
      </c>
      <c r="D702">
        <v>0.39233075127296696</v>
      </c>
      <c r="E702">
        <v>60</v>
      </c>
      <c r="F702">
        <v>0</v>
      </c>
      <c r="G702">
        <v>0.6136599533660152</v>
      </c>
      <c r="H702">
        <v>5097.7395819999983</v>
      </c>
      <c r="I702">
        <v>56</v>
      </c>
      <c r="J702">
        <v>180</v>
      </c>
      <c r="K702">
        <v>15</v>
      </c>
      <c r="L702">
        <v>11</v>
      </c>
      <c r="M702">
        <v>21</v>
      </c>
      <c r="N702">
        <v>13</v>
      </c>
    </row>
    <row r="703" spans="1:14">
      <c r="A703">
        <v>10</v>
      </c>
      <c r="B703">
        <v>2</v>
      </c>
      <c r="C703">
        <v>1030</v>
      </c>
      <c r="D703">
        <v>0.31280494772732198</v>
      </c>
      <c r="E703">
        <v>21</v>
      </c>
      <c r="F703">
        <v>0</v>
      </c>
      <c r="G703">
        <v>0.22473133577918275</v>
      </c>
      <c r="H703">
        <v>6393.760759000008</v>
      </c>
      <c r="I703">
        <v>57</v>
      </c>
      <c r="J703">
        <v>180</v>
      </c>
      <c r="K703">
        <v>5</v>
      </c>
      <c r="L703">
        <v>5</v>
      </c>
      <c r="M703">
        <v>7</v>
      </c>
      <c r="N703">
        <v>4</v>
      </c>
    </row>
    <row r="704" spans="1:14">
      <c r="A704">
        <v>11</v>
      </c>
      <c r="B704">
        <v>1</v>
      </c>
      <c r="C704">
        <v>5060</v>
      </c>
      <c r="D704">
        <v>0.43727219282990815</v>
      </c>
      <c r="E704">
        <v>18</v>
      </c>
      <c r="F704">
        <v>0</v>
      </c>
      <c r="G704">
        <v>0.19317496226070488</v>
      </c>
      <c r="H704">
        <v>4573.8101639999959</v>
      </c>
      <c r="I704">
        <v>56</v>
      </c>
      <c r="J704">
        <v>180</v>
      </c>
      <c r="K704">
        <v>4</v>
      </c>
      <c r="L704">
        <v>4</v>
      </c>
      <c r="M704">
        <v>5</v>
      </c>
      <c r="N704">
        <v>5</v>
      </c>
    </row>
    <row r="705" spans="1:14">
      <c r="A705">
        <v>11</v>
      </c>
      <c r="B705">
        <v>2</v>
      </c>
      <c r="C705">
        <v>753</v>
      </c>
      <c r="D705">
        <v>0.35586390482813435</v>
      </c>
      <c r="E705">
        <v>9</v>
      </c>
      <c r="F705">
        <v>0</v>
      </c>
      <c r="G705">
        <v>0.10411146230644165</v>
      </c>
      <c r="H705">
        <v>5620.1260450000027</v>
      </c>
      <c r="I705">
        <v>55</v>
      </c>
      <c r="J705">
        <v>180</v>
      </c>
      <c r="K705">
        <v>2</v>
      </c>
      <c r="L705">
        <v>2</v>
      </c>
      <c r="M705">
        <v>3</v>
      </c>
      <c r="N705">
        <v>2</v>
      </c>
    </row>
    <row r="706" spans="1:14">
      <c r="A706">
        <v>12</v>
      </c>
      <c r="B706">
        <v>1</v>
      </c>
      <c r="C706">
        <v>704</v>
      </c>
      <c r="D706">
        <v>0.43789954577194712</v>
      </c>
      <c r="E706">
        <v>18</v>
      </c>
      <c r="F706">
        <v>0</v>
      </c>
      <c r="G706">
        <v>0.19316866758905074</v>
      </c>
      <c r="H706">
        <v>4567.2575349999934</v>
      </c>
      <c r="I706">
        <v>56</v>
      </c>
      <c r="J706">
        <v>180</v>
      </c>
      <c r="K706">
        <v>4</v>
      </c>
      <c r="L706">
        <v>5</v>
      </c>
      <c r="M706">
        <v>5</v>
      </c>
      <c r="N706">
        <v>4</v>
      </c>
    </row>
    <row r="707" spans="1:14">
      <c r="A707">
        <v>12</v>
      </c>
      <c r="B707">
        <v>2</v>
      </c>
      <c r="C707">
        <v>544</v>
      </c>
      <c r="D707">
        <v>0.35212431308295472</v>
      </c>
      <c r="E707">
        <v>9</v>
      </c>
      <c r="F707">
        <v>0</v>
      </c>
      <c r="G707">
        <v>0.1041612414981974</v>
      </c>
      <c r="H707">
        <v>5679.812286999997</v>
      </c>
      <c r="I707">
        <v>55</v>
      </c>
      <c r="J707">
        <v>180</v>
      </c>
      <c r="K707">
        <v>2</v>
      </c>
      <c r="L707">
        <v>2</v>
      </c>
      <c r="M707">
        <v>3</v>
      </c>
      <c r="N707">
        <v>2</v>
      </c>
    </row>
    <row r="708" spans="1:14">
      <c r="A708">
        <v>13</v>
      </c>
      <c r="B708">
        <v>1</v>
      </c>
      <c r="C708">
        <v>1697</v>
      </c>
      <c r="D708">
        <v>0.43660509374566814</v>
      </c>
      <c r="E708">
        <v>18</v>
      </c>
      <c r="F708">
        <v>0</v>
      </c>
      <c r="G708">
        <v>0.19318166895658187</v>
      </c>
      <c r="H708">
        <v>4580.7985950000002</v>
      </c>
      <c r="I708">
        <v>57</v>
      </c>
      <c r="J708">
        <v>180</v>
      </c>
      <c r="K708">
        <v>5</v>
      </c>
      <c r="L708">
        <v>4</v>
      </c>
      <c r="M708">
        <v>4</v>
      </c>
      <c r="N708">
        <v>5</v>
      </c>
    </row>
    <row r="709" spans="1:14">
      <c r="A709">
        <v>13</v>
      </c>
      <c r="B709">
        <v>2</v>
      </c>
      <c r="C709">
        <v>726</v>
      </c>
      <c r="D709">
        <v>0.3520650789650932</v>
      </c>
      <c r="E709">
        <v>9</v>
      </c>
      <c r="F709">
        <v>0</v>
      </c>
      <c r="G709">
        <v>0.10416203565213733</v>
      </c>
      <c r="H709">
        <v>5680.7679020000087</v>
      </c>
      <c r="I709">
        <v>53</v>
      </c>
      <c r="J709">
        <v>180</v>
      </c>
      <c r="K709">
        <v>2</v>
      </c>
      <c r="L709">
        <v>2</v>
      </c>
      <c r="M709">
        <v>3</v>
      </c>
      <c r="N709">
        <v>2</v>
      </c>
    </row>
    <row r="710" spans="1:14">
      <c r="A710">
        <v>14</v>
      </c>
      <c r="B710">
        <v>1</v>
      </c>
      <c r="C710">
        <v>6252</v>
      </c>
      <c r="D710">
        <v>0.4271842270368012</v>
      </c>
      <c r="E710">
        <v>16</v>
      </c>
      <c r="F710">
        <v>0</v>
      </c>
      <c r="G710">
        <v>0.17327786545842258</v>
      </c>
      <c r="H710">
        <v>4681.8208009999944</v>
      </c>
      <c r="I710">
        <v>56</v>
      </c>
      <c r="J710">
        <v>180</v>
      </c>
      <c r="K710">
        <v>4</v>
      </c>
      <c r="L710">
        <v>4</v>
      </c>
      <c r="M710">
        <v>4</v>
      </c>
      <c r="N710">
        <v>4</v>
      </c>
    </row>
    <row r="711" spans="1:14">
      <c r="A711">
        <v>14</v>
      </c>
      <c r="B711">
        <v>2</v>
      </c>
      <c r="C711">
        <v>514</v>
      </c>
      <c r="D711">
        <v>0.33591993192555702</v>
      </c>
      <c r="E711">
        <v>8</v>
      </c>
      <c r="F711">
        <v>0</v>
      </c>
      <c r="G711">
        <v>9.4385382325911704E-2</v>
      </c>
      <c r="H711">
        <v>5953.7997300000006</v>
      </c>
      <c r="I711">
        <v>56</v>
      </c>
      <c r="J711">
        <v>180</v>
      </c>
      <c r="K711">
        <v>2</v>
      </c>
      <c r="L711">
        <v>2</v>
      </c>
      <c r="M711">
        <v>2</v>
      </c>
      <c r="N711">
        <v>2</v>
      </c>
    </row>
    <row r="712" spans="1:14">
      <c r="A712">
        <v>15</v>
      </c>
      <c r="B712">
        <v>1</v>
      </c>
      <c r="C712">
        <v>6384</v>
      </c>
      <c r="D712">
        <v>0.43613442764386628</v>
      </c>
      <c r="E712">
        <v>17</v>
      </c>
      <c r="F712">
        <v>0</v>
      </c>
      <c r="G712">
        <v>0.18318640903509162</v>
      </c>
      <c r="H712">
        <v>4585.7420860000011</v>
      </c>
      <c r="I712">
        <v>56</v>
      </c>
      <c r="J712">
        <v>180</v>
      </c>
      <c r="K712">
        <v>5</v>
      </c>
      <c r="L712">
        <v>4</v>
      </c>
      <c r="M712">
        <v>4</v>
      </c>
      <c r="N712">
        <v>4</v>
      </c>
    </row>
    <row r="713" spans="1:14">
      <c r="A713">
        <v>15</v>
      </c>
      <c r="B713">
        <v>2</v>
      </c>
      <c r="C713">
        <v>774</v>
      </c>
      <c r="D713">
        <v>0.3538417704025863</v>
      </c>
      <c r="E713">
        <v>9</v>
      </c>
      <c r="F713">
        <v>0</v>
      </c>
      <c r="G713">
        <v>0.10413829264912784</v>
      </c>
      <c r="H713">
        <v>5652.243933000007</v>
      </c>
      <c r="I713">
        <v>55</v>
      </c>
      <c r="J713">
        <v>180</v>
      </c>
      <c r="K713">
        <v>2</v>
      </c>
      <c r="L713">
        <v>3</v>
      </c>
      <c r="M713">
        <v>2</v>
      </c>
      <c r="N713">
        <v>2</v>
      </c>
    </row>
    <row r="714" spans="1:14">
      <c r="A714">
        <v>16</v>
      </c>
      <c r="B714">
        <v>1</v>
      </c>
      <c r="C714">
        <v>8118</v>
      </c>
      <c r="D714">
        <v>0.43576000284624555</v>
      </c>
      <c r="E714">
        <v>22</v>
      </c>
      <c r="F714">
        <v>0</v>
      </c>
      <c r="G714">
        <v>0.233190184741179</v>
      </c>
      <c r="H714">
        <v>4589.682363999993</v>
      </c>
      <c r="I714">
        <v>56</v>
      </c>
      <c r="J714">
        <v>180</v>
      </c>
      <c r="K714">
        <v>6</v>
      </c>
      <c r="L714">
        <v>7</v>
      </c>
      <c r="M714">
        <v>5</v>
      </c>
      <c r="N714">
        <v>4</v>
      </c>
    </row>
    <row r="715" spans="1:14">
      <c r="A715">
        <v>16</v>
      </c>
      <c r="B715">
        <v>2</v>
      </c>
      <c r="C715">
        <v>959</v>
      </c>
      <c r="D715">
        <v>0.34770190434457238</v>
      </c>
      <c r="E715">
        <v>9</v>
      </c>
      <c r="F715">
        <v>0</v>
      </c>
      <c r="G715">
        <v>0.10422102752153795</v>
      </c>
      <c r="H715">
        <v>5752.0536269999866</v>
      </c>
      <c r="I715">
        <v>55</v>
      </c>
      <c r="J715">
        <v>180</v>
      </c>
      <c r="K715">
        <v>2</v>
      </c>
      <c r="L715">
        <v>3</v>
      </c>
      <c r="M715">
        <v>2</v>
      </c>
      <c r="N715">
        <v>2</v>
      </c>
    </row>
    <row r="716" spans="1:14">
      <c r="A716">
        <v>17</v>
      </c>
      <c r="B716">
        <v>1</v>
      </c>
      <c r="C716">
        <v>8865</v>
      </c>
      <c r="D716">
        <v>0.43276383333823548</v>
      </c>
      <c r="E716">
        <v>17</v>
      </c>
      <c r="F716">
        <v>0</v>
      </c>
      <c r="G716">
        <v>0.18322055478906718</v>
      </c>
      <c r="H716">
        <v>4621.4582779999982</v>
      </c>
      <c r="I716">
        <v>55</v>
      </c>
      <c r="J716">
        <v>180</v>
      </c>
      <c r="K716">
        <v>4</v>
      </c>
      <c r="L716">
        <v>4</v>
      </c>
      <c r="M716">
        <v>4</v>
      </c>
      <c r="N716">
        <v>5</v>
      </c>
    </row>
    <row r="717" spans="1:14">
      <c r="A717">
        <v>17</v>
      </c>
      <c r="B717">
        <v>2</v>
      </c>
      <c r="C717">
        <v>340</v>
      </c>
      <c r="D717">
        <v>0.33975999384613115</v>
      </c>
      <c r="E717">
        <v>8</v>
      </c>
      <c r="F717">
        <v>0</v>
      </c>
      <c r="G717">
        <v>9.4330980991583699E-2</v>
      </c>
      <c r="H717">
        <v>5886.5082299999985</v>
      </c>
      <c r="I717">
        <v>56</v>
      </c>
      <c r="J717">
        <v>180</v>
      </c>
      <c r="K717">
        <v>2</v>
      </c>
      <c r="L717">
        <v>2</v>
      </c>
      <c r="M717">
        <v>2</v>
      </c>
      <c r="N717">
        <v>2</v>
      </c>
    </row>
    <row r="718" spans="1:14">
      <c r="A718">
        <v>18</v>
      </c>
      <c r="B718">
        <v>1</v>
      </c>
      <c r="C718">
        <v>1393</v>
      </c>
      <c r="D718">
        <v>0.43766999203701956</v>
      </c>
      <c r="E718">
        <v>19</v>
      </c>
      <c r="F718">
        <v>0</v>
      </c>
      <c r="G718">
        <v>0.20317096946682853</v>
      </c>
      <c r="H718">
        <v>4569.6530179999945</v>
      </c>
      <c r="I718">
        <v>56</v>
      </c>
      <c r="J718">
        <v>180</v>
      </c>
      <c r="K718">
        <v>5</v>
      </c>
      <c r="L718">
        <v>5</v>
      </c>
      <c r="M718">
        <v>5</v>
      </c>
      <c r="N718">
        <v>4</v>
      </c>
    </row>
    <row r="719" spans="1:14">
      <c r="A719">
        <v>18</v>
      </c>
      <c r="B719">
        <v>2</v>
      </c>
      <c r="C719">
        <v>614</v>
      </c>
      <c r="D719">
        <v>0.34887840074630927</v>
      </c>
      <c r="E719">
        <v>9</v>
      </c>
      <c r="F719">
        <v>0</v>
      </c>
      <c r="G719">
        <v>0.10420502401824512</v>
      </c>
      <c r="H719">
        <v>5732.6564089999993</v>
      </c>
      <c r="I719">
        <v>54</v>
      </c>
      <c r="J719">
        <v>180</v>
      </c>
      <c r="K719">
        <v>2</v>
      </c>
      <c r="L719">
        <v>2</v>
      </c>
      <c r="M719">
        <v>3</v>
      </c>
      <c r="N719">
        <v>2</v>
      </c>
    </row>
    <row r="720" spans="1:14">
      <c r="A720">
        <v>19</v>
      </c>
      <c r="B720">
        <v>1</v>
      </c>
      <c r="C720">
        <v>1272</v>
      </c>
      <c r="D720">
        <v>0.43618421317713918</v>
      </c>
      <c r="E720">
        <v>17</v>
      </c>
      <c r="F720">
        <v>0</v>
      </c>
      <c r="G720">
        <v>0.18318590732246304</v>
      </c>
      <c r="H720">
        <v>4585.218675000001</v>
      </c>
      <c r="I720">
        <v>56</v>
      </c>
      <c r="J720">
        <v>180</v>
      </c>
      <c r="K720">
        <v>4</v>
      </c>
      <c r="L720">
        <v>4</v>
      </c>
      <c r="M720">
        <v>5</v>
      </c>
      <c r="N720">
        <v>4</v>
      </c>
    </row>
    <row r="721" spans="1:14">
      <c r="A721">
        <v>19</v>
      </c>
      <c r="B721">
        <v>2</v>
      </c>
      <c r="C721">
        <v>864</v>
      </c>
      <c r="D721">
        <v>0.35389655156260219</v>
      </c>
      <c r="E721">
        <v>9</v>
      </c>
      <c r="F721">
        <v>0</v>
      </c>
      <c r="G721">
        <v>0.10413756310256467</v>
      </c>
      <c r="H721">
        <v>5651.3689980000045</v>
      </c>
      <c r="I721">
        <v>57</v>
      </c>
      <c r="J721">
        <v>180</v>
      </c>
      <c r="K721">
        <v>2</v>
      </c>
      <c r="L721">
        <v>3</v>
      </c>
      <c r="M721">
        <v>2</v>
      </c>
      <c r="N721">
        <v>2</v>
      </c>
    </row>
    <row r="722" spans="1:14">
      <c r="A722">
        <v>20</v>
      </c>
      <c r="B722">
        <v>1</v>
      </c>
      <c r="C722">
        <v>507</v>
      </c>
      <c r="D722">
        <v>0.43585256828970892</v>
      </c>
      <c r="E722">
        <v>18</v>
      </c>
      <c r="F722">
        <v>0</v>
      </c>
      <c r="G722">
        <v>0.1931892509072532</v>
      </c>
      <c r="H722">
        <v>4588.707617</v>
      </c>
      <c r="I722">
        <v>55</v>
      </c>
      <c r="J722">
        <v>180</v>
      </c>
      <c r="K722">
        <v>4</v>
      </c>
      <c r="L722">
        <v>4</v>
      </c>
      <c r="M722">
        <v>4</v>
      </c>
      <c r="N722">
        <v>6</v>
      </c>
    </row>
    <row r="723" spans="1:14">
      <c r="A723">
        <v>20</v>
      </c>
      <c r="B723">
        <v>2</v>
      </c>
      <c r="C723">
        <v>788</v>
      </c>
      <c r="D723">
        <v>0.34800492281290962</v>
      </c>
      <c r="E723">
        <v>9</v>
      </c>
      <c r="F723">
        <v>0</v>
      </c>
      <c r="G723">
        <v>0.10421689876259654</v>
      </c>
      <c r="H723">
        <v>5747.0451389999926</v>
      </c>
      <c r="I723">
        <v>51</v>
      </c>
      <c r="J723">
        <v>180</v>
      </c>
      <c r="K723">
        <v>2</v>
      </c>
      <c r="L723">
        <v>2</v>
      </c>
      <c r="M723">
        <v>2</v>
      </c>
      <c r="N723">
        <v>3</v>
      </c>
    </row>
    <row r="724" spans="1:14">
      <c r="A724">
        <v>21</v>
      </c>
      <c r="B724">
        <v>1</v>
      </c>
      <c r="C724">
        <v>3533</v>
      </c>
      <c r="D724">
        <v>0.23599036769160545</v>
      </c>
      <c r="E724">
        <v>15</v>
      </c>
      <c r="F724">
        <v>0</v>
      </c>
      <c r="G724">
        <v>0.16618211342802269</v>
      </c>
      <c r="H724">
        <v>8474.9221739999994</v>
      </c>
      <c r="I724">
        <v>53</v>
      </c>
      <c r="J724">
        <v>180</v>
      </c>
      <c r="K724">
        <v>6</v>
      </c>
      <c r="L724">
        <v>3</v>
      </c>
      <c r="M724">
        <v>3</v>
      </c>
      <c r="N724">
        <v>3</v>
      </c>
    </row>
    <row r="725" spans="1:14">
      <c r="A725">
        <v>21</v>
      </c>
      <c r="B725">
        <v>2</v>
      </c>
      <c r="C725">
        <v>710</v>
      </c>
      <c r="D725">
        <v>0.18230140606706396</v>
      </c>
      <c r="E725">
        <v>7</v>
      </c>
      <c r="F725">
        <v>0</v>
      </c>
      <c r="G725">
        <v>8.7636131452724697E-2</v>
      </c>
      <c r="H725">
        <v>10970.842426000005</v>
      </c>
      <c r="I725">
        <v>57</v>
      </c>
      <c r="J725">
        <v>180</v>
      </c>
      <c r="K725">
        <v>2</v>
      </c>
      <c r="L725">
        <v>2</v>
      </c>
      <c r="M725">
        <v>2</v>
      </c>
      <c r="N725">
        <v>1</v>
      </c>
    </row>
    <row r="726" spans="1:14">
      <c r="A726">
        <v>22</v>
      </c>
      <c r="B726">
        <v>1</v>
      </c>
      <c r="C726">
        <v>1676</v>
      </c>
      <c r="D726">
        <v>0.20951400050930596</v>
      </c>
      <c r="E726">
        <v>17</v>
      </c>
      <c r="F726">
        <v>0</v>
      </c>
      <c r="G726">
        <v>0.18683690714757567</v>
      </c>
      <c r="H726">
        <v>9545.9014439999974</v>
      </c>
      <c r="I726">
        <v>53</v>
      </c>
      <c r="J726">
        <v>180</v>
      </c>
      <c r="K726">
        <v>9</v>
      </c>
      <c r="L726">
        <v>1</v>
      </c>
      <c r="M726">
        <v>5</v>
      </c>
      <c r="N726">
        <v>2</v>
      </c>
    </row>
    <row r="727" spans="1:14">
      <c r="A727">
        <v>22</v>
      </c>
      <c r="B727">
        <v>2</v>
      </c>
      <c r="C727">
        <v>760</v>
      </c>
      <c r="D727">
        <v>0.17071898768237401</v>
      </c>
      <c r="E727">
        <v>7</v>
      </c>
      <c r="F727">
        <v>0</v>
      </c>
      <c r="G727">
        <v>8.8026277721038187E-2</v>
      </c>
      <c r="H727">
        <v>11715.158502000017</v>
      </c>
      <c r="I727">
        <v>55</v>
      </c>
      <c r="J727">
        <v>180</v>
      </c>
      <c r="K727">
        <v>2</v>
      </c>
      <c r="L727">
        <v>2</v>
      </c>
      <c r="M727">
        <v>2</v>
      </c>
      <c r="N727">
        <v>1</v>
      </c>
    </row>
    <row r="728" spans="1:14">
      <c r="A728">
        <v>23</v>
      </c>
      <c r="B728">
        <v>1</v>
      </c>
      <c r="C728">
        <v>277</v>
      </c>
      <c r="D728">
        <v>0.230605536573252</v>
      </c>
      <c r="E728">
        <v>15</v>
      </c>
      <c r="F728">
        <v>0</v>
      </c>
      <c r="G728">
        <v>0.16630710083494946</v>
      </c>
      <c r="H728">
        <v>8672.818657000018</v>
      </c>
      <c r="I728">
        <v>53</v>
      </c>
      <c r="J728">
        <v>180</v>
      </c>
      <c r="K728">
        <v>6</v>
      </c>
      <c r="L728">
        <v>3</v>
      </c>
      <c r="M728">
        <v>3</v>
      </c>
      <c r="N728">
        <v>3</v>
      </c>
    </row>
    <row r="729" spans="1:14">
      <c r="A729">
        <v>23</v>
      </c>
      <c r="B729">
        <v>2</v>
      </c>
      <c r="C729">
        <v>590</v>
      </c>
      <c r="D729">
        <v>0.18240541492567111</v>
      </c>
      <c r="E729">
        <v>8</v>
      </c>
      <c r="F729">
        <v>0</v>
      </c>
      <c r="G729">
        <v>9.7632778733069706E-2</v>
      </c>
      <c r="H729">
        <v>10964.586774000023</v>
      </c>
      <c r="I729">
        <v>55</v>
      </c>
      <c r="J729">
        <v>180</v>
      </c>
      <c r="K729">
        <v>3</v>
      </c>
      <c r="L729">
        <v>2</v>
      </c>
      <c r="M729">
        <v>1</v>
      </c>
      <c r="N729">
        <v>2</v>
      </c>
    </row>
    <row r="730" spans="1:14">
      <c r="A730">
        <v>24</v>
      </c>
      <c r="B730">
        <v>1</v>
      </c>
      <c r="C730">
        <v>6402</v>
      </c>
      <c r="D730">
        <v>0.23067585933864168</v>
      </c>
      <c r="E730">
        <v>18</v>
      </c>
      <c r="F730">
        <v>0</v>
      </c>
      <c r="G730">
        <v>0.1963054435643227</v>
      </c>
      <c r="H730">
        <v>8670.174701999993</v>
      </c>
      <c r="I730">
        <v>53</v>
      </c>
      <c r="J730">
        <v>180</v>
      </c>
      <c r="K730">
        <v>8</v>
      </c>
      <c r="L730">
        <v>2</v>
      </c>
      <c r="M730">
        <v>5</v>
      </c>
      <c r="N730">
        <v>3</v>
      </c>
    </row>
    <row r="731" spans="1:14">
      <c r="A731">
        <v>24</v>
      </c>
      <c r="B731">
        <v>2</v>
      </c>
      <c r="C731">
        <v>382</v>
      </c>
      <c r="D731">
        <v>0.18306532883301757</v>
      </c>
      <c r="E731">
        <v>9</v>
      </c>
      <c r="F731">
        <v>0</v>
      </c>
      <c r="G731">
        <v>0.10761156567575815</v>
      </c>
      <c r="H731">
        <v>10925.06163100001</v>
      </c>
      <c r="I731">
        <v>55</v>
      </c>
      <c r="J731">
        <v>180</v>
      </c>
      <c r="K731">
        <v>2</v>
      </c>
      <c r="L731">
        <v>3</v>
      </c>
      <c r="M731">
        <v>3</v>
      </c>
      <c r="N731">
        <v>1</v>
      </c>
    </row>
    <row r="732" spans="1:14">
      <c r="A732">
        <v>25</v>
      </c>
      <c r="B732">
        <v>1</v>
      </c>
      <c r="C732">
        <v>291</v>
      </c>
      <c r="D732">
        <v>0.20207532833306446</v>
      </c>
      <c r="E732">
        <v>16</v>
      </c>
      <c r="F732">
        <v>0</v>
      </c>
      <c r="G732">
        <v>0.17704101932542507</v>
      </c>
      <c r="H732">
        <v>9897.2992720000002</v>
      </c>
      <c r="I732">
        <v>54</v>
      </c>
      <c r="J732">
        <v>180</v>
      </c>
      <c r="K732">
        <v>9</v>
      </c>
      <c r="L732">
        <v>1</v>
      </c>
      <c r="M732">
        <v>4</v>
      </c>
      <c r="N732">
        <v>2</v>
      </c>
    </row>
    <row r="733" spans="1:14">
      <c r="A733">
        <v>25</v>
      </c>
      <c r="B733">
        <v>2</v>
      </c>
      <c r="C733">
        <v>151</v>
      </c>
      <c r="D733">
        <v>0.16092151499582849</v>
      </c>
      <c r="E733">
        <v>8</v>
      </c>
      <c r="F733">
        <v>0</v>
      </c>
      <c r="G733">
        <v>9.8384929230616369E-2</v>
      </c>
      <c r="H733">
        <v>12428.418909999978</v>
      </c>
      <c r="I733">
        <v>53</v>
      </c>
      <c r="J733">
        <v>180</v>
      </c>
      <c r="K733">
        <v>2</v>
      </c>
      <c r="L733">
        <v>1</v>
      </c>
      <c r="M733">
        <v>4</v>
      </c>
      <c r="N733">
        <v>1</v>
      </c>
    </row>
    <row r="734" spans="1:14">
      <c r="A734">
        <v>26</v>
      </c>
      <c r="B734">
        <v>1</v>
      </c>
      <c r="C734">
        <v>5374</v>
      </c>
      <c r="D734">
        <v>0.20083612606125573</v>
      </c>
      <c r="E734">
        <v>15</v>
      </c>
      <c r="F734">
        <v>0</v>
      </c>
      <c r="G734">
        <v>0.16707599640822265</v>
      </c>
      <c r="H734">
        <v>9958.3677460000054</v>
      </c>
      <c r="I734">
        <v>56</v>
      </c>
      <c r="J734">
        <v>180</v>
      </c>
      <c r="K734">
        <v>5</v>
      </c>
      <c r="L734">
        <v>5</v>
      </c>
      <c r="M734">
        <v>1</v>
      </c>
      <c r="N734">
        <v>4</v>
      </c>
    </row>
    <row r="735" spans="1:14">
      <c r="A735">
        <v>26</v>
      </c>
      <c r="B735">
        <v>2</v>
      </c>
      <c r="C735">
        <v>2333</v>
      </c>
      <c r="D735">
        <v>0.16123175838205098</v>
      </c>
      <c r="E735">
        <v>7</v>
      </c>
      <c r="F735">
        <v>0</v>
      </c>
      <c r="G735">
        <v>8.8373129518395113E-2</v>
      </c>
      <c r="H735">
        <v>12404.504050999973</v>
      </c>
      <c r="I735">
        <v>57</v>
      </c>
      <c r="J735">
        <v>180</v>
      </c>
      <c r="K735">
        <v>3</v>
      </c>
      <c r="L735">
        <v>2</v>
      </c>
      <c r="M735">
        <v>1</v>
      </c>
      <c r="N735">
        <v>1</v>
      </c>
    </row>
    <row r="736" spans="1:14">
      <c r="A736">
        <v>27</v>
      </c>
      <c r="B736">
        <v>1</v>
      </c>
      <c r="C736">
        <v>554</v>
      </c>
      <c r="D736">
        <v>0.21510003404863606</v>
      </c>
      <c r="E736">
        <v>15</v>
      </c>
      <c r="F736">
        <v>0</v>
      </c>
      <c r="G736">
        <v>0.16668987844370808</v>
      </c>
      <c r="H736">
        <v>9297.9994580000021</v>
      </c>
      <c r="I736">
        <v>58</v>
      </c>
      <c r="J736">
        <v>180</v>
      </c>
      <c r="K736">
        <v>6</v>
      </c>
      <c r="L736">
        <v>4</v>
      </c>
      <c r="M736">
        <v>4</v>
      </c>
      <c r="N736">
        <v>1</v>
      </c>
    </row>
    <row r="737" spans="1:14">
      <c r="A737">
        <v>27</v>
      </c>
      <c r="B737">
        <v>2</v>
      </c>
      <c r="C737">
        <v>308</v>
      </c>
      <c r="D737">
        <v>0.17277017661722488</v>
      </c>
      <c r="E737">
        <v>7</v>
      </c>
      <c r="F737">
        <v>0</v>
      </c>
      <c r="G737">
        <v>8.7954655401826135E-2</v>
      </c>
      <c r="H737">
        <v>11576.071977000014</v>
      </c>
      <c r="I737">
        <v>56</v>
      </c>
      <c r="J737">
        <v>180</v>
      </c>
      <c r="K737">
        <v>2</v>
      </c>
      <c r="L737">
        <v>2</v>
      </c>
      <c r="M737">
        <v>2</v>
      </c>
      <c r="N737">
        <v>1</v>
      </c>
    </row>
    <row r="738" spans="1:14">
      <c r="A738">
        <v>28</v>
      </c>
      <c r="B738">
        <v>1</v>
      </c>
      <c r="C738">
        <v>1483</v>
      </c>
      <c r="D738">
        <v>0.22389312554791541</v>
      </c>
      <c r="E738">
        <v>18</v>
      </c>
      <c r="F738">
        <v>0</v>
      </c>
      <c r="G738">
        <v>0.19646846345080501</v>
      </c>
      <c r="H738">
        <v>8932.8334449999875</v>
      </c>
      <c r="I738">
        <v>53</v>
      </c>
      <c r="J738">
        <v>180</v>
      </c>
      <c r="K738">
        <v>8</v>
      </c>
      <c r="L738">
        <v>4</v>
      </c>
      <c r="M738">
        <v>4</v>
      </c>
      <c r="N738">
        <v>2</v>
      </c>
    </row>
    <row r="739" spans="1:14">
      <c r="A739">
        <v>28</v>
      </c>
      <c r="B739">
        <v>2</v>
      </c>
      <c r="C739">
        <v>638</v>
      </c>
      <c r="D739">
        <v>0.12747337937263933</v>
      </c>
      <c r="E739">
        <v>4</v>
      </c>
      <c r="F739">
        <v>0</v>
      </c>
      <c r="G739">
        <v>5.9869800206222609E-2</v>
      </c>
      <c r="H739">
        <v>15689.550318999989</v>
      </c>
      <c r="I739">
        <v>52</v>
      </c>
      <c r="J739">
        <v>180</v>
      </c>
      <c r="K739">
        <v>1</v>
      </c>
      <c r="L739">
        <v>1</v>
      </c>
      <c r="M739">
        <v>1</v>
      </c>
      <c r="N739">
        <v>1</v>
      </c>
    </row>
    <row r="740" spans="1:14">
      <c r="A740">
        <v>29</v>
      </c>
      <c r="B740">
        <v>1</v>
      </c>
      <c r="C740">
        <v>3304</v>
      </c>
      <c r="D740">
        <v>0.21907665918189825</v>
      </c>
      <c r="E740">
        <v>14</v>
      </c>
      <c r="F740">
        <v>0</v>
      </c>
      <c r="G740">
        <v>0.15658827768720962</v>
      </c>
      <c r="H740">
        <v>9129.2244799999899</v>
      </c>
      <c r="I740">
        <v>54</v>
      </c>
      <c r="J740">
        <v>180</v>
      </c>
      <c r="K740">
        <v>6</v>
      </c>
      <c r="L740">
        <v>2</v>
      </c>
      <c r="M740">
        <v>4</v>
      </c>
      <c r="N740">
        <v>2</v>
      </c>
    </row>
    <row r="741" spans="1:14">
      <c r="A741">
        <v>29</v>
      </c>
      <c r="B741">
        <v>2</v>
      </c>
      <c r="C741">
        <v>1982</v>
      </c>
      <c r="D741">
        <v>0.17399598962089632</v>
      </c>
      <c r="E741">
        <v>7</v>
      </c>
      <c r="F741">
        <v>0</v>
      </c>
      <c r="G741">
        <v>8.7912392093683067E-2</v>
      </c>
      <c r="H741">
        <v>11494.517800999976</v>
      </c>
      <c r="I741">
        <v>56</v>
      </c>
      <c r="J741">
        <v>180</v>
      </c>
      <c r="K741">
        <v>2</v>
      </c>
      <c r="L741">
        <v>2</v>
      </c>
      <c r="M741">
        <v>2</v>
      </c>
      <c r="N741">
        <v>1</v>
      </c>
    </row>
    <row r="742" spans="1:14">
      <c r="A742">
        <v>30</v>
      </c>
      <c r="B742">
        <v>1</v>
      </c>
      <c r="C742">
        <v>3410</v>
      </c>
      <c r="D742">
        <v>0.20127584958954028</v>
      </c>
      <c r="E742">
        <v>12</v>
      </c>
      <c r="F742">
        <v>0</v>
      </c>
      <c r="G742">
        <v>0.1370635521398185</v>
      </c>
      <c r="H742">
        <v>9936.6118889999907</v>
      </c>
      <c r="I742">
        <v>56</v>
      </c>
      <c r="J742">
        <v>180</v>
      </c>
      <c r="K742">
        <v>5</v>
      </c>
      <c r="L742">
        <v>3</v>
      </c>
      <c r="M742">
        <v>2</v>
      </c>
      <c r="N742">
        <v>2</v>
      </c>
    </row>
    <row r="743" spans="1:14">
      <c r="A743">
        <v>30</v>
      </c>
      <c r="B743">
        <v>2</v>
      </c>
      <c r="C743">
        <v>87</v>
      </c>
      <c r="D743">
        <v>0.16128932633289653</v>
      </c>
      <c r="E743">
        <v>7</v>
      </c>
      <c r="F743">
        <v>0</v>
      </c>
      <c r="G743">
        <v>8.8370943324376061E-2</v>
      </c>
      <c r="H743">
        <v>12400.076592000003</v>
      </c>
      <c r="I743">
        <v>54</v>
      </c>
      <c r="J743">
        <v>180</v>
      </c>
      <c r="K743">
        <v>2</v>
      </c>
      <c r="L743">
        <v>2</v>
      </c>
      <c r="M743">
        <v>1</v>
      </c>
      <c r="N743">
        <v>2</v>
      </c>
    </row>
    <row r="744" spans="1:14">
      <c r="A744">
        <v>31</v>
      </c>
      <c r="B744">
        <v>1</v>
      </c>
      <c r="C744">
        <v>101</v>
      </c>
      <c r="D744">
        <v>0.22789715213240713</v>
      </c>
      <c r="E744">
        <v>7</v>
      </c>
      <c r="F744">
        <v>0</v>
      </c>
      <c r="G744">
        <v>8.6371445773677044E-2</v>
      </c>
      <c r="H744">
        <v>8775.8885150000024</v>
      </c>
      <c r="I744">
        <v>54</v>
      </c>
      <c r="J744">
        <v>180</v>
      </c>
      <c r="K744">
        <v>2</v>
      </c>
      <c r="L744">
        <v>2</v>
      </c>
      <c r="M744">
        <v>2</v>
      </c>
      <c r="N744">
        <v>1</v>
      </c>
    </row>
    <row r="745" spans="1:14">
      <c r="A745">
        <v>31</v>
      </c>
      <c r="B745">
        <v>2</v>
      </c>
      <c r="C745">
        <v>101</v>
      </c>
      <c r="D745">
        <v>0.19611461011514986</v>
      </c>
      <c r="E745">
        <v>5</v>
      </c>
      <c r="F745">
        <v>0</v>
      </c>
      <c r="G745">
        <v>6.7211947671102987E-2</v>
      </c>
      <c r="H745">
        <v>10198.118329000008</v>
      </c>
      <c r="I745">
        <v>55</v>
      </c>
      <c r="J745">
        <v>180</v>
      </c>
      <c r="K745">
        <v>2</v>
      </c>
      <c r="L745">
        <v>1</v>
      </c>
      <c r="M745">
        <v>1</v>
      </c>
      <c r="N745">
        <v>1</v>
      </c>
    </row>
    <row r="746" spans="1:14">
      <c r="A746">
        <v>32</v>
      </c>
      <c r="B746">
        <v>1</v>
      </c>
      <c r="C746">
        <v>101</v>
      </c>
      <c r="D746">
        <v>0.22974135789607322</v>
      </c>
      <c r="E746">
        <v>7</v>
      </c>
      <c r="F746">
        <v>0</v>
      </c>
      <c r="G746">
        <v>8.6327521793433434E-2</v>
      </c>
      <c r="H746">
        <v>8705.4417120000162</v>
      </c>
      <c r="I746">
        <v>55</v>
      </c>
      <c r="J746">
        <v>180</v>
      </c>
      <c r="K746">
        <v>2</v>
      </c>
      <c r="L746">
        <v>2</v>
      </c>
      <c r="M746">
        <v>2</v>
      </c>
      <c r="N746">
        <v>1</v>
      </c>
    </row>
    <row r="747" spans="1:14">
      <c r="A747">
        <v>32</v>
      </c>
      <c r="B747">
        <v>2</v>
      </c>
      <c r="C747">
        <v>101</v>
      </c>
      <c r="D747">
        <v>0.19676080670443652</v>
      </c>
      <c r="E747">
        <v>5</v>
      </c>
      <c r="F747">
        <v>0</v>
      </c>
      <c r="G747">
        <v>6.7193084666513317E-2</v>
      </c>
      <c r="H747">
        <v>10164.625940999989</v>
      </c>
      <c r="I747">
        <v>56</v>
      </c>
      <c r="J747">
        <v>180</v>
      </c>
      <c r="K747">
        <v>2</v>
      </c>
      <c r="L747">
        <v>1</v>
      </c>
      <c r="M747">
        <v>1</v>
      </c>
      <c r="N747">
        <v>1</v>
      </c>
    </row>
    <row r="748" spans="1:14">
      <c r="A748">
        <v>33</v>
      </c>
      <c r="B748">
        <v>1</v>
      </c>
      <c r="C748">
        <v>21</v>
      </c>
      <c r="D748">
        <v>0.22800186986841464</v>
      </c>
      <c r="E748">
        <v>7</v>
      </c>
      <c r="F748">
        <v>0</v>
      </c>
      <c r="G748">
        <v>8.6368939005834269E-2</v>
      </c>
      <c r="H748">
        <v>8771.857885000014</v>
      </c>
      <c r="I748">
        <v>51</v>
      </c>
      <c r="J748">
        <v>180</v>
      </c>
      <c r="K748">
        <v>2</v>
      </c>
      <c r="L748">
        <v>2</v>
      </c>
      <c r="M748">
        <v>1</v>
      </c>
      <c r="N748">
        <v>2</v>
      </c>
    </row>
    <row r="749" spans="1:14">
      <c r="A749">
        <v>33</v>
      </c>
      <c r="B749">
        <v>2</v>
      </c>
      <c r="C749">
        <v>194</v>
      </c>
      <c r="D749">
        <v>0.19944760468852724</v>
      </c>
      <c r="E749">
        <v>5</v>
      </c>
      <c r="F749">
        <v>0</v>
      </c>
      <c r="G749">
        <v>6.7115531562057948E-2</v>
      </c>
      <c r="H749">
        <v>10027.696262000009</v>
      </c>
      <c r="I749">
        <v>57</v>
      </c>
      <c r="J749">
        <v>180</v>
      </c>
      <c r="K749">
        <v>2</v>
      </c>
      <c r="L749">
        <v>1</v>
      </c>
      <c r="M749">
        <v>1</v>
      </c>
      <c r="N749">
        <v>1</v>
      </c>
    </row>
    <row r="750" spans="1:14">
      <c r="A750">
        <v>34</v>
      </c>
      <c r="B750">
        <v>1</v>
      </c>
      <c r="C750">
        <v>110</v>
      </c>
      <c r="D750">
        <v>0.22345952615968845</v>
      </c>
      <c r="E750">
        <v>7</v>
      </c>
      <c r="F750">
        <v>0</v>
      </c>
      <c r="G750">
        <v>8.6479108334576116E-2</v>
      </c>
      <c r="H750">
        <v>8950.1666559999849</v>
      </c>
      <c r="I750">
        <v>53</v>
      </c>
      <c r="J750">
        <v>180</v>
      </c>
      <c r="K750">
        <v>2</v>
      </c>
      <c r="L750">
        <v>2</v>
      </c>
      <c r="M750">
        <v>1</v>
      </c>
      <c r="N750">
        <v>2</v>
      </c>
    </row>
    <row r="751" spans="1:14">
      <c r="A751">
        <v>34</v>
      </c>
      <c r="B751">
        <v>2</v>
      </c>
      <c r="C751">
        <v>52</v>
      </c>
      <c r="D751">
        <v>0.1967365447989749</v>
      </c>
      <c r="E751">
        <v>5</v>
      </c>
      <c r="F751">
        <v>0</v>
      </c>
      <c r="G751">
        <v>6.7193791398196895E-2</v>
      </c>
      <c r="H751">
        <v>10165.879460999973</v>
      </c>
      <c r="I751">
        <v>55</v>
      </c>
      <c r="J751">
        <v>180</v>
      </c>
      <c r="K751">
        <v>2</v>
      </c>
      <c r="L751">
        <v>1</v>
      </c>
      <c r="M751">
        <v>1</v>
      </c>
      <c r="N751">
        <v>1</v>
      </c>
    </row>
    <row r="752" spans="1:14">
      <c r="A752">
        <v>35</v>
      </c>
      <c r="B752">
        <v>1</v>
      </c>
      <c r="C752">
        <v>1307</v>
      </c>
      <c r="D752">
        <v>0.23152862853506134</v>
      </c>
      <c r="E752">
        <v>7</v>
      </c>
      <c r="F752">
        <v>0</v>
      </c>
      <c r="G752">
        <v>8.6285400130194284E-2</v>
      </c>
      <c r="H752">
        <v>8638.2406040000005</v>
      </c>
      <c r="I752">
        <v>53</v>
      </c>
      <c r="J752">
        <v>180</v>
      </c>
      <c r="K752">
        <v>2</v>
      </c>
      <c r="L752">
        <v>2</v>
      </c>
      <c r="M752">
        <v>2</v>
      </c>
      <c r="N752">
        <v>1</v>
      </c>
    </row>
    <row r="753" spans="1:14">
      <c r="A753">
        <v>35</v>
      </c>
      <c r="B753">
        <v>2</v>
      </c>
      <c r="C753">
        <v>169</v>
      </c>
      <c r="D753">
        <v>0.19876609609187842</v>
      </c>
      <c r="E753">
        <v>5</v>
      </c>
      <c r="F753">
        <v>0</v>
      </c>
      <c r="G753">
        <v>6.7135070568378433E-2</v>
      </c>
      <c r="H753">
        <v>10062.07818799999</v>
      </c>
      <c r="I753">
        <v>56</v>
      </c>
      <c r="J753">
        <v>180</v>
      </c>
      <c r="K753">
        <v>2</v>
      </c>
      <c r="L753">
        <v>1</v>
      </c>
      <c r="M753">
        <v>1</v>
      </c>
      <c r="N753">
        <v>1</v>
      </c>
    </row>
    <row r="754" spans="1:14">
      <c r="A754">
        <v>36</v>
      </c>
      <c r="B754">
        <v>1</v>
      </c>
      <c r="C754">
        <v>595</v>
      </c>
      <c r="D754">
        <v>0.23147507230108855</v>
      </c>
      <c r="E754">
        <v>7</v>
      </c>
      <c r="F754">
        <v>0</v>
      </c>
      <c r="G754">
        <v>8.6286656014084334E-2</v>
      </c>
      <c r="H754">
        <v>8640.2392279999931</v>
      </c>
      <c r="I754">
        <v>55</v>
      </c>
      <c r="J754">
        <v>180</v>
      </c>
      <c r="K754">
        <v>2</v>
      </c>
      <c r="L754">
        <v>2</v>
      </c>
      <c r="M754">
        <v>2</v>
      </c>
      <c r="N754">
        <v>1</v>
      </c>
    </row>
    <row r="755" spans="1:14">
      <c r="A755">
        <v>36</v>
      </c>
      <c r="B755">
        <v>2</v>
      </c>
      <c r="C755">
        <v>20</v>
      </c>
      <c r="D755">
        <v>0.19754102268365309</v>
      </c>
      <c r="E755">
        <v>5</v>
      </c>
      <c r="F755">
        <v>0</v>
      </c>
      <c r="G755">
        <v>6.7170419300371431E-2</v>
      </c>
      <c r="H755">
        <v>10124.479324999991</v>
      </c>
      <c r="I755">
        <v>55</v>
      </c>
      <c r="J755">
        <v>180</v>
      </c>
      <c r="K755">
        <v>2</v>
      </c>
      <c r="L755">
        <v>1</v>
      </c>
      <c r="M755">
        <v>1</v>
      </c>
      <c r="N755">
        <v>1</v>
      </c>
    </row>
    <row r="756" spans="1:14">
      <c r="A756">
        <v>37</v>
      </c>
      <c r="B756">
        <v>1</v>
      </c>
      <c r="C756">
        <v>629</v>
      </c>
      <c r="D756">
        <v>0.22695409236677386</v>
      </c>
      <c r="E756">
        <v>7</v>
      </c>
      <c r="F756">
        <v>0</v>
      </c>
      <c r="G756">
        <v>8.6394090465142709E-2</v>
      </c>
      <c r="H756">
        <v>8812.3548650000048</v>
      </c>
      <c r="I756">
        <v>56</v>
      </c>
      <c r="J756">
        <v>180</v>
      </c>
      <c r="K756">
        <v>3</v>
      </c>
      <c r="L756">
        <v>1</v>
      </c>
      <c r="M756">
        <v>2</v>
      </c>
      <c r="N756">
        <v>1</v>
      </c>
    </row>
    <row r="757" spans="1:14">
      <c r="A757">
        <v>37</v>
      </c>
      <c r="B757">
        <v>2</v>
      </c>
      <c r="C757">
        <v>58</v>
      </c>
      <c r="D757">
        <v>0.20126735227949458</v>
      </c>
      <c r="E757">
        <v>5</v>
      </c>
      <c r="F757">
        <v>0</v>
      </c>
      <c r="G757">
        <v>6.7063792271912961E-2</v>
      </c>
      <c r="H757">
        <v>9937.0314029999936</v>
      </c>
      <c r="I757">
        <v>57</v>
      </c>
      <c r="J757">
        <v>180</v>
      </c>
      <c r="K757">
        <v>2</v>
      </c>
      <c r="L757">
        <v>1</v>
      </c>
      <c r="M757">
        <v>1</v>
      </c>
      <c r="N757">
        <v>1</v>
      </c>
    </row>
    <row r="758" spans="1:14">
      <c r="A758">
        <v>38</v>
      </c>
      <c r="B758">
        <v>1</v>
      </c>
      <c r="C758">
        <v>86</v>
      </c>
      <c r="D758">
        <v>0.23239101472597712</v>
      </c>
      <c r="E758">
        <v>7</v>
      </c>
      <c r="F758">
        <v>0</v>
      </c>
      <c r="G758">
        <v>8.6265230514239996E-2</v>
      </c>
      <c r="H758">
        <v>8606.1847200000029</v>
      </c>
      <c r="I758">
        <v>54</v>
      </c>
      <c r="J758">
        <v>180</v>
      </c>
      <c r="K758">
        <v>2</v>
      </c>
      <c r="L758">
        <v>2</v>
      </c>
      <c r="M758">
        <v>2</v>
      </c>
      <c r="N758">
        <v>1</v>
      </c>
    </row>
    <row r="759" spans="1:14">
      <c r="A759">
        <v>38</v>
      </c>
      <c r="B759">
        <v>2</v>
      </c>
      <c r="C759">
        <v>194</v>
      </c>
      <c r="D759">
        <v>0.20021384101569864</v>
      </c>
      <c r="E759">
        <v>5</v>
      </c>
      <c r="F759">
        <v>0</v>
      </c>
      <c r="G759">
        <v>6.709366942403365E-2</v>
      </c>
      <c r="H759">
        <v>9989.3193689999753</v>
      </c>
      <c r="I759">
        <v>56</v>
      </c>
      <c r="J759">
        <v>180</v>
      </c>
      <c r="K759">
        <v>2</v>
      </c>
      <c r="L759">
        <v>1</v>
      </c>
      <c r="M759">
        <v>1</v>
      </c>
      <c r="N759">
        <v>1</v>
      </c>
    </row>
    <row r="760" spans="1:14">
      <c r="A760">
        <v>39</v>
      </c>
      <c r="B760">
        <v>1</v>
      </c>
      <c r="C760">
        <v>971</v>
      </c>
      <c r="D760">
        <v>0.22994178482319289</v>
      </c>
      <c r="E760">
        <v>7</v>
      </c>
      <c r="F760">
        <v>0</v>
      </c>
      <c r="G760">
        <v>8.6322776496281103E-2</v>
      </c>
      <c r="H760">
        <v>8697.8536829999921</v>
      </c>
      <c r="I760">
        <v>54</v>
      </c>
      <c r="J760">
        <v>180</v>
      </c>
      <c r="K760">
        <v>2</v>
      </c>
      <c r="L760">
        <v>2</v>
      </c>
      <c r="M760">
        <v>2</v>
      </c>
      <c r="N760">
        <v>1</v>
      </c>
    </row>
    <row r="761" spans="1:14">
      <c r="A761">
        <v>39</v>
      </c>
      <c r="B761">
        <v>2</v>
      </c>
      <c r="C761">
        <v>151</v>
      </c>
      <c r="D761">
        <v>0.19840560781355676</v>
      </c>
      <c r="E761">
        <v>5</v>
      </c>
      <c r="F761">
        <v>0</v>
      </c>
      <c r="G761">
        <v>6.7145442007106509E-2</v>
      </c>
      <c r="H761">
        <v>10080.360238000001</v>
      </c>
      <c r="I761">
        <v>55</v>
      </c>
      <c r="J761">
        <v>180</v>
      </c>
      <c r="K761">
        <v>2</v>
      </c>
      <c r="L761">
        <v>1</v>
      </c>
      <c r="M761">
        <v>1</v>
      </c>
      <c r="N761">
        <v>1</v>
      </c>
    </row>
    <row r="762" spans="1:14">
      <c r="A762">
        <v>40</v>
      </c>
      <c r="B762">
        <v>1</v>
      </c>
      <c r="C762">
        <v>270</v>
      </c>
      <c r="D762">
        <v>0.23187691489847448</v>
      </c>
      <c r="E762">
        <v>7</v>
      </c>
      <c r="F762">
        <v>0</v>
      </c>
      <c r="G762">
        <v>8.6277242317971084E-2</v>
      </c>
      <c r="H762">
        <v>8625.2656969999989</v>
      </c>
      <c r="I762">
        <v>55</v>
      </c>
      <c r="J762">
        <v>180</v>
      </c>
      <c r="K762">
        <v>2</v>
      </c>
      <c r="L762">
        <v>2</v>
      </c>
      <c r="M762">
        <v>2</v>
      </c>
      <c r="N762">
        <v>1</v>
      </c>
    </row>
    <row r="763" spans="1:14">
      <c r="A763">
        <v>40</v>
      </c>
      <c r="B763">
        <v>2</v>
      </c>
      <c r="C763">
        <v>289</v>
      </c>
      <c r="D763">
        <v>0.19907952751533251</v>
      </c>
      <c r="E763">
        <v>5</v>
      </c>
      <c r="F763">
        <v>0</v>
      </c>
      <c r="G763">
        <v>6.7126073342283099E-2</v>
      </c>
      <c r="H763">
        <v>10046.236420999974</v>
      </c>
      <c r="I763">
        <v>55</v>
      </c>
      <c r="J763">
        <v>180</v>
      </c>
      <c r="K763">
        <v>2</v>
      </c>
      <c r="L763">
        <v>1</v>
      </c>
      <c r="M763">
        <v>1</v>
      </c>
      <c r="N763">
        <v>1</v>
      </c>
    </row>
    <row r="764" spans="1:14">
      <c r="A764">
        <v>41</v>
      </c>
      <c r="B764">
        <v>1</v>
      </c>
      <c r="C764">
        <v>1962</v>
      </c>
      <c r="D764">
        <v>0.22418589678214287</v>
      </c>
      <c r="E764">
        <v>17</v>
      </c>
      <c r="F764">
        <v>0</v>
      </c>
      <c r="G764">
        <v>0.18646129143744689</v>
      </c>
      <c r="H764">
        <v>8921.1677839999902</v>
      </c>
      <c r="I764">
        <v>56</v>
      </c>
      <c r="J764">
        <v>180</v>
      </c>
      <c r="K764">
        <v>4</v>
      </c>
      <c r="L764">
        <v>5</v>
      </c>
      <c r="M764">
        <v>5</v>
      </c>
      <c r="N764">
        <v>3</v>
      </c>
    </row>
    <row r="765" spans="1:14">
      <c r="A765">
        <v>41</v>
      </c>
      <c r="B765">
        <v>2</v>
      </c>
      <c r="C765">
        <v>993</v>
      </c>
      <c r="D765">
        <v>0.17734023496483378</v>
      </c>
      <c r="E765">
        <v>9</v>
      </c>
      <c r="F765">
        <v>0</v>
      </c>
      <c r="G765">
        <v>0.10779908075566767</v>
      </c>
      <c r="H765">
        <v>11277.756570000012</v>
      </c>
      <c r="I765">
        <v>53</v>
      </c>
      <c r="J765">
        <v>180</v>
      </c>
      <c r="K765">
        <v>1</v>
      </c>
      <c r="L765">
        <v>4</v>
      </c>
      <c r="M765">
        <v>2</v>
      </c>
      <c r="N765">
        <v>2</v>
      </c>
    </row>
    <row r="766" spans="1:14">
      <c r="A766">
        <v>42</v>
      </c>
      <c r="B766">
        <v>1</v>
      </c>
      <c r="C766">
        <v>8631</v>
      </c>
      <c r="D766">
        <v>0.21708581677395675</v>
      </c>
      <c r="E766">
        <v>22</v>
      </c>
      <c r="F766">
        <v>0</v>
      </c>
      <c r="G766">
        <v>0.23663883250876744</v>
      </c>
      <c r="H766">
        <v>9212.9464269999935</v>
      </c>
      <c r="I766">
        <v>57</v>
      </c>
      <c r="J766">
        <v>180</v>
      </c>
      <c r="K766">
        <v>4</v>
      </c>
      <c r="L766">
        <v>9</v>
      </c>
      <c r="M766">
        <v>6</v>
      </c>
      <c r="N766">
        <v>3</v>
      </c>
    </row>
    <row r="767" spans="1:14">
      <c r="A767">
        <v>42</v>
      </c>
      <c r="B767">
        <v>2</v>
      </c>
      <c r="C767">
        <v>1718</v>
      </c>
      <c r="D767">
        <v>0.17101989415871566</v>
      </c>
      <c r="E767">
        <v>9</v>
      </c>
      <c r="F767">
        <v>0</v>
      </c>
      <c r="G767">
        <v>0.10801569920886019</v>
      </c>
      <c r="H767">
        <v>11694.545887999981</v>
      </c>
      <c r="I767">
        <v>58</v>
      </c>
      <c r="J767">
        <v>180</v>
      </c>
      <c r="K767">
        <v>2</v>
      </c>
      <c r="L767">
        <v>2</v>
      </c>
      <c r="M767">
        <v>4</v>
      </c>
      <c r="N767">
        <v>1</v>
      </c>
    </row>
    <row r="768" spans="1:14">
      <c r="A768">
        <v>43</v>
      </c>
      <c r="B768">
        <v>1</v>
      </c>
      <c r="C768">
        <v>4217</v>
      </c>
      <c r="D768">
        <v>0.23832640296002244</v>
      </c>
      <c r="E768">
        <v>20</v>
      </c>
      <c r="F768">
        <v>0</v>
      </c>
      <c r="G768">
        <v>0.21612906828519854</v>
      </c>
      <c r="H768">
        <v>8391.8524139999954</v>
      </c>
      <c r="I768">
        <v>55</v>
      </c>
      <c r="J768">
        <v>180</v>
      </c>
      <c r="K768">
        <v>3</v>
      </c>
      <c r="L768">
        <v>7</v>
      </c>
      <c r="M768">
        <v>7</v>
      </c>
      <c r="N768">
        <v>3</v>
      </c>
    </row>
    <row r="769" spans="1:14">
      <c r="A769">
        <v>43</v>
      </c>
      <c r="B769">
        <v>2</v>
      </c>
      <c r="C769">
        <v>4169</v>
      </c>
      <c r="D769">
        <v>0.19089985592638034</v>
      </c>
      <c r="E769">
        <v>10</v>
      </c>
      <c r="F769">
        <v>0</v>
      </c>
      <c r="G769">
        <v>0.11736726641555852</v>
      </c>
      <c r="H769">
        <v>10476.697272999991</v>
      </c>
      <c r="I769">
        <v>56</v>
      </c>
      <c r="J769">
        <v>180</v>
      </c>
      <c r="K769">
        <v>2</v>
      </c>
      <c r="L769">
        <v>2</v>
      </c>
      <c r="M769">
        <v>4</v>
      </c>
      <c r="N769">
        <v>2</v>
      </c>
    </row>
    <row r="770" spans="1:14">
      <c r="A770">
        <v>44</v>
      </c>
      <c r="B770">
        <v>1</v>
      </c>
      <c r="C770">
        <v>1401</v>
      </c>
      <c r="D770">
        <v>0.21961846969126678</v>
      </c>
      <c r="E770">
        <v>16</v>
      </c>
      <c r="F770">
        <v>0</v>
      </c>
      <c r="G770">
        <v>0.17657462506441221</v>
      </c>
      <c r="H770">
        <v>9106.7021949999998</v>
      </c>
      <c r="I770">
        <v>55</v>
      </c>
      <c r="J770">
        <v>180</v>
      </c>
      <c r="K770">
        <v>4</v>
      </c>
      <c r="L770">
        <v>4</v>
      </c>
      <c r="M770">
        <v>6</v>
      </c>
      <c r="N770">
        <v>2</v>
      </c>
    </row>
    <row r="771" spans="1:14">
      <c r="A771">
        <v>44</v>
      </c>
      <c r="B771">
        <v>2</v>
      </c>
      <c r="C771">
        <v>2559</v>
      </c>
      <c r="D771">
        <v>0.1720642245176264</v>
      </c>
      <c r="E771">
        <v>8</v>
      </c>
      <c r="F771">
        <v>0</v>
      </c>
      <c r="G771">
        <v>9.7979176926551392E-2</v>
      </c>
      <c r="H771">
        <v>11623.566755999986</v>
      </c>
      <c r="I771">
        <v>53</v>
      </c>
      <c r="J771">
        <v>180</v>
      </c>
      <c r="K771">
        <v>1</v>
      </c>
      <c r="L771">
        <v>3</v>
      </c>
      <c r="M771">
        <v>2</v>
      </c>
      <c r="N771">
        <v>2</v>
      </c>
    </row>
    <row r="772" spans="1:14">
      <c r="A772">
        <v>45</v>
      </c>
      <c r="B772">
        <v>1</v>
      </c>
      <c r="C772">
        <v>2461</v>
      </c>
      <c r="D772">
        <v>0.23390843168683981</v>
      </c>
      <c r="E772">
        <v>22</v>
      </c>
      <c r="F772">
        <v>0</v>
      </c>
      <c r="G772">
        <v>0.23622998210475443</v>
      </c>
      <c r="H772">
        <v>8550.3544509999992</v>
      </c>
      <c r="I772">
        <v>56</v>
      </c>
      <c r="J772">
        <v>180</v>
      </c>
      <c r="K772">
        <v>3</v>
      </c>
      <c r="L772">
        <v>8</v>
      </c>
      <c r="M772">
        <v>9</v>
      </c>
      <c r="N772">
        <v>2</v>
      </c>
    </row>
    <row r="773" spans="1:14">
      <c r="A773">
        <v>45</v>
      </c>
      <c r="B773">
        <v>2</v>
      </c>
      <c r="C773">
        <v>623</v>
      </c>
      <c r="D773">
        <v>0.18345725420467335</v>
      </c>
      <c r="E773">
        <v>9</v>
      </c>
      <c r="F773">
        <v>0</v>
      </c>
      <c r="G773">
        <v>0.10759901535792257</v>
      </c>
      <c r="H773">
        <v>10901.72208599998</v>
      </c>
      <c r="I773">
        <v>56</v>
      </c>
      <c r="J773">
        <v>180</v>
      </c>
      <c r="K773">
        <v>2</v>
      </c>
      <c r="L773">
        <v>3</v>
      </c>
      <c r="M773">
        <v>2</v>
      </c>
      <c r="N773">
        <v>2</v>
      </c>
    </row>
    <row r="774" spans="1:14">
      <c r="A774">
        <v>46</v>
      </c>
      <c r="B774">
        <v>1</v>
      </c>
      <c r="C774">
        <v>4868</v>
      </c>
      <c r="D774">
        <v>0.22252869873518613</v>
      </c>
      <c r="E774">
        <v>24</v>
      </c>
      <c r="F774">
        <v>0</v>
      </c>
      <c r="G774">
        <v>0.25650205349159277</v>
      </c>
      <c r="H774">
        <v>8987.6047960000087</v>
      </c>
      <c r="I774">
        <v>55</v>
      </c>
      <c r="J774">
        <v>180</v>
      </c>
      <c r="K774">
        <v>2</v>
      </c>
      <c r="L774">
        <v>9</v>
      </c>
      <c r="M774">
        <v>7</v>
      </c>
      <c r="N774">
        <v>6</v>
      </c>
    </row>
    <row r="775" spans="1:14">
      <c r="A775">
        <v>46</v>
      </c>
      <c r="B775">
        <v>2</v>
      </c>
      <c r="C775">
        <v>900</v>
      </c>
      <c r="D775">
        <v>0.17186408449576043</v>
      </c>
      <c r="E775">
        <v>9</v>
      </c>
      <c r="F775">
        <v>0</v>
      </c>
      <c r="G775">
        <v>0.10798615328616741</v>
      </c>
      <c r="H775">
        <v>11637.102689999994</v>
      </c>
      <c r="I775">
        <v>56</v>
      </c>
      <c r="J775">
        <v>180</v>
      </c>
      <c r="K775">
        <v>2</v>
      </c>
      <c r="L775">
        <v>3</v>
      </c>
      <c r="M775">
        <v>2</v>
      </c>
      <c r="N775">
        <v>2</v>
      </c>
    </row>
    <row r="776" spans="1:14">
      <c r="A776">
        <v>47</v>
      </c>
      <c r="B776">
        <v>1</v>
      </c>
      <c r="C776">
        <v>1758</v>
      </c>
      <c r="D776">
        <v>0.22237407396603101</v>
      </c>
      <c r="E776">
        <v>22</v>
      </c>
      <c r="F776">
        <v>0</v>
      </c>
      <c r="G776">
        <v>0.23650587743111021</v>
      </c>
      <c r="H776">
        <v>8993.8542040000229</v>
      </c>
      <c r="I776">
        <v>56</v>
      </c>
      <c r="J776">
        <v>180</v>
      </c>
      <c r="K776">
        <v>7</v>
      </c>
      <c r="L776">
        <v>4</v>
      </c>
      <c r="M776">
        <v>3</v>
      </c>
      <c r="N776">
        <v>8</v>
      </c>
    </row>
    <row r="777" spans="1:14">
      <c r="A777">
        <v>47</v>
      </c>
      <c r="B777">
        <v>2</v>
      </c>
      <c r="C777">
        <v>1232</v>
      </c>
      <c r="D777">
        <v>0.17932269602702658</v>
      </c>
      <c r="E777">
        <v>8</v>
      </c>
      <c r="F777">
        <v>0</v>
      </c>
      <c r="G777">
        <v>9.7733246328054899E-2</v>
      </c>
      <c r="H777">
        <v>11153.077911000013</v>
      </c>
      <c r="I777">
        <v>53</v>
      </c>
      <c r="J777">
        <v>180</v>
      </c>
      <c r="K777">
        <v>1</v>
      </c>
      <c r="L777">
        <v>3</v>
      </c>
      <c r="M777">
        <v>2</v>
      </c>
      <c r="N777">
        <v>2</v>
      </c>
    </row>
    <row r="778" spans="1:14">
      <c r="A778">
        <v>48</v>
      </c>
      <c r="B778">
        <v>1</v>
      </c>
      <c r="C778">
        <v>598</v>
      </c>
      <c r="D778">
        <v>0.21860846431007058</v>
      </c>
      <c r="E778">
        <v>14</v>
      </c>
      <c r="F778">
        <v>0</v>
      </c>
      <c r="G778">
        <v>0.15660011164281135</v>
      </c>
      <c r="H778">
        <v>9148.7765870000057</v>
      </c>
      <c r="I778">
        <v>56</v>
      </c>
      <c r="J778">
        <v>180</v>
      </c>
      <c r="K778">
        <v>3</v>
      </c>
      <c r="L778">
        <v>4</v>
      </c>
      <c r="M778">
        <v>5</v>
      </c>
      <c r="N778">
        <v>2</v>
      </c>
    </row>
    <row r="779" spans="1:14">
      <c r="A779">
        <v>48</v>
      </c>
      <c r="B779">
        <v>2</v>
      </c>
      <c r="C779">
        <v>834</v>
      </c>
      <c r="D779">
        <v>0.17460295081207841</v>
      </c>
      <c r="E779">
        <v>8</v>
      </c>
      <c r="F779">
        <v>0</v>
      </c>
      <c r="G779">
        <v>9.7891612091194083E-2</v>
      </c>
      <c r="H779">
        <v>11454.560135999987</v>
      </c>
      <c r="I779">
        <v>52</v>
      </c>
      <c r="J779">
        <v>180</v>
      </c>
      <c r="K779">
        <v>1</v>
      </c>
      <c r="L779">
        <v>2</v>
      </c>
      <c r="M779">
        <v>3</v>
      </c>
      <c r="N779">
        <v>2</v>
      </c>
    </row>
    <row r="780" spans="1:14">
      <c r="A780">
        <v>49</v>
      </c>
      <c r="B780">
        <v>1</v>
      </c>
      <c r="C780">
        <v>4152</v>
      </c>
      <c r="D780">
        <v>0.22742392963300204</v>
      </c>
      <c r="E780">
        <v>21</v>
      </c>
      <c r="F780">
        <v>0</v>
      </c>
      <c r="G780">
        <v>0.22638279311249165</v>
      </c>
      <c r="H780">
        <v>8794.1493370000026</v>
      </c>
      <c r="I780">
        <v>51</v>
      </c>
      <c r="J780">
        <v>180</v>
      </c>
      <c r="K780">
        <v>1</v>
      </c>
      <c r="L780">
        <v>11</v>
      </c>
      <c r="M780">
        <v>7</v>
      </c>
      <c r="N780">
        <v>2</v>
      </c>
    </row>
    <row r="781" spans="1:14">
      <c r="A781">
        <v>49</v>
      </c>
      <c r="B781">
        <v>2</v>
      </c>
      <c r="C781">
        <v>1772</v>
      </c>
      <c r="D781">
        <v>0.18629726044454428</v>
      </c>
      <c r="E781">
        <v>9</v>
      </c>
      <c r="F781">
        <v>0</v>
      </c>
      <c r="G781">
        <v>0.1075091277123212</v>
      </c>
      <c r="H781">
        <v>10735.530921000025</v>
      </c>
      <c r="I781">
        <v>59</v>
      </c>
      <c r="J781">
        <v>180</v>
      </c>
      <c r="K781">
        <v>2</v>
      </c>
      <c r="L781">
        <v>3</v>
      </c>
      <c r="M781">
        <v>3</v>
      </c>
      <c r="N781">
        <v>1</v>
      </c>
    </row>
    <row r="782" spans="1:14">
      <c r="A782">
        <v>50</v>
      </c>
      <c r="B782">
        <v>1</v>
      </c>
      <c r="C782">
        <v>2884</v>
      </c>
      <c r="D782">
        <v>0.23910915727739107</v>
      </c>
      <c r="E782">
        <v>25</v>
      </c>
      <c r="F782">
        <v>0</v>
      </c>
      <c r="G782">
        <v>0.26611144885744153</v>
      </c>
      <c r="H782">
        <v>8364.3806150000164</v>
      </c>
      <c r="I782">
        <v>55</v>
      </c>
      <c r="J782">
        <v>180</v>
      </c>
      <c r="K782">
        <v>4</v>
      </c>
      <c r="L782">
        <v>9</v>
      </c>
      <c r="M782">
        <v>9</v>
      </c>
      <c r="N782">
        <v>3</v>
      </c>
    </row>
    <row r="783" spans="1:14">
      <c r="A783">
        <v>50</v>
      </c>
      <c r="B783">
        <v>2</v>
      </c>
      <c r="C783">
        <v>2554</v>
      </c>
      <c r="D783">
        <v>0.18289891012884196</v>
      </c>
      <c r="E783">
        <v>9</v>
      </c>
      <c r="F783">
        <v>0</v>
      </c>
      <c r="G783">
        <v>0.10761690561181092</v>
      </c>
      <c r="H783">
        <v>10935.002284000013</v>
      </c>
      <c r="I783">
        <v>55</v>
      </c>
      <c r="J783">
        <v>180</v>
      </c>
      <c r="K783">
        <v>2</v>
      </c>
      <c r="L783">
        <v>2</v>
      </c>
      <c r="M783">
        <v>3</v>
      </c>
      <c r="N783">
        <v>2</v>
      </c>
    </row>
    <row r="784" spans="1:14">
      <c r="A784">
        <v>51</v>
      </c>
      <c r="B784">
        <v>1</v>
      </c>
      <c r="C784">
        <v>1203</v>
      </c>
      <c r="D784">
        <v>0.22875678138097805</v>
      </c>
      <c r="E784">
        <v>8</v>
      </c>
      <c r="F784">
        <v>0</v>
      </c>
      <c r="G784">
        <v>9.6350912992251375E-2</v>
      </c>
      <c r="H784">
        <v>8742.9102119999807</v>
      </c>
      <c r="I784">
        <v>51</v>
      </c>
      <c r="J784">
        <v>180</v>
      </c>
      <c r="K784">
        <v>1</v>
      </c>
      <c r="L784">
        <v>3</v>
      </c>
      <c r="M784">
        <v>2</v>
      </c>
      <c r="N784">
        <v>2</v>
      </c>
    </row>
    <row r="785" spans="1:14">
      <c r="A785">
        <v>51</v>
      </c>
      <c r="B785">
        <v>2</v>
      </c>
      <c r="C785">
        <v>6317</v>
      </c>
      <c r="D785">
        <v>0.20955195349072714</v>
      </c>
      <c r="E785">
        <v>6</v>
      </c>
      <c r="F785">
        <v>0</v>
      </c>
      <c r="G785">
        <v>7.6835890614610089E-2</v>
      </c>
      <c r="H785">
        <v>9544.1725389999847</v>
      </c>
      <c r="I785">
        <v>52</v>
      </c>
      <c r="J785">
        <v>180</v>
      </c>
      <c r="K785">
        <v>1</v>
      </c>
      <c r="L785">
        <v>2</v>
      </c>
      <c r="M785">
        <v>2</v>
      </c>
      <c r="N785">
        <v>1</v>
      </c>
    </row>
    <row r="786" spans="1:14">
      <c r="A786">
        <v>52</v>
      </c>
      <c r="B786">
        <v>1</v>
      </c>
      <c r="C786">
        <v>2573</v>
      </c>
      <c r="D786">
        <v>0.2352225547822879</v>
      </c>
      <c r="E786">
        <v>8</v>
      </c>
      <c r="F786">
        <v>0</v>
      </c>
      <c r="G786">
        <v>9.6199701510402316E-2</v>
      </c>
      <c r="H786">
        <v>8502.585994999994</v>
      </c>
      <c r="I786">
        <v>55</v>
      </c>
      <c r="J786">
        <v>180</v>
      </c>
      <c r="K786">
        <v>2</v>
      </c>
      <c r="L786">
        <v>2</v>
      </c>
      <c r="M786">
        <v>2</v>
      </c>
      <c r="N786">
        <v>2</v>
      </c>
    </row>
    <row r="787" spans="1:14">
      <c r="A787">
        <v>52</v>
      </c>
      <c r="B787">
        <v>2</v>
      </c>
      <c r="C787">
        <v>2728</v>
      </c>
      <c r="D787">
        <v>0.21671621928531068</v>
      </c>
      <c r="E787">
        <v>7</v>
      </c>
      <c r="F787">
        <v>0</v>
      </c>
      <c r="G787">
        <v>8.6648286005240091E-2</v>
      </c>
      <c r="H787">
        <v>9228.6585959999848</v>
      </c>
      <c r="I787">
        <v>51</v>
      </c>
      <c r="J787">
        <v>180</v>
      </c>
      <c r="K787">
        <v>1</v>
      </c>
      <c r="L787">
        <v>2</v>
      </c>
      <c r="M787">
        <v>2</v>
      </c>
      <c r="N787">
        <v>2</v>
      </c>
    </row>
    <row r="788" spans="1:14">
      <c r="A788">
        <v>53</v>
      </c>
      <c r="B788">
        <v>1</v>
      </c>
      <c r="C788">
        <v>1009</v>
      </c>
      <c r="D788">
        <v>0.23799047196958642</v>
      </c>
      <c r="E788">
        <v>8</v>
      </c>
      <c r="F788">
        <v>0</v>
      </c>
      <c r="G788">
        <v>9.6136653612027528E-2</v>
      </c>
      <c r="H788">
        <v>8403.6977759999845</v>
      </c>
      <c r="I788">
        <v>55</v>
      </c>
      <c r="J788">
        <v>180</v>
      </c>
      <c r="K788">
        <v>2</v>
      </c>
      <c r="L788">
        <v>2</v>
      </c>
      <c r="M788">
        <v>2</v>
      </c>
      <c r="N788">
        <v>2</v>
      </c>
    </row>
    <row r="789" spans="1:14">
      <c r="A789">
        <v>53</v>
      </c>
      <c r="B789">
        <v>2</v>
      </c>
      <c r="C789">
        <v>1033</v>
      </c>
      <c r="D789">
        <v>0.21034698988798295</v>
      </c>
      <c r="E789">
        <v>6</v>
      </c>
      <c r="F789">
        <v>0</v>
      </c>
      <c r="G789">
        <v>7.6814652619533519E-2</v>
      </c>
      <c r="H789">
        <v>9508.0989799999952</v>
      </c>
      <c r="I789">
        <v>55</v>
      </c>
      <c r="J789">
        <v>180</v>
      </c>
      <c r="K789">
        <v>1</v>
      </c>
      <c r="L789">
        <v>2</v>
      </c>
      <c r="M789">
        <v>2</v>
      </c>
      <c r="N789">
        <v>1</v>
      </c>
    </row>
    <row r="790" spans="1:14">
      <c r="A790">
        <v>54</v>
      </c>
      <c r="B790">
        <v>1</v>
      </c>
      <c r="C790">
        <v>726</v>
      </c>
      <c r="D790">
        <v>0.22494336123833036</v>
      </c>
      <c r="E790">
        <v>8</v>
      </c>
      <c r="F790">
        <v>0</v>
      </c>
      <c r="G790">
        <v>9.644279364757527E-2</v>
      </c>
      <c r="H790">
        <v>8891.1270329999843</v>
      </c>
      <c r="I790">
        <v>49</v>
      </c>
      <c r="J790">
        <v>180</v>
      </c>
      <c r="K790">
        <v>1</v>
      </c>
      <c r="L790">
        <v>3</v>
      </c>
      <c r="M790">
        <v>2</v>
      </c>
      <c r="N790">
        <v>2</v>
      </c>
    </row>
    <row r="791" spans="1:14">
      <c r="A791">
        <v>54</v>
      </c>
      <c r="B791">
        <v>2</v>
      </c>
      <c r="C791">
        <v>602</v>
      </c>
      <c r="D791">
        <v>0.20729752852015443</v>
      </c>
      <c r="E791">
        <v>6</v>
      </c>
      <c r="F791">
        <v>0</v>
      </c>
      <c r="G791">
        <v>7.6896702540483655E-2</v>
      </c>
      <c r="H791">
        <v>9647.968377999985</v>
      </c>
      <c r="I791">
        <v>55</v>
      </c>
      <c r="J791">
        <v>180</v>
      </c>
      <c r="K791">
        <v>1</v>
      </c>
      <c r="L791">
        <v>2</v>
      </c>
      <c r="M791">
        <v>2</v>
      </c>
      <c r="N791">
        <v>1</v>
      </c>
    </row>
    <row r="792" spans="1:14">
      <c r="A792">
        <v>55</v>
      </c>
      <c r="B792">
        <v>1</v>
      </c>
      <c r="C792">
        <v>1783</v>
      </c>
      <c r="D792">
        <v>0.23646406617800669</v>
      </c>
      <c r="E792">
        <v>9</v>
      </c>
      <c r="F792">
        <v>0</v>
      </c>
      <c r="G792">
        <v>0.10617130055613463</v>
      </c>
      <c r="H792">
        <v>8457.9447199999904</v>
      </c>
      <c r="I792">
        <v>59</v>
      </c>
      <c r="J792">
        <v>180</v>
      </c>
      <c r="K792">
        <v>2</v>
      </c>
      <c r="L792">
        <v>2</v>
      </c>
      <c r="M792">
        <v>4</v>
      </c>
      <c r="N792">
        <v>1</v>
      </c>
    </row>
    <row r="793" spans="1:14">
      <c r="A793">
        <v>55</v>
      </c>
      <c r="B793">
        <v>2</v>
      </c>
      <c r="C793">
        <v>1930</v>
      </c>
      <c r="D793">
        <v>0.21236227066419056</v>
      </c>
      <c r="E793">
        <v>6</v>
      </c>
      <c r="F793">
        <v>0</v>
      </c>
      <c r="G793">
        <v>7.6761294104202182E-2</v>
      </c>
      <c r="H793">
        <v>9417.8687849999933</v>
      </c>
      <c r="I793">
        <v>56</v>
      </c>
      <c r="J793">
        <v>180</v>
      </c>
      <c r="K793">
        <v>1</v>
      </c>
      <c r="L793">
        <v>2</v>
      </c>
      <c r="M793">
        <v>2</v>
      </c>
      <c r="N793">
        <v>1</v>
      </c>
    </row>
    <row r="794" spans="1:14">
      <c r="A794">
        <v>56</v>
      </c>
      <c r="B794">
        <v>1</v>
      </c>
      <c r="C794">
        <v>2526</v>
      </c>
      <c r="D794">
        <v>0.22988730603335553</v>
      </c>
      <c r="E794">
        <v>8</v>
      </c>
      <c r="F794">
        <v>0</v>
      </c>
      <c r="G794">
        <v>9.6324065787238969E-2</v>
      </c>
      <c r="H794">
        <v>8699.9149040000048</v>
      </c>
      <c r="I794">
        <v>55</v>
      </c>
      <c r="J794">
        <v>180</v>
      </c>
      <c r="K794">
        <v>2</v>
      </c>
      <c r="L794">
        <v>2</v>
      </c>
      <c r="M794">
        <v>3</v>
      </c>
      <c r="N794">
        <v>1</v>
      </c>
    </row>
    <row r="795" spans="1:14">
      <c r="A795">
        <v>56</v>
      </c>
      <c r="B795">
        <v>2</v>
      </c>
      <c r="C795">
        <v>1320</v>
      </c>
      <c r="D795">
        <v>0.20939637341567077</v>
      </c>
      <c r="E795">
        <v>6</v>
      </c>
      <c r="F795">
        <v>0</v>
      </c>
      <c r="G795">
        <v>7.6840059232935604E-2</v>
      </c>
      <c r="H795">
        <v>9551.2637939999986</v>
      </c>
      <c r="I795">
        <v>55</v>
      </c>
      <c r="J795">
        <v>180</v>
      </c>
      <c r="K795">
        <v>1</v>
      </c>
      <c r="L795">
        <v>2</v>
      </c>
      <c r="M795">
        <v>2</v>
      </c>
      <c r="N795">
        <v>1</v>
      </c>
    </row>
    <row r="796" spans="1:14">
      <c r="A796">
        <v>57</v>
      </c>
      <c r="B796">
        <v>1</v>
      </c>
      <c r="C796">
        <v>625</v>
      </c>
      <c r="D796">
        <v>0.22847535857375692</v>
      </c>
      <c r="E796">
        <v>9</v>
      </c>
      <c r="F796">
        <v>0</v>
      </c>
      <c r="G796">
        <v>0.10635762360918555</v>
      </c>
      <c r="H796">
        <v>8753.6792260000129</v>
      </c>
      <c r="I796">
        <v>55</v>
      </c>
      <c r="J796">
        <v>180</v>
      </c>
      <c r="K796">
        <v>1</v>
      </c>
      <c r="L796">
        <v>3</v>
      </c>
      <c r="M796">
        <v>4</v>
      </c>
      <c r="N796">
        <v>1</v>
      </c>
    </row>
    <row r="797" spans="1:14">
      <c r="A797">
        <v>57</v>
      </c>
      <c r="B797">
        <v>2</v>
      </c>
      <c r="C797">
        <v>662</v>
      </c>
      <c r="D797">
        <v>0.20974601169993243</v>
      </c>
      <c r="E797">
        <v>6</v>
      </c>
      <c r="F797">
        <v>0</v>
      </c>
      <c r="G797">
        <v>7.683069679174491E-2</v>
      </c>
      <c r="H797">
        <v>9535.3422160000209</v>
      </c>
      <c r="I797">
        <v>55</v>
      </c>
      <c r="J797">
        <v>180</v>
      </c>
      <c r="K797">
        <v>1</v>
      </c>
      <c r="L797">
        <v>2</v>
      </c>
      <c r="M797">
        <v>2</v>
      </c>
      <c r="N797">
        <v>1</v>
      </c>
    </row>
    <row r="798" spans="1:14">
      <c r="A798">
        <v>58</v>
      </c>
      <c r="B798">
        <v>1</v>
      </c>
      <c r="C798">
        <v>1156</v>
      </c>
      <c r="D798">
        <v>0.22809885576036068</v>
      </c>
      <c r="E798">
        <v>8</v>
      </c>
      <c r="F798">
        <v>0</v>
      </c>
      <c r="G798">
        <v>9.6366618694313858E-2</v>
      </c>
      <c r="H798">
        <v>8768.128158000005</v>
      </c>
      <c r="I798">
        <v>49</v>
      </c>
      <c r="J798">
        <v>180</v>
      </c>
      <c r="K798">
        <v>1</v>
      </c>
      <c r="L798">
        <v>3</v>
      </c>
      <c r="M798">
        <v>2</v>
      </c>
      <c r="N798">
        <v>2</v>
      </c>
    </row>
    <row r="799" spans="1:14">
      <c r="A799">
        <v>58</v>
      </c>
      <c r="B799">
        <v>2</v>
      </c>
      <c r="C799">
        <v>1059</v>
      </c>
      <c r="D799">
        <v>0.20973055507977548</v>
      </c>
      <c r="E799">
        <v>6</v>
      </c>
      <c r="F799">
        <v>0</v>
      </c>
      <c r="G799">
        <v>7.6831110241749462E-2</v>
      </c>
      <c r="H799">
        <v>9536.0449470000094</v>
      </c>
      <c r="I799">
        <v>55</v>
      </c>
      <c r="J799">
        <v>180</v>
      </c>
      <c r="K799">
        <v>1</v>
      </c>
      <c r="L799">
        <v>2</v>
      </c>
      <c r="M799">
        <v>2</v>
      </c>
      <c r="N799">
        <v>1</v>
      </c>
    </row>
    <row r="800" spans="1:14">
      <c r="A800">
        <v>59</v>
      </c>
      <c r="B800">
        <v>1</v>
      </c>
      <c r="C800">
        <v>564</v>
      </c>
      <c r="D800">
        <v>0.24017388497045122</v>
      </c>
      <c r="E800">
        <v>8</v>
      </c>
      <c r="F800">
        <v>0</v>
      </c>
      <c r="G800">
        <v>9.6087605413602006E-2</v>
      </c>
      <c r="H800">
        <v>8327.3000319999883</v>
      </c>
      <c r="I800">
        <v>57</v>
      </c>
      <c r="J800">
        <v>180</v>
      </c>
      <c r="K800">
        <v>2</v>
      </c>
      <c r="L800">
        <v>2</v>
      </c>
      <c r="M800">
        <v>2</v>
      </c>
      <c r="N800">
        <v>2</v>
      </c>
    </row>
    <row r="801" spans="1:14">
      <c r="A801">
        <v>59</v>
      </c>
      <c r="B801">
        <v>2</v>
      </c>
      <c r="C801">
        <v>1122</v>
      </c>
      <c r="D801">
        <v>0.21122829244133617</v>
      </c>
      <c r="E801">
        <v>6</v>
      </c>
      <c r="F801">
        <v>0</v>
      </c>
      <c r="G801">
        <v>7.6791234901851052E-2</v>
      </c>
      <c r="H801">
        <v>9468.4285749999817</v>
      </c>
      <c r="I801">
        <v>55</v>
      </c>
      <c r="J801">
        <v>180</v>
      </c>
      <c r="K801">
        <v>1</v>
      </c>
      <c r="L801">
        <v>2</v>
      </c>
      <c r="M801">
        <v>2</v>
      </c>
      <c r="N801">
        <v>1</v>
      </c>
    </row>
    <row r="802" spans="1:14">
      <c r="A802">
        <v>60</v>
      </c>
      <c r="B802">
        <v>1</v>
      </c>
      <c r="C802">
        <v>5244</v>
      </c>
      <c r="D802">
        <v>0.23149553092917716</v>
      </c>
      <c r="E802">
        <v>10</v>
      </c>
      <c r="F802">
        <v>0</v>
      </c>
      <c r="G802">
        <v>0.11628617621727062</v>
      </c>
      <c r="H802">
        <v>8639.475639000013</v>
      </c>
      <c r="I802">
        <v>54</v>
      </c>
      <c r="J802">
        <v>180</v>
      </c>
      <c r="K802">
        <v>1</v>
      </c>
      <c r="L802">
        <v>4</v>
      </c>
      <c r="M802">
        <v>4</v>
      </c>
      <c r="N802">
        <v>1</v>
      </c>
    </row>
    <row r="803" spans="1:14">
      <c r="A803">
        <v>60</v>
      </c>
      <c r="B803">
        <v>2</v>
      </c>
      <c r="C803">
        <v>1301</v>
      </c>
      <c r="D803">
        <v>0.20748587250272651</v>
      </c>
      <c r="E803">
        <v>6</v>
      </c>
      <c r="F803">
        <v>0</v>
      </c>
      <c r="G803">
        <v>7.6891588367924299E-2</v>
      </c>
      <c r="H803">
        <v>9639.2104960000033</v>
      </c>
      <c r="I803">
        <v>55</v>
      </c>
      <c r="J803">
        <v>180</v>
      </c>
      <c r="K803">
        <v>1</v>
      </c>
      <c r="L803">
        <v>2</v>
      </c>
      <c r="M803">
        <v>2</v>
      </c>
      <c r="N803">
        <v>1</v>
      </c>
    </row>
    <row r="804" spans="1:14">
      <c r="A804">
        <v>61</v>
      </c>
      <c r="B804">
        <v>1</v>
      </c>
      <c r="C804">
        <v>3406</v>
      </c>
      <c r="D804">
        <v>0.22730537209536344</v>
      </c>
      <c r="E804">
        <v>23</v>
      </c>
      <c r="F804">
        <v>0</v>
      </c>
      <c r="G804">
        <v>0.24638564092027143</v>
      </c>
      <c r="H804">
        <v>8798.7361739999797</v>
      </c>
      <c r="I804">
        <v>57</v>
      </c>
      <c r="J804">
        <v>180</v>
      </c>
      <c r="K804">
        <v>2</v>
      </c>
      <c r="L804">
        <v>6</v>
      </c>
      <c r="M804">
        <v>1</v>
      </c>
      <c r="N804">
        <v>14</v>
      </c>
    </row>
    <row r="805" spans="1:14">
      <c r="A805">
        <v>61</v>
      </c>
      <c r="B805">
        <v>2</v>
      </c>
      <c r="C805">
        <v>1378</v>
      </c>
      <c r="D805">
        <v>0.17576242594888325</v>
      </c>
      <c r="E805">
        <v>7</v>
      </c>
      <c r="F805">
        <v>0</v>
      </c>
      <c r="G805">
        <v>8.7852182609398255E-2</v>
      </c>
      <c r="H805">
        <v>11378.996330999991</v>
      </c>
      <c r="I805">
        <v>55</v>
      </c>
      <c r="J805">
        <v>180</v>
      </c>
      <c r="K805">
        <v>1</v>
      </c>
      <c r="L805">
        <v>2</v>
      </c>
      <c r="M805">
        <v>1</v>
      </c>
      <c r="N805">
        <v>3</v>
      </c>
    </row>
    <row r="806" spans="1:14">
      <c r="A806">
        <v>62</v>
      </c>
      <c r="B806">
        <v>1</v>
      </c>
      <c r="C806">
        <v>995</v>
      </c>
      <c r="D806">
        <v>0.20959036251417423</v>
      </c>
      <c r="E806">
        <v>12</v>
      </c>
      <c r="F806">
        <v>0</v>
      </c>
      <c r="G806">
        <v>0.1368348621169018</v>
      </c>
      <c r="H806">
        <v>9542.4234969999798</v>
      </c>
      <c r="I806">
        <v>56</v>
      </c>
      <c r="J806">
        <v>180</v>
      </c>
      <c r="K806">
        <v>2</v>
      </c>
      <c r="L806">
        <v>2</v>
      </c>
      <c r="M806">
        <v>3</v>
      </c>
      <c r="N806">
        <v>5</v>
      </c>
    </row>
    <row r="807" spans="1:14">
      <c r="A807">
        <v>62</v>
      </c>
      <c r="B807">
        <v>2</v>
      </c>
      <c r="C807">
        <v>1304</v>
      </c>
      <c r="D807">
        <v>0.16398079741833646</v>
      </c>
      <c r="E807">
        <v>7</v>
      </c>
      <c r="F807">
        <v>0</v>
      </c>
      <c r="G807">
        <v>8.8269878899157939E-2</v>
      </c>
      <c r="H807">
        <v>12196.550032000017</v>
      </c>
      <c r="I807">
        <v>57</v>
      </c>
      <c r="J807">
        <v>180</v>
      </c>
      <c r="K807">
        <v>1</v>
      </c>
      <c r="L807">
        <v>3</v>
      </c>
      <c r="M807">
        <v>1</v>
      </c>
      <c r="N807">
        <v>2</v>
      </c>
    </row>
    <row r="808" spans="1:14">
      <c r="A808">
        <v>63</v>
      </c>
      <c r="B808">
        <v>1</v>
      </c>
      <c r="C808">
        <v>8773</v>
      </c>
      <c r="D808">
        <v>0.2090594915687487</v>
      </c>
      <c r="E808">
        <v>12</v>
      </c>
      <c r="F808">
        <v>0</v>
      </c>
      <c r="G808">
        <v>0.1368490998265835</v>
      </c>
      <c r="H808">
        <v>9566.6548549999934</v>
      </c>
      <c r="I808">
        <v>59</v>
      </c>
      <c r="J808">
        <v>180</v>
      </c>
      <c r="K808">
        <v>2</v>
      </c>
      <c r="L808">
        <v>2</v>
      </c>
      <c r="M808">
        <v>2</v>
      </c>
      <c r="N808">
        <v>6</v>
      </c>
    </row>
    <row r="809" spans="1:14">
      <c r="A809">
        <v>63</v>
      </c>
      <c r="B809">
        <v>2</v>
      </c>
      <c r="C809">
        <v>1038</v>
      </c>
      <c r="D809">
        <v>0.16451832796353205</v>
      </c>
      <c r="E809">
        <v>7</v>
      </c>
      <c r="F809">
        <v>0</v>
      </c>
      <c r="G809">
        <v>8.8249959470980244E-2</v>
      </c>
      <c r="H809">
        <v>12156.700258000008</v>
      </c>
      <c r="I809">
        <v>56</v>
      </c>
      <c r="J809">
        <v>180</v>
      </c>
      <c r="K809">
        <v>1</v>
      </c>
      <c r="L809">
        <v>3</v>
      </c>
      <c r="M809">
        <v>1</v>
      </c>
      <c r="N809">
        <v>2</v>
      </c>
    </row>
    <row r="810" spans="1:14">
      <c r="A810">
        <v>64</v>
      </c>
      <c r="B810">
        <v>1</v>
      </c>
      <c r="C810">
        <v>1774</v>
      </c>
      <c r="D810">
        <v>0.23022646211787282</v>
      </c>
      <c r="E810">
        <v>15</v>
      </c>
      <c r="F810">
        <v>0</v>
      </c>
      <c r="G810">
        <v>0.16631604596326791</v>
      </c>
      <c r="H810">
        <v>8687.0987010000063</v>
      </c>
      <c r="I810">
        <v>58</v>
      </c>
      <c r="J810">
        <v>180</v>
      </c>
      <c r="K810">
        <v>3</v>
      </c>
      <c r="L810">
        <v>3</v>
      </c>
      <c r="M810">
        <v>3</v>
      </c>
      <c r="N810">
        <v>6</v>
      </c>
    </row>
    <row r="811" spans="1:14">
      <c r="A811">
        <v>64</v>
      </c>
      <c r="B811">
        <v>2</v>
      </c>
      <c r="C811">
        <v>985</v>
      </c>
      <c r="D811">
        <v>0.18050716288884797</v>
      </c>
      <c r="E811">
        <v>8</v>
      </c>
      <c r="F811">
        <v>0</v>
      </c>
      <c r="G811">
        <v>9.7694373348520797E-2</v>
      </c>
      <c r="H811">
        <v>11079.892719999996</v>
      </c>
      <c r="I811">
        <v>54</v>
      </c>
      <c r="J811">
        <v>180</v>
      </c>
      <c r="K811">
        <v>1</v>
      </c>
      <c r="L811">
        <v>2</v>
      </c>
      <c r="M811">
        <v>3</v>
      </c>
      <c r="N811">
        <v>2</v>
      </c>
    </row>
    <row r="812" spans="1:14">
      <c r="A812">
        <v>65</v>
      </c>
      <c r="B812">
        <v>1</v>
      </c>
      <c r="C812">
        <v>495</v>
      </c>
      <c r="D812">
        <v>0.2143231779466018</v>
      </c>
      <c r="E812">
        <v>14</v>
      </c>
      <c r="F812">
        <v>0</v>
      </c>
      <c r="G812">
        <v>0.15671001936673948</v>
      </c>
      <c r="H812">
        <v>9331.7018679999983</v>
      </c>
      <c r="I812">
        <v>58</v>
      </c>
      <c r="J812">
        <v>180</v>
      </c>
      <c r="K812">
        <v>2</v>
      </c>
      <c r="L812">
        <v>4</v>
      </c>
      <c r="M812">
        <v>2</v>
      </c>
      <c r="N812">
        <v>6</v>
      </c>
    </row>
    <row r="813" spans="1:14">
      <c r="A813">
        <v>65</v>
      </c>
      <c r="B813">
        <v>2</v>
      </c>
      <c r="C813">
        <v>874</v>
      </c>
      <c r="D813">
        <v>0.1668684173414032</v>
      </c>
      <c r="E813">
        <v>8</v>
      </c>
      <c r="F813">
        <v>0</v>
      </c>
      <c r="G813">
        <v>9.8163879733671897E-2</v>
      </c>
      <c r="H813">
        <v>11985.491514000008</v>
      </c>
      <c r="I813">
        <v>57</v>
      </c>
      <c r="J813">
        <v>180</v>
      </c>
      <c r="K813">
        <v>3</v>
      </c>
      <c r="L813">
        <v>1</v>
      </c>
      <c r="M813">
        <v>2</v>
      </c>
      <c r="N813">
        <v>2</v>
      </c>
    </row>
    <row r="814" spans="1:14">
      <c r="A814">
        <v>66</v>
      </c>
      <c r="B814">
        <v>1</v>
      </c>
      <c r="C814">
        <v>1624</v>
      </c>
      <c r="D814">
        <v>0.2286170331755896</v>
      </c>
      <c r="E814">
        <v>18</v>
      </c>
      <c r="F814">
        <v>0</v>
      </c>
      <c r="G814">
        <v>0.19635424395624004</v>
      </c>
      <c r="H814">
        <v>8748.2545469999932</v>
      </c>
      <c r="I814">
        <v>57</v>
      </c>
      <c r="J814">
        <v>180</v>
      </c>
      <c r="K814">
        <v>4</v>
      </c>
      <c r="L814">
        <v>2</v>
      </c>
      <c r="M814">
        <v>4</v>
      </c>
      <c r="N814">
        <v>8</v>
      </c>
    </row>
    <row r="815" spans="1:14">
      <c r="A815">
        <v>66</v>
      </c>
      <c r="B815">
        <v>2</v>
      </c>
      <c r="C815">
        <v>835</v>
      </c>
      <c r="D815">
        <v>0.18223879116819794</v>
      </c>
      <c r="E815">
        <v>8</v>
      </c>
      <c r="F815">
        <v>0</v>
      </c>
      <c r="G815">
        <v>9.7638151070559995E-2</v>
      </c>
      <c r="H815">
        <v>10974.611865999994</v>
      </c>
      <c r="I815">
        <v>59</v>
      </c>
      <c r="J815">
        <v>180</v>
      </c>
      <c r="K815">
        <v>2</v>
      </c>
      <c r="L815">
        <v>2</v>
      </c>
      <c r="M815">
        <v>2</v>
      </c>
      <c r="N815">
        <v>2</v>
      </c>
    </row>
    <row r="816" spans="1:14">
      <c r="A816">
        <v>67</v>
      </c>
      <c r="B816">
        <v>1</v>
      </c>
      <c r="C816">
        <v>1570</v>
      </c>
      <c r="D816">
        <v>0.20887865571188163</v>
      </c>
      <c r="E816">
        <v>16</v>
      </c>
      <c r="F816">
        <v>0</v>
      </c>
      <c r="G816">
        <v>0.17685396077089621</v>
      </c>
      <c r="H816">
        <v>9574.93714800001</v>
      </c>
      <c r="I816">
        <v>56</v>
      </c>
      <c r="J816">
        <v>180</v>
      </c>
      <c r="K816">
        <v>4</v>
      </c>
      <c r="L816">
        <v>1</v>
      </c>
      <c r="M816">
        <v>6</v>
      </c>
      <c r="N816">
        <v>5</v>
      </c>
    </row>
    <row r="817" spans="1:14">
      <c r="A817">
        <v>67</v>
      </c>
      <c r="B817">
        <v>2</v>
      </c>
      <c r="C817">
        <v>882</v>
      </c>
      <c r="D817">
        <v>0.16516727261896433</v>
      </c>
      <c r="E817">
        <v>7</v>
      </c>
      <c r="F817">
        <v>0</v>
      </c>
      <c r="G817">
        <v>8.822602664591439E-2</v>
      </c>
      <c r="H817">
        <v>12108.936402999985</v>
      </c>
      <c r="I817">
        <v>52</v>
      </c>
      <c r="J817">
        <v>180</v>
      </c>
      <c r="K817">
        <v>1</v>
      </c>
      <c r="L817">
        <v>1</v>
      </c>
      <c r="M817">
        <v>2</v>
      </c>
      <c r="N817">
        <v>3</v>
      </c>
    </row>
    <row r="818" spans="1:14">
      <c r="A818">
        <v>68</v>
      </c>
      <c r="B818">
        <v>1</v>
      </c>
      <c r="C818">
        <v>6866</v>
      </c>
      <c r="D818">
        <v>0.22448868119920409</v>
      </c>
      <c r="E818">
        <v>15</v>
      </c>
      <c r="F818">
        <v>0</v>
      </c>
      <c r="G818">
        <v>0.16645388725556917</v>
      </c>
      <c r="H818">
        <v>8909.1351480000176</v>
      </c>
      <c r="I818">
        <v>55</v>
      </c>
      <c r="J818">
        <v>180</v>
      </c>
      <c r="K818">
        <v>2</v>
      </c>
      <c r="L818">
        <v>2</v>
      </c>
      <c r="M818">
        <v>5</v>
      </c>
      <c r="N818">
        <v>6</v>
      </c>
    </row>
    <row r="819" spans="1:14">
      <c r="A819">
        <v>68</v>
      </c>
      <c r="B819">
        <v>2</v>
      </c>
      <c r="C819">
        <v>895</v>
      </c>
      <c r="D819">
        <v>0.17877654271384769</v>
      </c>
      <c r="E819">
        <v>8</v>
      </c>
      <c r="F819">
        <v>0</v>
      </c>
      <c r="G819">
        <v>9.7751286027829842E-2</v>
      </c>
      <c r="H819">
        <v>11187.150001000013</v>
      </c>
      <c r="I819">
        <v>55</v>
      </c>
      <c r="J819">
        <v>180</v>
      </c>
      <c r="K819">
        <v>2</v>
      </c>
      <c r="L819">
        <v>1</v>
      </c>
      <c r="M819">
        <v>2</v>
      </c>
      <c r="N819">
        <v>3</v>
      </c>
    </row>
    <row r="820" spans="1:14">
      <c r="A820">
        <v>69</v>
      </c>
      <c r="B820">
        <v>1</v>
      </c>
      <c r="C820">
        <v>8926</v>
      </c>
      <c r="D820">
        <v>0.22648170848151816</v>
      </c>
      <c r="E820">
        <v>16</v>
      </c>
      <c r="F820">
        <v>0</v>
      </c>
      <c r="G820">
        <v>0.17640548053310556</v>
      </c>
      <c r="H820">
        <v>8830.7352210000136</v>
      </c>
      <c r="I820">
        <v>58</v>
      </c>
      <c r="J820">
        <v>180</v>
      </c>
      <c r="K820">
        <v>4</v>
      </c>
      <c r="L820">
        <v>3</v>
      </c>
      <c r="M820">
        <v>2</v>
      </c>
      <c r="N820">
        <v>7</v>
      </c>
    </row>
    <row r="821" spans="1:14">
      <c r="A821">
        <v>69</v>
      </c>
      <c r="B821">
        <v>2</v>
      </c>
      <c r="C821">
        <v>1155</v>
      </c>
      <c r="D821">
        <v>0.17262670659746096</v>
      </c>
      <c r="E821">
        <v>7</v>
      </c>
      <c r="F821">
        <v>0</v>
      </c>
      <c r="G821">
        <v>8.7959628061271999E-2</v>
      </c>
      <c r="H821">
        <v>11585.692848000012</v>
      </c>
      <c r="I821">
        <v>57</v>
      </c>
      <c r="J821">
        <v>180</v>
      </c>
      <c r="K821">
        <v>2</v>
      </c>
      <c r="L821">
        <v>1</v>
      </c>
      <c r="M821">
        <v>2</v>
      </c>
      <c r="N821">
        <v>2</v>
      </c>
    </row>
    <row r="822" spans="1:14">
      <c r="A822">
        <v>70</v>
      </c>
      <c r="B822">
        <v>1</v>
      </c>
      <c r="C822">
        <v>1934</v>
      </c>
      <c r="D822">
        <v>0.23433839510691559</v>
      </c>
      <c r="E822">
        <v>17</v>
      </c>
      <c r="F822">
        <v>0</v>
      </c>
      <c r="G822">
        <v>0.18622004978602807</v>
      </c>
      <c r="H822">
        <v>8534.6662849999939</v>
      </c>
      <c r="I822">
        <v>58</v>
      </c>
      <c r="J822">
        <v>180</v>
      </c>
      <c r="K822">
        <v>4</v>
      </c>
      <c r="L822">
        <v>3</v>
      </c>
      <c r="M822">
        <v>5</v>
      </c>
      <c r="N822">
        <v>5</v>
      </c>
    </row>
    <row r="823" spans="1:14">
      <c r="A823">
        <v>70</v>
      </c>
      <c r="B823">
        <v>2</v>
      </c>
      <c r="C823">
        <v>961</v>
      </c>
      <c r="D823">
        <v>0.18269226136664521</v>
      </c>
      <c r="E823">
        <v>10</v>
      </c>
      <c r="F823">
        <v>0</v>
      </c>
      <c r="G823">
        <v>0.11762354544782444</v>
      </c>
      <c r="H823">
        <v>10947.371196999959</v>
      </c>
      <c r="I823">
        <v>52</v>
      </c>
      <c r="J823">
        <v>180</v>
      </c>
      <c r="K823">
        <v>1</v>
      </c>
      <c r="L823">
        <v>1</v>
      </c>
      <c r="M823">
        <v>5</v>
      </c>
      <c r="N823">
        <v>3</v>
      </c>
    </row>
    <row r="824" spans="1:14">
      <c r="A824">
        <v>71</v>
      </c>
      <c r="B824">
        <v>1</v>
      </c>
      <c r="C824">
        <v>633</v>
      </c>
      <c r="D824">
        <v>0.23328751615506405</v>
      </c>
      <c r="E824">
        <v>8</v>
      </c>
      <c r="F824">
        <v>0</v>
      </c>
      <c r="G824">
        <v>9.6244368530364208E-2</v>
      </c>
      <c r="H824">
        <v>8573.1119820000076</v>
      </c>
      <c r="I824">
        <v>56</v>
      </c>
      <c r="J824">
        <v>180</v>
      </c>
      <c r="K824">
        <v>1</v>
      </c>
      <c r="L824">
        <v>2</v>
      </c>
      <c r="M824">
        <v>3</v>
      </c>
      <c r="N824">
        <v>2</v>
      </c>
    </row>
    <row r="825" spans="1:14">
      <c r="A825">
        <v>71</v>
      </c>
      <c r="B825">
        <v>2</v>
      </c>
      <c r="C825">
        <v>1101</v>
      </c>
      <c r="D825">
        <v>0.19778012759600211</v>
      </c>
      <c r="E825">
        <v>5</v>
      </c>
      <c r="F825">
        <v>0</v>
      </c>
      <c r="G825">
        <v>6.7163497157054775E-2</v>
      </c>
      <c r="H825">
        <v>10112.239405999997</v>
      </c>
      <c r="I825">
        <v>55</v>
      </c>
      <c r="J825">
        <v>180</v>
      </c>
      <c r="K825">
        <v>1</v>
      </c>
      <c r="L825">
        <v>1</v>
      </c>
      <c r="M825">
        <v>1</v>
      </c>
      <c r="N825">
        <v>2</v>
      </c>
    </row>
    <row r="826" spans="1:14">
      <c r="A826">
        <v>72</v>
      </c>
      <c r="B826">
        <v>1</v>
      </c>
      <c r="C826">
        <v>811</v>
      </c>
      <c r="D826">
        <v>0.23345399998630331</v>
      </c>
      <c r="E826">
        <v>7</v>
      </c>
      <c r="F826">
        <v>0</v>
      </c>
      <c r="G826">
        <v>8.6240506145146584E-2</v>
      </c>
      <c r="H826">
        <v>8566.9982099999979</v>
      </c>
      <c r="I826">
        <v>55</v>
      </c>
      <c r="J826">
        <v>180</v>
      </c>
      <c r="K826">
        <v>1</v>
      </c>
      <c r="L826">
        <v>2</v>
      </c>
      <c r="M826">
        <v>2</v>
      </c>
      <c r="N826">
        <v>2</v>
      </c>
    </row>
    <row r="827" spans="1:14">
      <c r="A827">
        <v>72</v>
      </c>
      <c r="B827">
        <v>2</v>
      </c>
      <c r="C827">
        <v>853</v>
      </c>
      <c r="D827">
        <v>0.19986146979958963</v>
      </c>
      <c r="E827">
        <v>5</v>
      </c>
      <c r="F827">
        <v>0</v>
      </c>
      <c r="G827">
        <v>6.7103709346009094E-2</v>
      </c>
      <c r="H827">
        <v>10006.931311000028</v>
      </c>
      <c r="I827">
        <v>54</v>
      </c>
      <c r="J827">
        <v>180</v>
      </c>
      <c r="K827">
        <v>1</v>
      </c>
      <c r="L827">
        <v>1</v>
      </c>
      <c r="M827">
        <v>1</v>
      </c>
      <c r="N827">
        <v>2</v>
      </c>
    </row>
    <row r="828" spans="1:14">
      <c r="A828">
        <v>73</v>
      </c>
      <c r="B828">
        <v>1</v>
      </c>
      <c r="C828">
        <v>2933</v>
      </c>
      <c r="D828">
        <v>0.22488452302023826</v>
      </c>
      <c r="E828">
        <v>8</v>
      </c>
      <c r="F828">
        <v>0</v>
      </c>
      <c r="G828">
        <v>9.6444227539516703E-2</v>
      </c>
      <c r="H828">
        <v>8893.4532850000178</v>
      </c>
      <c r="I828">
        <v>55</v>
      </c>
      <c r="J828">
        <v>180</v>
      </c>
      <c r="K828">
        <v>1</v>
      </c>
      <c r="L828">
        <v>2</v>
      </c>
      <c r="M828">
        <v>1</v>
      </c>
      <c r="N828">
        <v>4</v>
      </c>
    </row>
    <row r="829" spans="1:14">
      <c r="A829">
        <v>73</v>
      </c>
      <c r="B829">
        <v>2</v>
      </c>
      <c r="C829">
        <v>1292</v>
      </c>
      <c r="D829">
        <v>0.19728840423107552</v>
      </c>
      <c r="E829">
        <v>5</v>
      </c>
      <c r="F829">
        <v>0</v>
      </c>
      <c r="G829">
        <v>6.7177744810686835E-2</v>
      </c>
      <c r="H829">
        <v>10137.443241000039</v>
      </c>
      <c r="I829">
        <v>55</v>
      </c>
      <c r="J829">
        <v>180</v>
      </c>
      <c r="K829">
        <v>1</v>
      </c>
      <c r="L829">
        <v>1</v>
      </c>
      <c r="M829">
        <v>1</v>
      </c>
      <c r="N829">
        <v>2</v>
      </c>
    </row>
    <row r="830" spans="1:14">
      <c r="A830">
        <v>74</v>
      </c>
      <c r="B830">
        <v>1</v>
      </c>
      <c r="C830">
        <v>1001</v>
      </c>
      <c r="D830">
        <v>0.21781846420778142</v>
      </c>
      <c r="E830">
        <v>7</v>
      </c>
      <c r="F830">
        <v>0</v>
      </c>
      <c r="G830">
        <v>8.6620156266405693E-2</v>
      </c>
      <c r="H830">
        <v>9181.9580459999925</v>
      </c>
      <c r="I830">
        <v>50</v>
      </c>
      <c r="J830">
        <v>180</v>
      </c>
      <c r="K830">
        <v>1</v>
      </c>
      <c r="L830">
        <v>1</v>
      </c>
      <c r="M830">
        <v>2</v>
      </c>
      <c r="N830">
        <v>3</v>
      </c>
    </row>
    <row r="831" spans="1:14">
      <c r="A831">
        <v>74</v>
      </c>
      <c r="B831">
        <v>2</v>
      </c>
      <c r="C831">
        <v>880</v>
      </c>
      <c r="D831">
        <v>0.19793621698454861</v>
      </c>
      <c r="E831">
        <v>5</v>
      </c>
      <c r="F831">
        <v>0</v>
      </c>
      <c r="G831">
        <v>6.7158984349272088E-2</v>
      </c>
      <c r="H831">
        <v>10104.265053000003</v>
      </c>
      <c r="I831">
        <v>55</v>
      </c>
      <c r="J831">
        <v>180</v>
      </c>
      <c r="K831">
        <v>1</v>
      </c>
      <c r="L831">
        <v>1</v>
      </c>
      <c r="M831">
        <v>1</v>
      </c>
      <c r="N831">
        <v>2</v>
      </c>
    </row>
    <row r="832" spans="1:14">
      <c r="A832">
        <v>75</v>
      </c>
      <c r="B832">
        <v>1</v>
      </c>
      <c r="C832">
        <v>954</v>
      </c>
      <c r="D832">
        <v>0.23315406864642521</v>
      </c>
      <c r="E832">
        <v>7</v>
      </c>
      <c r="F832">
        <v>0</v>
      </c>
      <c r="G832">
        <v>8.6247467135325065E-2</v>
      </c>
      <c r="H832">
        <v>8578.0188679999883</v>
      </c>
      <c r="I832">
        <v>54</v>
      </c>
      <c r="J832">
        <v>180</v>
      </c>
      <c r="K832">
        <v>1</v>
      </c>
      <c r="L832">
        <v>2</v>
      </c>
      <c r="M832">
        <v>2</v>
      </c>
      <c r="N832">
        <v>2</v>
      </c>
    </row>
    <row r="833" spans="1:14">
      <c r="A833">
        <v>75</v>
      </c>
      <c r="B833">
        <v>2</v>
      </c>
      <c r="C833">
        <v>1188</v>
      </c>
      <c r="D833">
        <v>0.1999626168488064</v>
      </c>
      <c r="E833">
        <v>5</v>
      </c>
      <c r="F833">
        <v>0</v>
      </c>
      <c r="G833">
        <v>6.7100825004369438E-2</v>
      </c>
      <c r="H833">
        <v>10001.869506999994</v>
      </c>
      <c r="I833">
        <v>55</v>
      </c>
      <c r="J833">
        <v>180</v>
      </c>
      <c r="K833">
        <v>1</v>
      </c>
      <c r="L833">
        <v>1</v>
      </c>
      <c r="M833">
        <v>1</v>
      </c>
      <c r="N833">
        <v>2</v>
      </c>
    </row>
    <row r="834" spans="1:14">
      <c r="A834">
        <v>76</v>
      </c>
      <c r="B834">
        <v>1</v>
      </c>
      <c r="C834">
        <v>1268</v>
      </c>
      <c r="D834">
        <v>0.23345058275628736</v>
      </c>
      <c r="E834">
        <v>8</v>
      </c>
      <c r="F834">
        <v>0</v>
      </c>
      <c r="G834">
        <v>9.6240585387148095E-2</v>
      </c>
      <c r="H834">
        <v>8567.1236129999998</v>
      </c>
      <c r="I834">
        <v>55</v>
      </c>
      <c r="J834">
        <v>180</v>
      </c>
      <c r="K834">
        <v>2</v>
      </c>
      <c r="L834">
        <v>1</v>
      </c>
      <c r="M834">
        <v>2</v>
      </c>
      <c r="N834">
        <v>3</v>
      </c>
    </row>
    <row r="835" spans="1:14">
      <c r="A835">
        <v>76</v>
      </c>
      <c r="B835">
        <v>2</v>
      </c>
      <c r="C835">
        <v>909</v>
      </c>
      <c r="D835">
        <v>0.19806233490572267</v>
      </c>
      <c r="E835">
        <v>5</v>
      </c>
      <c r="F835">
        <v>0</v>
      </c>
      <c r="G835">
        <v>6.7155341531593429E-2</v>
      </c>
      <c r="H835">
        <v>10097.831073999994</v>
      </c>
      <c r="I835">
        <v>55</v>
      </c>
      <c r="J835">
        <v>180</v>
      </c>
      <c r="K835">
        <v>1</v>
      </c>
      <c r="L835">
        <v>1</v>
      </c>
      <c r="M835">
        <v>1</v>
      </c>
      <c r="N835">
        <v>2</v>
      </c>
    </row>
    <row r="836" spans="1:14">
      <c r="A836">
        <v>77</v>
      </c>
      <c r="B836">
        <v>1</v>
      </c>
      <c r="C836">
        <v>677</v>
      </c>
      <c r="D836">
        <v>0.22251126913245553</v>
      </c>
      <c r="E836">
        <v>8</v>
      </c>
      <c r="F836">
        <v>0</v>
      </c>
      <c r="G836">
        <v>9.6502484356252693E-2</v>
      </c>
      <c r="H836">
        <v>8988.3088070000122</v>
      </c>
      <c r="I836">
        <v>51</v>
      </c>
      <c r="J836">
        <v>180</v>
      </c>
      <c r="K836">
        <v>1</v>
      </c>
      <c r="L836">
        <v>1</v>
      </c>
      <c r="M836">
        <v>3</v>
      </c>
      <c r="N836">
        <v>3</v>
      </c>
    </row>
    <row r="837" spans="1:14">
      <c r="A837">
        <v>77</v>
      </c>
      <c r="B837">
        <v>2</v>
      </c>
      <c r="C837">
        <v>599</v>
      </c>
      <c r="D837">
        <v>0.19900480051499173</v>
      </c>
      <c r="E837">
        <v>5</v>
      </c>
      <c r="F837">
        <v>0</v>
      </c>
      <c r="G837">
        <v>6.7128216707554159E-2</v>
      </c>
      <c r="H837">
        <v>10050.008818000011</v>
      </c>
      <c r="I837">
        <v>55</v>
      </c>
      <c r="J837">
        <v>180</v>
      </c>
      <c r="K837">
        <v>1</v>
      </c>
      <c r="L837">
        <v>1</v>
      </c>
      <c r="M837">
        <v>1</v>
      </c>
      <c r="N837">
        <v>2</v>
      </c>
    </row>
    <row r="838" spans="1:14">
      <c r="A838">
        <v>78</v>
      </c>
      <c r="B838">
        <v>1</v>
      </c>
      <c r="C838">
        <v>868</v>
      </c>
      <c r="D838">
        <v>0.22698487140407164</v>
      </c>
      <c r="E838">
        <v>7</v>
      </c>
      <c r="F838">
        <v>0</v>
      </c>
      <c r="G838">
        <v>8.6393349421436338E-2</v>
      </c>
      <c r="H838">
        <v>8811.1599139999962</v>
      </c>
      <c r="I838">
        <v>57</v>
      </c>
      <c r="J838">
        <v>180</v>
      </c>
      <c r="K838">
        <v>2</v>
      </c>
      <c r="L838">
        <v>1</v>
      </c>
      <c r="M838">
        <v>2</v>
      </c>
      <c r="N838">
        <v>2</v>
      </c>
    </row>
    <row r="839" spans="1:14">
      <c r="A839">
        <v>78</v>
      </c>
      <c r="B839">
        <v>2</v>
      </c>
      <c r="C839">
        <v>1413</v>
      </c>
      <c r="D839">
        <v>0.19913207996198365</v>
      </c>
      <c r="E839">
        <v>5</v>
      </c>
      <c r="F839">
        <v>0</v>
      </c>
      <c r="G839">
        <v>6.7124566643410682E-2</v>
      </c>
      <c r="H839">
        <v>10043.585144000004</v>
      </c>
      <c r="I839">
        <v>55</v>
      </c>
      <c r="J839">
        <v>180</v>
      </c>
      <c r="K839">
        <v>1</v>
      </c>
      <c r="L839">
        <v>1</v>
      </c>
      <c r="M839">
        <v>1</v>
      </c>
      <c r="N839">
        <v>2</v>
      </c>
    </row>
    <row r="840" spans="1:14">
      <c r="A840">
        <v>79</v>
      </c>
      <c r="B840">
        <v>1</v>
      </c>
      <c r="C840">
        <v>3094</v>
      </c>
      <c r="D840">
        <v>0.22640057996076648</v>
      </c>
      <c r="E840">
        <v>7</v>
      </c>
      <c r="F840">
        <v>0</v>
      </c>
      <c r="G840">
        <v>8.6407439882358203E-2</v>
      </c>
      <c r="H840">
        <v>8833.8996319999933</v>
      </c>
      <c r="I840">
        <v>57</v>
      </c>
      <c r="J840">
        <v>180</v>
      </c>
      <c r="K840">
        <v>2</v>
      </c>
      <c r="L840">
        <v>1</v>
      </c>
      <c r="M840">
        <v>2</v>
      </c>
      <c r="N840">
        <v>2</v>
      </c>
    </row>
    <row r="841" spans="1:14">
      <c r="A841">
        <v>79</v>
      </c>
      <c r="B841">
        <v>2</v>
      </c>
      <c r="C841">
        <v>1114</v>
      </c>
      <c r="D841">
        <v>0.19911811395747844</v>
      </c>
      <c r="E841">
        <v>5</v>
      </c>
      <c r="F841">
        <v>0</v>
      </c>
      <c r="G841">
        <v>6.7124967002405014E-2</v>
      </c>
      <c r="H841">
        <v>10044.289593999965</v>
      </c>
      <c r="I841">
        <v>55</v>
      </c>
      <c r="J841">
        <v>180</v>
      </c>
      <c r="K841">
        <v>1</v>
      </c>
      <c r="L841">
        <v>1</v>
      </c>
      <c r="M841">
        <v>1</v>
      </c>
      <c r="N841">
        <v>2</v>
      </c>
    </row>
    <row r="842" spans="1:14">
      <c r="A842">
        <v>80</v>
      </c>
      <c r="B842">
        <v>1</v>
      </c>
      <c r="C842">
        <v>669</v>
      </c>
      <c r="D842">
        <v>0.22812999962934624</v>
      </c>
      <c r="E842">
        <v>7</v>
      </c>
      <c r="F842">
        <v>0</v>
      </c>
      <c r="G842">
        <v>8.636587388064583E-2</v>
      </c>
      <c r="H842">
        <v>8766.9311499999822</v>
      </c>
      <c r="I842">
        <v>57</v>
      </c>
      <c r="J842">
        <v>180</v>
      </c>
      <c r="K842">
        <v>2</v>
      </c>
      <c r="L842">
        <v>1</v>
      </c>
      <c r="M842">
        <v>2</v>
      </c>
      <c r="N842">
        <v>2</v>
      </c>
    </row>
    <row r="843" spans="1:14">
      <c r="A843">
        <v>80</v>
      </c>
      <c r="B843">
        <v>2</v>
      </c>
      <c r="C843">
        <v>1101</v>
      </c>
      <c r="D843">
        <v>0.19945357260451421</v>
      </c>
      <c r="E843">
        <v>5</v>
      </c>
      <c r="F843">
        <v>0</v>
      </c>
      <c r="G843">
        <v>6.7115360853871098E-2</v>
      </c>
      <c r="H843">
        <v>10027.396219999993</v>
      </c>
      <c r="I843">
        <v>54</v>
      </c>
      <c r="J843">
        <v>180</v>
      </c>
      <c r="K843">
        <v>1</v>
      </c>
      <c r="L843">
        <v>1</v>
      </c>
      <c r="M843">
        <v>1</v>
      </c>
      <c r="N843">
        <v>2</v>
      </c>
    </row>
  </sheetData>
  <phoneticPr fontId="50" type="noConversion"/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3:AF843"/>
  <sheetViews>
    <sheetView zoomScale="90" zoomScaleNormal="90" zoomScalePageLayoutView="90" workbookViewId="0">
      <selection activeCell="I217" sqref="I217"/>
    </sheetView>
  </sheetViews>
  <sheetFormatPr defaultColWidth="11.3984375" defaultRowHeight="13.5"/>
  <cols>
    <col min="7" max="7" width="12.3984375" customWidth="1"/>
  </cols>
  <sheetData>
    <row r="3" spans="1:32" ht="15.75">
      <c r="C3" s="89"/>
      <c r="D3" s="89"/>
      <c r="E3" s="89"/>
      <c r="F3" s="89"/>
      <c r="G3" s="89"/>
      <c r="H3" s="89"/>
      <c r="I3" s="89"/>
      <c r="J3" s="89"/>
      <c r="K3" s="89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</row>
    <row r="4" spans="1:32">
      <c r="A4">
        <v>1</v>
      </c>
      <c r="B4">
        <v>1</v>
      </c>
      <c r="C4">
        <v>2346</v>
      </c>
      <c r="D4" s="131">
        <v>0.38492230945105993</v>
      </c>
      <c r="E4">
        <v>61</v>
      </c>
      <c r="F4">
        <v>0</v>
      </c>
      <c r="G4" s="105">
        <v>0.62298963421249998</v>
      </c>
      <c r="H4">
        <v>10.391707369999999</v>
      </c>
      <c r="I4">
        <v>42</v>
      </c>
      <c r="J4">
        <v>8040</v>
      </c>
      <c r="K4">
        <v>14</v>
      </c>
      <c r="L4">
        <v>19</v>
      </c>
      <c r="M4">
        <v>13</v>
      </c>
      <c r="N4">
        <v>15</v>
      </c>
      <c r="T4" s="124"/>
      <c r="U4" s="125"/>
      <c r="V4" s="124"/>
      <c r="W4" s="123"/>
      <c r="X4" s="124"/>
      <c r="Y4" s="124"/>
      <c r="Z4" s="124"/>
      <c r="AA4" s="124"/>
      <c r="AB4" s="123"/>
      <c r="AC4" s="123"/>
      <c r="AD4" s="123"/>
      <c r="AE4" s="123"/>
      <c r="AF4" s="123"/>
    </row>
    <row r="5" spans="1:32">
      <c r="A5">
        <v>1</v>
      </c>
      <c r="B5">
        <v>2</v>
      </c>
      <c r="C5">
        <v>2256</v>
      </c>
      <c r="D5" s="131">
        <v>0.32438839382009033</v>
      </c>
      <c r="E5">
        <v>28</v>
      </c>
      <c r="F5">
        <v>0</v>
      </c>
      <c r="G5" s="105">
        <v>0.29541362174250002</v>
      </c>
      <c r="H5">
        <v>12.330897394000008</v>
      </c>
      <c r="I5">
        <v>42</v>
      </c>
      <c r="J5">
        <v>8040</v>
      </c>
      <c r="K5">
        <v>7</v>
      </c>
      <c r="L5">
        <v>7</v>
      </c>
      <c r="M5">
        <v>8</v>
      </c>
      <c r="N5">
        <v>6</v>
      </c>
      <c r="T5" s="124"/>
      <c r="U5" s="125"/>
      <c r="V5" s="124"/>
      <c r="W5" s="123"/>
      <c r="X5" s="124"/>
      <c r="Y5" s="124"/>
      <c r="Z5" s="124"/>
      <c r="AA5" s="124"/>
      <c r="AB5" s="123"/>
      <c r="AC5" s="123"/>
      <c r="AD5" s="123"/>
      <c r="AE5" s="123"/>
      <c r="AF5" s="123"/>
    </row>
    <row r="6" spans="1:32">
      <c r="A6">
        <v>2</v>
      </c>
      <c r="B6">
        <v>1</v>
      </c>
      <c r="C6">
        <v>2594</v>
      </c>
      <c r="D6" s="131">
        <v>0.37053514419258232</v>
      </c>
      <c r="E6">
        <v>40</v>
      </c>
      <c r="F6">
        <v>0</v>
      </c>
      <c r="G6">
        <v>0.41392270211978904</v>
      </c>
      <c r="H6">
        <v>10.795197332000001</v>
      </c>
      <c r="I6">
        <v>35</v>
      </c>
      <c r="J6">
        <v>8040</v>
      </c>
      <c r="K6">
        <v>10</v>
      </c>
      <c r="L6">
        <v>10</v>
      </c>
      <c r="M6">
        <v>12</v>
      </c>
      <c r="N6">
        <v>8</v>
      </c>
      <c r="T6" s="124"/>
      <c r="U6" s="125"/>
      <c r="V6" s="124"/>
      <c r="W6" s="123"/>
      <c r="X6" s="124"/>
      <c r="Y6" s="124"/>
      <c r="Z6" s="124"/>
      <c r="AA6" s="124"/>
      <c r="AB6" s="123"/>
      <c r="AC6" s="123"/>
      <c r="AD6" s="123"/>
      <c r="AE6" s="123"/>
      <c r="AF6" s="123"/>
    </row>
    <row r="7" spans="1:32">
      <c r="A7" s="115">
        <v>2</v>
      </c>
      <c r="B7" s="115">
        <v>2</v>
      </c>
      <c r="C7" s="115">
        <v>3232</v>
      </c>
      <c r="D7" s="132">
        <v>0.31583053998236077</v>
      </c>
      <c r="E7" s="115">
        <v>21</v>
      </c>
      <c r="F7" s="115">
        <v>0</v>
      </c>
      <c r="G7" s="115">
        <v>0.22468414369438286</v>
      </c>
      <c r="H7" s="115">
        <v>12.665019666000005</v>
      </c>
      <c r="I7" s="115">
        <v>36</v>
      </c>
      <c r="J7" s="115">
        <v>8040</v>
      </c>
      <c r="K7" s="115">
        <v>5</v>
      </c>
      <c r="L7" s="115">
        <v>6</v>
      </c>
      <c r="M7" s="115">
        <v>5</v>
      </c>
      <c r="N7" s="115">
        <v>5</v>
      </c>
      <c r="O7" s="115"/>
      <c r="T7" s="124"/>
      <c r="U7" s="125"/>
      <c r="V7" s="124"/>
      <c r="W7" s="123"/>
      <c r="X7" s="124"/>
      <c r="Y7" s="124"/>
      <c r="Z7" s="124"/>
      <c r="AA7" s="124"/>
      <c r="AB7" s="123"/>
      <c r="AC7" s="123"/>
      <c r="AD7" s="123"/>
      <c r="AE7" s="123"/>
      <c r="AF7" s="123"/>
    </row>
    <row r="8" spans="1:32">
      <c r="A8" s="115">
        <v>3</v>
      </c>
      <c r="B8" s="115">
        <v>1</v>
      </c>
      <c r="C8" s="115">
        <v>4321</v>
      </c>
      <c r="D8" s="132">
        <v>0.4082555470567088</v>
      </c>
      <c r="E8" s="115">
        <v>66</v>
      </c>
      <c r="F8" s="115">
        <v>0</v>
      </c>
      <c r="G8" s="115">
        <v>0.67347998167778034</v>
      </c>
      <c r="H8" s="115">
        <v>9.7977848160000125</v>
      </c>
      <c r="I8" s="115">
        <v>35</v>
      </c>
      <c r="J8" s="115">
        <v>8040</v>
      </c>
      <c r="K8" s="115">
        <v>13</v>
      </c>
      <c r="L8" s="115">
        <v>18</v>
      </c>
      <c r="M8" s="115">
        <v>24</v>
      </c>
      <c r="N8" s="115">
        <v>11</v>
      </c>
      <c r="O8" s="115"/>
      <c r="T8" s="124"/>
      <c r="U8" s="125"/>
      <c r="V8" s="124"/>
      <c r="W8" s="123"/>
      <c r="X8" s="124"/>
      <c r="Y8" s="124"/>
      <c r="Z8" s="124"/>
      <c r="AA8" s="124"/>
      <c r="AB8" s="123"/>
      <c r="AC8" s="123"/>
      <c r="AD8" s="123"/>
      <c r="AE8" s="123"/>
      <c r="AF8" s="123"/>
    </row>
    <row r="9" spans="1:32">
      <c r="A9" s="115">
        <v>3</v>
      </c>
      <c r="B9" s="115">
        <v>2</v>
      </c>
      <c r="C9" s="115">
        <v>2443</v>
      </c>
      <c r="D9" s="132">
        <v>0.3355229111148807</v>
      </c>
      <c r="E9" s="115">
        <v>23</v>
      </c>
      <c r="F9" s="115">
        <v>0</v>
      </c>
      <c r="G9" s="115">
        <v>0.24439105411437237</v>
      </c>
      <c r="H9" s="115">
        <v>11.921689600000008</v>
      </c>
      <c r="I9" s="115">
        <v>36</v>
      </c>
      <c r="J9" s="115">
        <v>8040</v>
      </c>
      <c r="K9" s="115">
        <v>4</v>
      </c>
      <c r="L9" s="115">
        <v>6</v>
      </c>
      <c r="M9" s="115">
        <v>8</v>
      </c>
      <c r="N9" s="115">
        <v>5</v>
      </c>
      <c r="O9" s="115"/>
      <c r="T9" s="124"/>
      <c r="U9" s="125"/>
      <c r="V9" s="124"/>
      <c r="W9" s="123"/>
      <c r="X9" s="124"/>
      <c r="Y9" s="124"/>
      <c r="Z9" s="124"/>
      <c r="AA9" s="124"/>
      <c r="AB9" s="123"/>
      <c r="AC9" s="123"/>
      <c r="AD9" s="123"/>
      <c r="AE9" s="123"/>
      <c r="AF9" s="123"/>
    </row>
    <row r="10" spans="1:32">
      <c r="A10" s="115">
        <v>4</v>
      </c>
      <c r="B10" s="115">
        <v>1</v>
      </c>
      <c r="C10" s="115">
        <v>2301</v>
      </c>
      <c r="D10" s="132">
        <v>0.41671891071650291</v>
      </c>
      <c r="E10" s="115">
        <v>89</v>
      </c>
      <c r="F10" s="115">
        <v>0</v>
      </c>
      <c r="G10" s="115">
        <v>0.90338809946620002</v>
      </c>
      <c r="H10" s="115">
        <v>9.598796448000007</v>
      </c>
      <c r="I10" s="115">
        <v>35</v>
      </c>
      <c r="J10" s="115">
        <v>8040</v>
      </c>
      <c r="K10" s="115">
        <v>34</v>
      </c>
      <c r="L10" s="115">
        <v>19</v>
      </c>
      <c r="M10" s="115">
        <v>22</v>
      </c>
      <c r="N10" s="115">
        <v>14</v>
      </c>
      <c r="O10" s="115"/>
      <c r="T10" s="124"/>
      <c r="U10" s="125"/>
      <c r="V10" s="124"/>
      <c r="W10" s="123"/>
      <c r="X10" s="124"/>
      <c r="Y10" s="124"/>
      <c r="Z10" s="124"/>
      <c r="AA10" s="124"/>
      <c r="AB10" s="123"/>
      <c r="AC10" s="123"/>
      <c r="AD10" s="123"/>
      <c r="AE10" s="123"/>
      <c r="AF10" s="123"/>
    </row>
    <row r="11" spans="1:32">
      <c r="A11" s="115">
        <v>4</v>
      </c>
      <c r="B11" s="115">
        <v>2</v>
      </c>
      <c r="C11" s="115">
        <v>3612</v>
      </c>
      <c r="D11" s="132">
        <v>0.34531488606030697</v>
      </c>
      <c r="E11" s="115">
        <v>29</v>
      </c>
      <c r="F11" s="115">
        <v>0</v>
      </c>
      <c r="G11" s="115">
        <v>0.30425372032379838</v>
      </c>
      <c r="H11" s="115">
        <v>11.583630365999994</v>
      </c>
      <c r="I11" s="115">
        <v>35</v>
      </c>
      <c r="J11" s="115">
        <v>8040</v>
      </c>
      <c r="K11" s="115">
        <v>7</v>
      </c>
      <c r="L11" s="115">
        <v>7</v>
      </c>
      <c r="M11" s="115">
        <v>8</v>
      </c>
      <c r="N11" s="115">
        <v>7</v>
      </c>
      <c r="O11" s="115"/>
      <c r="T11" s="124"/>
      <c r="U11" s="125"/>
      <c r="V11" s="124"/>
      <c r="W11" s="123"/>
      <c r="X11" s="124"/>
      <c r="Y11" s="124"/>
      <c r="Z11" s="124"/>
      <c r="AA11" s="124"/>
      <c r="AB11" s="123"/>
      <c r="AC11" s="123"/>
      <c r="AD11" s="123"/>
      <c r="AE11" s="123"/>
      <c r="AF11" s="123"/>
    </row>
    <row r="12" spans="1:32">
      <c r="A12">
        <v>5</v>
      </c>
      <c r="B12">
        <v>1</v>
      </c>
      <c r="C12">
        <v>3539</v>
      </c>
      <c r="D12" s="131">
        <v>0.40077957767801442</v>
      </c>
      <c r="E12">
        <v>66</v>
      </c>
      <c r="F12">
        <v>0</v>
      </c>
      <c r="G12">
        <v>0.67356328244087482</v>
      </c>
      <c r="H12">
        <v>9.9805484680000163</v>
      </c>
      <c r="I12">
        <v>35</v>
      </c>
      <c r="J12">
        <v>8040</v>
      </c>
      <c r="K12">
        <v>20</v>
      </c>
      <c r="L12">
        <v>16</v>
      </c>
      <c r="M12">
        <v>16</v>
      </c>
      <c r="N12">
        <v>14</v>
      </c>
      <c r="T12" s="124"/>
      <c r="U12" s="125"/>
      <c r="V12" s="124"/>
      <c r="W12" s="123"/>
      <c r="X12" s="124"/>
      <c r="Y12" s="124"/>
      <c r="Z12" s="124"/>
      <c r="AA12" s="124"/>
      <c r="AB12" s="123"/>
      <c r="AC12" s="123"/>
      <c r="AD12" s="123"/>
      <c r="AE12" s="123"/>
      <c r="AF12" s="123"/>
    </row>
    <row r="13" spans="1:32">
      <c r="A13">
        <v>5</v>
      </c>
      <c r="B13">
        <v>2</v>
      </c>
      <c r="C13">
        <v>2125</v>
      </c>
      <c r="D13" s="131">
        <v>0.31383591150313989</v>
      </c>
      <c r="E13">
        <v>20</v>
      </c>
      <c r="F13">
        <v>0</v>
      </c>
      <c r="G13">
        <v>0.21471518707014062</v>
      </c>
      <c r="H13">
        <v>12.745513988000001</v>
      </c>
      <c r="I13">
        <v>36</v>
      </c>
      <c r="J13">
        <v>8040</v>
      </c>
      <c r="K13">
        <v>5</v>
      </c>
      <c r="L13">
        <v>5</v>
      </c>
      <c r="M13">
        <v>6</v>
      </c>
      <c r="N13">
        <v>4</v>
      </c>
      <c r="T13" s="124"/>
      <c r="U13" s="125"/>
      <c r="V13" s="124"/>
      <c r="W13" s="123"/>
      <c r="X13" s="124"/>
      <c r="Y13" s="124"/>
      <c r="Z13" s="124"/>
      <c r="AA13" s="124"/>
      <c r="AB13" s="123"/>
      <c r="AC13" s="123"/>
      <c r="AD13" s="123"/>
      <c r="AE13" s="123"/>
      <c r="AF13" s="123"/>
    </row>
    <row r="14" spans="1:32">
      <c r="A14">
        <v>6</v>
      </c>
      <c r="B14">
        <v>1</v>
      </c>
      <c r="C14">
        <v>2773</v>
      </c>
      <c r="D14" s="131">
        <v>0.42622201476651883</v>
      </c>
      <c r="E14">
        <v>61</v>
      </c>
      <c r="F14">
        <v>0</v>
      </c>
      <c r="G14">
        <v>0.62328784970956408</v>
      </c>
      <c r="H14">
        <v>9.3847803759999806</v>
      </c>
      <c r="I14">
        <v>34</v>
      </c>
      <c r="J14">
        <v>8040</v>
      </c>
      <c r="K14">
        <v>14</v>
      </c>
      <c r="L14">
        <v>19</v>
      </c>
      <c r="M14">
        <v>16</v>
      </c>
      <c r="N14">
        <v>12</v>
      </c>
      <c r="T14" s="124"/>
      <c r="U14" s="125"/>
      <c r="V14" s="124"/>
      <c r="W14" s="123"/>
      <c r="X14" s="124"/>
      <c r="Y14" s="124"/>
      <c r="Z14" s="124"/>
      <c r="AA14" s="124"/>
      <c r="AB14" s="123"/>
      <c r="AC14" s="123"/>
      <c r="AD14" s="123"/>
      <c r="AE14" s="123"/>
      <c r="AF14" s="123"/>
    </row>
    <row r="15" spans="1:32">
      <c r="A15">
        <v>6</v>
      </c>
      <c r="B15">
        <v>2</v>
      </c>
      <c r="C15">
        <v>2744</v>
      </c>
      <c r="D15" s="131">
        <v>0.33463340256289903</v>
      </c>
      <c r="E15">
        <v>21</v>
      </c>
      <c r="F15">
        <v>0</v>
      </c>
      <c r="G15">
        <v>0.22440379406601099</v>
      </c>
      <c r="H15">
        <v>11.953379338000019</v>
      </c>
      <c r="I15">
        <v>36</v>
      </c>
      <c r="J15">
        <v>8040</v>
      </c>
      <c r="K15">
        <v>5</v>
      </c>
      <c r="L15">
        <v>7</v>
      </c>
      <c r="M15">
        <v>5</v>
      </c>
      <c r="N15">
        <v>4</v>
      </c>
      <c r="T15" s="124"/>
      <c r="U15" s="125"/>
      <c r="V15" s="124"/>
      <c r="W15" s="123"/>
      <c r="X15" s="124"/>
      <c r="Y15" s="124"/>
      <c r="Z15" s="124"/>
      <c r="AA15" s="124"/>
      <c r="AB15" s="123"/>
      <c r="AC15" s="123"/>
      <c r="AD15" s="123"/>
      <c r="AE15" s="123"/>
      <c r="AF15" s="123"/>
    </row>
    <row r="16" spans="1:32">
      <c r="A16">
        <v>7</v>
      </c>
      <c r="B16">
        <v>1</v>
      </c>
      <c r="C16">
        <v>1999</v>
      </c>
      <c r="D16" s="131">
        <v>0.42571705634292162</v>
      </c>
      <c r="E16">
        <v>154</v>
      </c>
      <c r="F16">
        <v>0</v>
      </c>
      <c r="G16">
        <v>1.5532931013670301</v>
      </c>
      <c r="H16">
        <v>9.3959120039999959</v>
      </c>
      <c r="I16">
        <v>34</v>
      </c>
      <c r="J16">
        <v>8040</v>
      </c>
      <c r="K16">
        <v>38</v>
      </c>
      <c r="L16">
        <v>32</v>
      </c>
      <c r="M16">
        <v>57</v>
      </c>
      <c r="N16">
        <v>27</v>
      </c>
      <c r="T16" s="124"/>
      <c r="U16" s="125"/>
      <c r="V16" s="124"/>
      <c r="W16" s="123"/>
      <c r="X16" s="124"/>
      <c r="Y16" s="124"/>
      <c r="Z16" s="124"/>
      <c r="AA16" s="124"/>
      <c r="AB16" s="123"/>
      <c r="AC16" s="123"/>
      <c r="AD16" s="123"/>
      <c r="AE16" s="123"/>
      <c r="AF16" s="123"/>
    </row>
    <row r="17" spans="1:32">
      <c r="A17">
        <v>7</v>
      </c>
      <c r="B17">
        <v>2</v>
      </c>
      <c r="C17">
        <v>3084</v>
      </c>
      <c r="D17" s="131">
        <v>0.33486914621011538</v>
      </c>
      <c r="E17">
        <v>31</v>
      </c>
      <c r="F17">
        <v>0</v>
      </c>
      <c r="G17">
        <v>0.32440041324286695</v>
      </c>
      <c r="H17">
        <v>11.94496431</v>
      </c>
      <c r="I17">
        <v>36</v>
      </c>
      <c r="J17">
        <v>8040</v>
      </c>
      <c r="K17">
        <v>7</v>
      </c>
      <c r="L17">
        <v>8</v>
      </c>
      <c r="M17">
        <v>9</v>
      </c>
      <c r="N17">
        <v>7</v>
      </c>
      <c r="T17" s="124"/>
      <c r="U17" s="125"/>
      <c r="V17" s="124"/>
      <c r="W17" s="123"/>
      <c r="X17" s="124"/>
      <c r="Y17" s="124"/>
      <c r="Z17" s="124"/>
      <c r="AA17" s="124"/>
      <c r="AB17" s="123"/>
      <c r="AC17" s="123"/>
      <c r="AD17" s="123"/>
      <c r="AE17" s="123"/>
      <c r="AF17" s="123"/>
    </row>
    <row r="18" spans="1:32">
      <c r="A18">
        <v>8</v>
      </c>
      <c r="B18">
        <v>1</v>
      </c>
      <c r="C18">
        <v>2454</v>
      </c>
      <c r="D18" s="131">
        <v>0.39245032339965075</v>
      </c>
      <c r="E18">
        <v>38</v>
      </c>
      <c r="F18">
        <v>0</v>
      </c>
      <c r="G18">
        <v>0.39365856591603021</v>
      </c>
      <c r="H18">
        <v>10.192372795999994</v>
      </c>
      <c r="I18">
        <v>35</v>
      </c>
      <c r="J18">
        <v>8040</v>
      </c>
      <c r="K18">
        <v>10</v>
      </c>
      <c r="L18">
        <v>9</v>
      </c>
      <c r="M18">
        <v>10</v>
      </c>
      <c r="N18">
        <v>9</v>
      </c>
      <c r="T18" s="124"/>
      <c r="U18" s="125"/>
      <c r="V18" s="124"/>
      <c r="W18" s="123"/>
      <c r="X18" s="124"/>
      <c r="Y18" s="124"/>
      <c r="Z18" s="124"/>
      <c r="AA18" s="124"/>
      <c r="AB18" s="123"/>
      <c r="AC18" s="123"/>
      <c r="AD18" s="123"/>
      <c r="AE18" s="123"/>
      <c r="AF18" s="123"/>
    </row>
    <row r="19" spans="1:32">
      <c r="A19">
        <v>8</v>
      </c>
      <c r="B19">
        <v>2</v>
      </c>
      <c r="C19">
        <v>2418</v>
      </c>
      <c r="D19" s="131">
        <v>0.32343753939822972</v>
      </c>
      <c r="E19">
        <v>19</v>
      </c>
      <c r="F19">
        <v>0</v>
      </c>
      <c r="G19">
        <v>0.20456810932345867</v>
      </c>
      <c r="H19">
        <v>12.367148252000007</v>
      </c>
      <c r="I19">
        <v>36</v>
      </c>
      <c r="J19">
        <v>8040</v>
      </c>
      <c r="K19">
        <v>4</v>
      </c>
      <c r="L19">
        <v>5</v>
      </c>
      <c r="M19">
        <v>6</v>
      </c>
      <c r="N19">
        <v>4</v>
      </c>
      <c r="T19" s="124"/>
      <c r="U19" s="125"/>
      <c r="V19" s="124"/>
      <c r="W19" s="123"/>
      <c r="X19" s="124"/>
      <c r="Y19" s="124"/>
      <c r="Z19" s="124"/>
      <c r="AA19" s="124"/>
      <c r="AB19" s="123"/>
      <c r="AC19" s="123"/>
      <c r="AD19" s="123"/>
      <c r="AE19" s="123"/>
      <c r="AF19" s="123"/>
    </row>
    <row r="20" spans="1:32">
      <c r="A20">
        <v>9</v>
      </c>
      <c r="B20">
        <v>1</v>
      </c>
      <c r="C20">
        <v>5394</v>
      </c>
      <c r="D20" s="131">
        <v>0.400647280297245</v>
      </c>
      <c r="E20">
        <v>62</v>
      </c>
      <c r="F20">
        <v>0</v>
      </c>
      <c r="G20">
        <v>0.63356477518304344</v>
      </c>
      <c r="H20">
        <v>9.9838441360000054</v>
      </c>
      <c r="I20">
        <v>35</v>
      </c>
      <c r="J20">
        <v>8040</v>
      </c>
      <c r="K20">
        <v>16</v>
      </c>
      <c r="L20">
        <v>18</v>
      </c>
      <c r="M20">
        <v>14</v>
      </c>
      <c r="N20">
        <v>14</v>
      </c>
      <c r="T20" s="124"/>
      <c r="U20" s="125"/>
      <c r="V20" s="124"/>
      <c r="W20" s="123"/>
      <c r="X20" s="124"/>
      <c r="Y20" s="124"/>
      <c r="Z20" s="124"/>
      <c r="AA20" s="124"/>
      <c r="AB20" s="123"/>
      <c r="AC20" s="123"/>
      <c r="AD20" s="123"/>
      <c r="AE20" s="123"/>
      <c r="AF20" s="123"/>
    </row>
    <row r="21" spans="1:32">
      <c r="A21">
        <v>9</v>
      </c>
      <c r="B21">
        <v>2</v>
      </c>
      <c r="C21">
        <v>2783</v>
      </c>
      <c r="D21" s="131">
        <v>0.33375563183112189</v>
      </c>
      <c r="E21">
        <v>26</v>
      </c>
      <c r="F21">
        <v>0</v>
      </c>
      <c r="G21">
        <v>0.27441641024384184</v>
      </c>
      <c r="H21">
        <v>11.984816490000004</v>
      </c>
      <c r="I21">
        <v>35</v>
      </c>
      <c r="J21">
        <v>8040</v>
      </c>
      <c r="K21">
        <v>6</v>
      </c>
      <c r="L21">
        <v>7</v>
      </c>
      <c r="M21">
        <v>7</v>
      </c>
      <c r="N21">
        <v>6</v>
      </c>
      <c r="T21" s="124"/>
      <c r="U21" s="125"/>
      <c r="V21" s="124"/>
      <c r="W21" s="123"/>
      <c r="X21" s="124"/>
      <c r="Y21" s="124"/>
      <c r="Z21" s="124"/>
      <c r="AA21" s="124"/>
      <c r="AB21" s="123"/>
      <c r="AC21" s="123"/>
      <c r="AD21" s="123"/>
      <c r="AE21" s="123"/>
      <c r="AF21" s="123"/>
    </row>
    <row r="22" spans="1:32">
      <c r="A22">
        <v>10</v>
      </c>
      <c r="B22">
        <v>1</v>
      </c>
      <c r="C22">
        <v>4874</v>
      </c>
      <c r="D22" s="131">
        <v>0.39252624649072121</v>
      </c>
      <c r="E22">
        <v>60</v>
      </c>
      <c r="F22">
        <v>0</v>
      </c>
      <c r="G22">
        <v>0.61365768523826669</v>
      </c>
      <c r="H22">
        <v>10.190401369999993</v>
      </c>
      <c r="I22">
        <v>36</v>
      </c>
      <c r="J22">
        <v>8040</v>
      </c>
      <c r="K22">
        <v>15</v>
      </c>
      <c r="L22">
        <v>10</v>
      </c>
      <c r="M22">
        <v>22</v>
      </c>
      <c r="N22">
        <v>13</v>
      </c>
      <c r="T22" s="124"/>
      <c r="U22" s="125"/>
      <c r="V22" s="124"/>
      <c r="W22" s="123"/>
      <c r="X22" s="124"/>
      <c r="Y22" s="124"/>
      <c r="Z22" s="124"/>
      <c r="AA22" s="124"/>
      <c r="AB22" s="123"/>
      <c r="AC22" s="123"/>
      <c r="AD22" s="123"/>
      <c r="AE22" s="123"/>
      <c r="AF22" s="123"/>
    </row>
    <row r="23" spans="1:32">
      <c r="A23">
        <v>10</v>
      </c>
      <c r="B23">
        <v>2</v>
      </c>
      <c r="C23">
        <v>1809</v>
      </c>
      <c r="D23" s="131">
        <v>0.3129788558400256</v>
      </c>
      <c r="E23">
        <v>21</v>
      </c>
      <c r="F23">
        <v>0</v>
      </c>
      <c r="G23">
        <v>0.22472860676260342</v>
      </c>
      <c r="H23">
        <v>12.780416074000026</v>
      </c>
      <c r="I23">
        <v>37</v>
      </c>
      <c r="J23">
        <v>8040</v>
      </c>
      <c r="K23">
        <v>6</v>
      </c>
      <c r="L23">
        <v>5</v>
      </c>
      <c r="M23">
        <v>6</v>
      </c>
      <c r="N23">
        <v>4</v>
      </c>
      <c r="T23" s="124"/>
      <c r="U23" s="125"/>
      <c r="V23" s="124"/>
      <c r="W23" s="123"/>
      <c r="X23" s="124"/>
      <c r="Y23" s="124"/>
      <c r="Z23" s="124"/>
      <c r="AA23" s="124"/>
      <c r="AB23" s="123"/>
      <c r="AC23" s="123"/>
      <c r="AD23" s="123"/>
      <c r="AE23" s="123"/>
      <c r="AF23" s="123"/>
    </row>
    <row r="24" spans="1:32">
      <c r="A24">
        <v>11</v>
      </c>
      <c r="B24">
        <v>1</v>
      </c>
      <c r="C24">
        <v>938</v>
      </c>
      <c r="D24" s="131">
        <v>0.43855443395402866</v>
      </c>
      <c r="E24">
        <v>18</v>
      </c>
      <c r="F24">
        <v>0</v>
      </c>
      <c r="G24">
        <v>0.19316210945138834</v>
      </c>
      <c r="H24">
        <v>9.1208746059999903</v>
      </c>
      <c r="I24">
        <v>36</v>
      </c>
      <c r="J24">
        <v>8040</v>
      </c>
      <c r="K24">
        <v>4</v>
      </c>
      <c r="L24">
        <v>5</v>
      </c>
      <c r="M24">
        <v>5</v>
      </c>
      <c r="N24">
        <v>4</v>
      </c>
      <c r="T24" s="124"/>
      <c r="U24" s="125"/>
      <c r="V24" s="124"/>
      <c r="W24" s="123"/>
      <c r="X24" s="124"/>
      <c r="Y24" s="124"/>
      <c r="Z24" s="124"/>
      <c r="AA24" s="124"/>
      <c r="AB24" s="123"/>
      <c r="AC24" s="123"/>
      <c r="AD24" s="123"/>
      <c r="AE24" s="123"/>
      <c r="AF24" s="123"/>
    </row>
    <row r="25" spans="1:32">
      <c r="A25">
        <v>11</v>
      </c>
      <c r="B25">
        <v>2</v>
      </c>
      <c r="C25">
        <v>1237</v>
      </c>
      <c r="D25" s="131">
        <v>0.35586390482813435</v>
      </c>
      <c r="E25">
        <v>9</v>
      </c>
      <c r="F25">
        <v>0</v>
      </c>
      <c r="G25">
        <v>0.10411146230644165</v>
      </c>
      <c r="H25">
        <v>11.240252090000006</v>
      </c>
      <c r="I25">
        <v>35</v>
      </c>
      <c r="J25">
        <v>8040</v>
      </c>
      <c r="K25">
        <v>2</v>
      </c>
      <c r="L25">
        <v>2</v>
      </c>
      <c r="M25">
        <v>3</v>
      </c>
      <c r="N25">
        <v>2</v>
      </c>
      <c r="T25" s="124"/>
      <c r="U25" s="125"/>
      <c r="V25" s="124"/>
      <c r="W25" s="123"/>
      <c r="X25" s="124"/>
      <c r="Y25" s="124"/>
      <c r="Z25" s="124"/>
      <c r="AA25" s="124"/>
      <c r="AB25" s="123"/>
      <c r="AC25" s="123"/>
      <c r="AD25" s="123"/>
      <c r="AE25" s="123"/>
      <c r="AF25" s="123"/>
    </row>
    <row r="26" spans="1:32">
      <c r="A26">
        <v>12</v>
      </c>
      <c r="B26">
        <v>1</v>
      </c>
      <c r="C26">
        <v>989</v>
      </c>
      <c r="D26" s="131">
        <v>0.43827706721241511</v>
      </c>
      <c r="E26">
        <v>18</v>
      </c>
      <c r="F26">
        <v>0</v>
      </c>
      <c r="G26">
        <v>0.19316488544388613</v>
      </c>
      <c r="H26">
        <v>9.126646815999985</v>
      </c>
      <c r="I26">
        <v>36</v>
      </c>
      <c r="J26">
        <v>8040</v>
      </c>
      <c r="K26">
        <v>4</v>
      </c>
      <c r="L26">
        <v>5</v>
      </c>
      <c r="M26">
        <v>4</v>
      </c>
      <c r="N26">
        <v>5</v>
      </c>
      <c r="T26" s="124"/>
      <c r="U26" s="125"/>
      <c r="V26" s="124"/>
      <c r="W26" s="123"/>
      <c r="X26" s="124"/>
      <c r="Y26" s="124"/>
      <c r="Z26" s="124"/>
      <c r="AA26" s="124"/>
      <c r="AB26" s="123"/>
      <c r="AC26" s="123"/>
      <c r="AD26" s="123"/>
      <c r="AE26" s="123"/>
      <c r="AF26" s="123"/>
    </row>
    <row r="27" spans="1:32">
      <c r="A27">
        <v>12</v>
      </c>
      <c r="B27">
        <v>2</v>
      </c>
      <c r="C27">
        <v>1447</v>
      </c>
      <c r="D27" s="131">
        <v>0.35212431308295472</v>
      </c>
      <c r="E27">
        <v>9</v>
      </c>
      <c r="F27">
        <v>0</v>
      </c>
      <c r="G27">
        <v>0.1041612414981974</v>
      </c>
      <c r="H27">
        <v>11.359624573999994</v>
      </c>
      <c r="I27">
        <v>36</v>
      </c>
      <c r="J27">
        <v>8040</v>
      </c>
      <c r="K27">
        <v>2</v>
      </c>
      <c r="L27">
        <v>2</v>
      </c>
      <c r="M27">
        <v>3</v>
      </c>
      <c r="N27">
        <v>2</v>
      </c>
      <c r="T27" s="124"/>
      <c r="U27" s="125"/>
      <c r="V27" s="124"/>
      <c r="W27" s="123"/>
      <c r="X27" s="124"/>
      <c r="Y27" s="124"/>
      <c r="Z27" s="124"/>
      <c r="AA27" s="124"/>
      <c r="AB27" s="123"/>
      <c r="AC27" s="123"/>
      <c r="AD27" s="123"/>
      <c r="AE27" s="123"/>
      <c r="AF27" s="123"/>
    </row>
    <row r="28" spans="1:32">
      <c r="A28">
        <v>13</v>
      </c>
      <c r="B28">
        <v>1</v>
      </c>
      <c r="C28">
        <v>1297</v>
      </c>
      <c r="D28" s="131">
        <v>0.43555677175201818</v>
      </c>
      <c r="E28">
        <v>17</v>
      </c>
      <c r="F28">
        <v>0</v>
      </c>
      <c r="G28">
        <v>0.18319223593865616</v>
      </c>
      <c r="H28">
        <v>9.1836478259999996</v>
      </c>
      <c r="I28">
        <v>36</v>
      </c>
      <c r="J28">
        <v>8040</v>
      </c>
      <c r="K28">
        <v>4</v>
      </c>
      <c r="L28">
        <v>5</v>
      </c>
      <c r="M28">
        <v>4</v>
      </c>
      <c r="N28">
        <v>4</v>
      </c>
      <c r="T28" s="124"/>
      <c r="U28" s="125"/>
      <c r="V28" s="124"/>
      <c r="W28" s="123"/>
      <c r="X28" s="124"/>
      <c r="Y28" s="124"/>
      <c r="Z28" s="124"/>
      <c r="AA28" s="124"/>
      <c r="AB28" s="123"/>
      <c r="AC28" s="123"/>
      <c r="AD28" s="123"/>
      <c r="AE28" s="123"/>
      <c r="AF28" s="123"/>
    </row>
    <row r="29" spans="1:32">
      <c r="A29">
        <v>13</v>
      </c>
      <c r="B29">
        <v>2</v>
      </c>
      <c r="C29">
        <v>1071</v>
      </c>
      <c r="D29" s="131">
        <v>0.35396976716007295</v>
      </c>
      <c r="E29">
        <v>9</v>
      </c>
      <c r="F29">
        <v>0</v>
      </c>
      <c r="G29">
        <v>0.1041365882909658</v>
      </c>
      <c r="H29">
        <v>11.300400122000001</v>
      </c>
      <c r="I29">
        <v>37</v>
      </c>
      <c r="J29">
        <v>8040</v>
      </c>
      <c r="K29">
        <v>2</v>
      </c>
      <c r="L29">
        <v>3</v>
      </c>
      <c r="M29">
        <v>2</v>
      </c>
      <c r="N29">
        <v>2</v>
      </c>
      <c r="T29" s="124"/>
      <c r="U29" s="125"/>
      <c r="V29" s="124"/>
      <c r="W29" s="123"/>
      <c r="X29" s="124"/>
      <c r="Y29" s="124"/>
      <c r="Z29" s="124"/>
      <c r="AA29" s="124"/>
      <c r="AB29" s="123"/>
      <c r="AC29" s="123"/>
      <c r="AD29" s="123"/>
      <c r="AE29" s="123"/>
      <c r="AF29" s="123"/>
    </row>
    <row r="30" spans="1:32">
      <c r="A30">
        <v>14</v>
      </c>
      <c r="B30">
        <v>1</v>
      </c>
      <c r="C30">
        <v>1523</v>
      </c>
      <c r="D30" s="131">
        <v>0.4271842270368012</v>
      </c>
      <c r="E30">
        <v>16</v>
      </c>
      <c r="F30">
        <v>0</v>
      </c>
      <c r="G30">
        <v>0.17327786545842258</v>
      </c>
      <c r="H30">
        <v>9.3636416019999889</v>
      </c>
      <c r="I30">
        <v>36</v>
      </c>
      <c r="J30">
        <v>8040</v>
      </c>
      <c r="K30">
        <v>4</v>
      </c>
      <c r="L30">
        <v>4</v>
      </c>
      <c r="M30">
        <v>4</v>
      </c>
      <c r="N30">
        <v>4</v>
      </c>
      <c r="T30" s="124"/>
      <c r="U30" s="125"/>
      <c r="V30" s="124"/>
      <c r="W30" s="123"/>
      <c r="X30" s="124"/>
      <c r="Y30" s="124"/>
      <c r="Z30" s="124"/>
      <c r="AA30" s="124"/>
      <c r="AB30" s="123"/>
      <c r="AC30" s="123"/>
      <c r="AD30" s="123"/>
      <c r="AE30" s="123"/>
      <c r="AF30" s="123"/>
    </row>
    <row r="31" spans="1:32">
      <c r="A31">
        <v>14</v>
      </c>
      <c r="B31">
        <v>2</v>
      </c>
      <c r="C31">
        <v>1121</v>
      </c>
      <c r="D31" s="131">
        <v>0.33591993192555702</v>
      </c>
      <c r="E31">
        <v>8</v>
      </c>
      <c r="F31">
        <v>0</v>
      </c>
      <c r="G31">
        <v>9.4385382325911704E-2</v>
      </c>
      <c r="H31">
        <v>11.907599460000002</v>
      </c>
      <c r="I31">
        <v>37</v>
      </c>
      <c r="J31">
        <v>8040</v>
      </c>
      <c r="K31">
        <v>2</v>
      </c>
      <c r="L31">
        <v>2</v>
      </c>
      <c r="M31">
        <v>2</v>
      </c>
      <c r="N31">
        <v>2</v>
      </c>
      <c r="T31" s="124"/>
      <c r="U31" s="125"/>
      <c r="V31" s="124"/>
      <c r="W31" s="123"/>
      <c r="X31" s="124"/>
      <c r="Y31" s="124"/>
      <c r="Z31" s="124"/>
      <c r="AA31" s="124"/>
      <c r="AB31" s="123"/>
      <c r="AC31" s="123"/>
      <c r="AD31" s="123"/>
      <c r="AE31" s="123"/>
      <c r="AF31" s="123"/>
    </row>
    <row r="32" spans="1:32">
      <c r="A32">
        <v>15</v>
      </c>
      <c r="B32">
        <v>1</v>
      </c>
      <c r="C32">
        <v>1084</v>
      </c>
      <c r="D32" s="131">
        <v>0.43710680573622418</v>
      </c>
      <c r="E32">
        <v>17</v>
      </c>
      <c r="F32">
        <v>0</v>
      </c>
      <c r="G32">
        <v>0.18317662371120147</v>
      </c>
      <c r="H32">
        <v>9.1510814919999994</v>
      </c>
      <c r="I32">
        <v>35</v>
      </c>
      <c r="J32">
        <v>8040</v>
      </c>
      <c r="K32">
        <v>4</v>
      </c>
      <c r="L32">
        <v>5</v>
      </c>
      <c r="M32">
        <v>4</v>
      </c>
      <c r="N32">
        <v>4</v>
      </c>
      <c r="T32" s="124"/>
      <c r="U32" s="125"/>
      <c r="V32" s="124"/>
      <c r="W32" s="123"/>
      <c r="X32" s="124"/>
      <c r="Y32" s="124"/>
      <c r="Z32" s="124"/>
      <c r="AA32" s="124"/>
      <c r="AB32" s="123"/>
      <c r="AC32" s="123"/>
      <c r="AD32" s="123"/>
      <c r="AE32" s="123"/>
      <c r="AF32" s="123"/>
    </row>
    <row r="33" spans="1:32">
      <c r="A33">
        <v>15</v>
      </c>
      <c r="B33">
        <v>2</v>
      </c>
      <c r="C33">
        <v>1100</v>
      </c>
      <c r="D33" s="131">
        <v>0.3538417704025863</v>
      </c>
      <c r="E33">
        <v>9</v>
      </c>
      <c r="F33">
        <v>0</v>
      </c>
      <c r="G33">
        <v>0.10413829264912784</v>
      </c>
      <c r="H33">
        <v>11.304487866000015</v>
      </c>
      <c r="I33">
        <v>37</v>
      </c>
      <c r="J33">
        <v>8040</v>
      </c>
      <c r="K33">
        <v>2</v>
      </c>
      <c r="L33">
        <v>3</v>
      </c>
      <c r="M33">
        <v>2</v>
      </c>
      <c r="N33">
        <v>2</v>
      </c>
      <c r="T33" s="124"/>
      <c r="U33" s="125"/>
      <c r="V33" s="124"/>
      <c r="W33" s="123"/>
      <c r="X33" s="124"/>
      <c r="Y33" s="124"/>
      <c r="Z33" s="124"/>
      <c r="AA33" s="124"/>
      <c r="AB33" s="123"/>
      <c r="AC33" s="123"/>
      <c r="AD33" s="123"/>
      <c r="AE33" s="123"/>
      <c r="AF33" s="123"/>
    </row>
    <row r="34" spans="1:32">
      <c r="A34">
        <v>16</v>
      </c>
      <c r="B34">
        <v>1</v>
      </c>
      <c r="C34">
        <v>1978</v>
      </c>
      <c r="D34" s="131">
        <v>0.43521060038211756</v>
      </c>
      <c r="E34">
        <v>21</v>
      </c>
      <c r="F34">
        <v>0</v>
      </c>
      <c r="G34">
        <v>0.22319573276226032</v>
      </c>
      <c r="H34">
        <v>9.190952601999987</v>
      </c>
      <c r="I34">
        <v>35</v>
      </c>
      <c r="J34">
        <v>8040</v>
      </c>
      <c r="K34">
        <v>5</v>
      </c>
      <c r="L34">
        <v>6</v>
      </c>
      <c r="M34">
        <v>5</v>
      </c>
      <c r="N34">
        <v>5</v>
      </c>
      <c r="T34" s="124"/>
      <c r="U34" s="125"/>
      <c r="V34" s="124"/>
      <c r="W34" s="123"/>
      <c r="X34" s="124"/>
      <c r="Y34" s="124"/>
      <c r="Z34" s="124"/>
      <c r="AA34" s="124"/>
      <c r="AB34" s="123"/>
      <c r="AC34" s="123"/>
      <c r="AD34" s="123"/>
      <c r="AE34" s="123"/>
      <c r="AF34" s="123"/>
    </row>
    <row r="35" spans="1:32">
      <c r="A35">
        <v>16</v>
      </c>
      <c r="B35">
        <v>2</v>
      </c>
      <c r="C35">
        <v>1470</v>
      </c>
      <c r="D35" s="131">
        <v>0.34770190434457238</v>
      </c>
      <c r="E35">
        <v>9</v>
      </c>
      <c r="F35">
        <v>0</v>
      </c>
      <c r="G35">
        <v>0.10422102752153795</v>
      </c>
      <c r="H35">
        <v>11.504107253999974</v>
      </c>
      <c r="I35">
        <v>37</v>
      </c>
      <c r="J35">
        <v>8040</v>
      </c>
      <c r="K35">
        <v>2</v>
      </c>
      <c r="L35">
        <v>3</v>
      </c>
      <c r="M35">
        <v>2</v>
      </c>
      <c r="N35">
        <v>2</v>
      </c>
      <c r="T35" s="124"/>
      <c r="U35" s="125"/>
      <c r="V35" s="124"/>
      <c r="W35" s="123"/>
      <c r="X35" s="124"/>
      <c r="Y35" s="124"/>
      <c r="Z35" s="124"/>
      <c r="AA35" s="124"/>
      <c r="AB35" s="123"/>
      <c r="AC35" s="123"/>
      <c r="AD35" s="123"/>
      <c r="AE35" s="123"/>
      <c r="AF35" s="123"/>
    </row>
    <row r="36" spans="1:32">
      <c r="A36">
        <v>17</v>
      </c>
      <c r="B36">
        <v>1</v>
      </c>
      <c r="C36">
        <v>1150</v>
      </c>
      <c r="D36" s="131">
        <v>0.42963970532677065</v>
      </c>
      <c r="E36">
        <v>16</v>
      </c>
      <c r="F36">
        <v>0</v>
      </c>
      <c r="G36">
        <v>0.17325252188190987</v>
      </c>
      <c r="H36">
        <v>9.3101264859999944</v>
      </c>
      <c r="I36">
        <v>36</v>
      </c>
      <c r="J36">
        <v>8040</v>
      </c>
      <c r="K36">
        <v>4</v>
      </c>
      <c r="L36">
        <v>4</v>
      </c>
      <c r="M36">
        <v>4</v>
      </c>
      <c r="N36">
        <v>4</v>
      </c>
      <c r="T36" s="124"/>
      <c r="U36" s="125"/>
      <c r="V36" s="124"/>
      <c r="W36" s="123"/>
      <c r="X36" s="124"/>
      <c r="Y36" s="124"/>
      <c r="Z36" s="124"/>
      <c r="AA36" s="124"/>
      <c r="AB36" s="123"/>
      <c r="AC36" s="123"/>
      <c r="AD36" s="123"/>
      <c r="AE36" s="123"/>
      <c r="AF36" s="123"/>
    </row>
    <row r="37" spans="1:32">
      <c r="A37">
        <v>17</v>
      </c>
      <c r="B37">
        <v>2</v>
      </c>
      <c r="C37">
        <v>1186</v>
      </c>
      <c r="D37" s="131">
        <v>0.33975999384613115</v>
      </c>
      <c r="E37">
        <v>8</v>
      </c>
      <c r="F37">
        <v>0</v>
      </c>
      <c r="G37">
        <v>9.4330980991583699E-2</v>
      </c>
      <c r="H37">
        <v>11.773016459999997</v>
      </c>
      <c r="I37">
        <v>36</v>
      </c>
      <c r="J37">
        <v>8040</v>
      </c>
      <c r="K37">
        <v>2</v>
      </c>
      <c r="L37">
        <v>2</v>
      </c>
      <c r="M37">
        <v>2</v>
      </c>
      <c r="N37">
        <v>2</v>
      </c>
      <c r="T37" s="124"/>
      <c r="U37" s="125"/>
      <c r="V37" s="124"/>
      <c r="W37" s="123"/>
      <c r="X37" s="124"/>
      <c r="Y37" s="124"/>
      <c r="Z37" s="124"/>
      <c r="AA37" s="124"/>
      <c r="AB37" s="123"/>
      <c r="AC37" s="123"/>
      <c r="AD37" s="123"/>
      <c r="AE37" s="123"/>
      <c r="AF37" s="123"/>
    </row>
    <row r="38" spans="1:32">
      <c r="A38">
        <v>18</v>
      </c>
      <c r="B38">
        <v>1</v>
      </c>
      <c r="C38">
        <v>1248</v>
      </c>
      <c r="D38" s="131">
        <v>0.43766999203701956</v>
      </c>
      <c r="E38">
        <v>19</v>
      </c>
      <c r="F38">
        <v>0</v>
      </c>
      <c r="G38">
        <v>0.20317096946682853</v>
      </c>
      <c r="H38">
        <v>9.1393060359999883</v>
      </c>
      <c r="I38">
        <v>36</v>
      </c>
      <c r="J38">
        <v>8040</v>
      </c>
      <c r="K38">
        <v>5</v>
      </c>
      <c r="L38">
        <v>5</v>
      </c>
      <c r="M38">
        <v>5</v>
      </c>
      <c r="N38">
        <v>4</v>
      </c>
      <c r="T38" s="124"/>
      <c r="U38" s="125"/>
      <c r="V38" s="124"/>
      <c r="W38" s="123"/>
      <c r="X38" s="124"/>
      <c r="Y38" s="124"/>
      <c r="Z38" s="124"/>
      <c r="AA38" s="124"/>
      <c r="AB38" s="123"/>
      <c r="AC38" s="123"/>
      <c r="AD38" s="123"/>
      <c r="AE38" s="123"/>
      <c r="AF38" s="123"/>
    </row>
    <row r="39" spans="1:32">
      <c r="A39">
        <v>18</v>
      </c>
      <c r="B39">
        <v>2</v>
      </c>
      <c r="C39">
        <v>1264</v>
      </c>
      <c r="D39" s="131">
        <v>0.34887840074630927</v>
      </c>
      <c r="E39">
        <v>9</v>
      </c>
      <c r="F39">
        <v>0</v>
      </c>
      <c r="G39">
        <v>0.10420502401824512</v>
      </c>
      <c r="H39">
        <v>11.465312817999999</v>
      </c>
      <c r="I39">
        <v>37</v>
      </c>
      <c r="J39">
        <v>8040</v>
      </c>
      <c r="K39">
        <v>2</v>
      </c>
      <c r="L39">
        <v>2</v>
      </c>
      <c r="M39">
        <v>3</v>
      </c>
      <c r="N39">
        <v>2</v>
      </c>
      <c r="T39" s="124"/>
      <c r="U39" s="125"/>
      <c r="V39" s="124"/>
      <c r="W39" s="123"/>
      <c r="X39" s="124"/>
      <c r="Y39" s="124"/>
      <c r="Z39" s="124"/>
      <c r="AA39" s="124"/>
      <c r="AB39" s="123"/>
      <c r="AC39" s="123"/>
      <c r="AD39" s="123"/>
      <c r="AE39" s="123"/>
      <c r="AF39" s="123"/>
    </row>
    <row r="40" spans="1:32">
      <c r="A40">
        <v>19</v>
      </c>
      <c r="B40">
        <v>1</v>
      </c>
      <c r="C40">
        <v>1104</v>
      </c>
      <c r="D40" s="131">
        <v>0.43618421317713918</v>
      </c>
      <c r="E40">
        <v>17</v>
      </c>
      <c r="F40">
        <v>0</v>
      </c>
      <c r="G40">
        <v>0.18318590732246304</v>
      </c>
      <c r="H40">
        <v>9.170437350000002</v>
      </c>
      <c r="I40">
        <v>36</v>
      </c>
      <c r="J40">
        <v>8040</v>
      </c>
      <c r="K40">
        <v>4</v>
      </c>
      <c r="L40">
        <v>4</v>
      </c>
      <c r="M40">
        <v>5</v>
      </c>
      <c r="N40">
        <v>4</v>
      </c>
      <c r="T40" s="124"/>
      <c r="U40" s="125"/>
      <c r="V40" s="124"/>
      <c r="W40" s="123"/>
      <c r="X40" s="124"/>
      <c r="Y40" s="124"/>
      <c r="Z40" s="124"/>
      <c r="AA40" s="124"/>
      <c r="AB40" s="123"/>
      <c r="AC40" s="123"/>
      <c r="AD40" s="123"/>
      <c r="AE40" s="123"/>
      <c r="AF40" s="123"/>
    </row>
    <row r="41" spans="1:32">
      <c r="A41">
        <v>19</v>
      </c>
      <c r="B41">
        <v>2</v>
      </c>
      <c r="C41">
        <v>960</v>
      </c>
      <c r="D41" s="131">
        <v>0.35564741526805449</v>
      </c>
      <c r="E41">
        <v>9</v>
      </c>
      <c r="F41">
        <v>0</v>
      </c>
      <c r="G41">
        <v>0.10411432503365306</v>
      </c>
      <c r="H41">
        <v>11.24709425200002</v>
      </c>
      <c r="I41">
        <v>36</v>
      </c>
      <c r="J41">
        <v>8040</v>
      </c>
      <c r="K41">
        <v>2</v>
      </c>
      <c r="L41">
        <v>2</v>
      </c>
      <c r="M41">
        <v>3</v>
      </c>
      <c r="N41">
        <v>2</v>
      </c>
      <c r="T41" s="124"/>
      <c r="U41" s="125"/>
      <c r="V41" s="124"/>
      <c r="W41" s="123"/>
      <c r="X41" s="124"/>
      <c r="Y41" s="124"/>
      <c r="Z41" s="124"/>
      <c r="AA41" s="124"/>
      <c r="AB41" s="123"/>
      <c r="AC41" s="123"/>
      <c r="AD41" s="123"/>
      <c r="AE41" s="123"/>
      <c r="AF41" s="123"/>
    </row>
    <row r="42" spans="1:32">
      <c r="A42">
        <v>20</v>
      </c>
      <c r="B42">
        <v>1</v>
      </c>
      <c r="C42">
        <v>959</v>
      </c>
      <c r="D42" s="131">
        <v>0.43867010382327537</v>
      </c>
      <c r="E42">
        <v>18</v>
      </c>
      <c r="F42">
        <v>0</v>
      </c>
      <c r="G42">
        <v>0.19316095247465256</v>
      </c>
      <c r="H42">
        <v>9.1184695860000033</v>
      </c>
      <c r="I42">
        <v>35</v>
      </c>
      <c r="J42">
        <v>8040</v>
      </c>
      <c r="K42">
        <v>4</v>
      </c>
      <c r="L42">
        <v>4</v>
      </c>
      <c r="M42">
        <v>5</v>
      </c>
      <c r="N42">
        <v>5</v>
      </c>
      <c r="T42" s="124"/>
      <c r="U42" s="125"/>
      <c r="V42" s="124"/>
      <c r="W42" s="123"/>
      <c r="X42" s="124"/>
      <c r="Y42" s="124"/>
      <c r="Z42" s="124"/>
      <c r="AA42" s="124"/>
      <c r="AB42" s="123"/>
      <c r="AC42" s="123"/>
      <c r="AD42" s="123"/>
      <c r="AE42" s="123"/>
      <c r="AF42" s="123"/>
    </row>
    <row r="43" spans="1:32">
      <c r="A43">
        <v>20</v>
      </c>
      <c r="B43">
        <v>2</v>
      </c>
      <c r="C43">
        <v>1053</v>
      </c>
      <c r="D43" s="131">
        <v>0.35324743992307522</v>
      </c>
      <c r="E43">
        <v>9</v>
      </c>
      <c r="F43">
        <v>0</v>
      </c>
      <c r="G43">
        <v>0.10414621732098288</v>
      </c>
      <c r="H43">
        <v>11.323507400000006</v>
      </c>
      <c r="I43">
        <v>37</v>
      </c>
      <c r="J43">
        <v>8040</v>
      </c>
      <c r="K43">
        <v>2</v>
      </c>
      <c r="L43">
        <v>3</v>
      </c>
      <c r="M43">
        <v>2</v>
      </c>
      <c r="N43">
        <v>2</v>
      </c>
      <c r="T43" s="124"/>
      <c r="U43" s="125"/>
      <c r="V43" s="124"/>
      <c r="W43" s="123"/>
      <c r="X43" s="124"/>
      <c r="Y43" s="124"/>
      <c r="Z43" s="124"/>
      <c r="AA43" s="124"/>
      <c r="AB43" s="123"/>
      <c r="AC43" s="123"/>
      <c r="AD43" s="123"/>
      <c r="AE43" s="123"/>
      <c r="AF43" s="123"/>
    </row>
    <row r="44" spans="1:32">
      <c r="A44">
        <v>21</v>
      </c>
      <c r="B44">
        <v>1</v>
      </c>
      <c r="C44">
        <v>2163</v>
      </c>
      <c r="D44" s="131">
        <v>0.23626968348128671</v>
      </c>
      <c r="E44">
        <v>15</v>
      </c>
      <c r="F44">
        <v>0</v>
      </c>
      <c r="G44">
        <v>0.16617573413293008</v>
      </c>
      <c r="H44">
        <v>16.929806401999993</v>
      </c>
      <c r="I44">
        <v>35</v>
      </c>
      <c r="J44">
        <v>8040</v>
      </c>
      <c r="K44">
        <v>5</v>
      </c>
      <c r="L44">
        <v>4</v>
      </c>
      <c r="M44">
        <v>4</v>
      </c>
      <c r="N44">
        <v>2</v>
      </c>
      <c r="T44" s="124"/>
      <c r="U44" s="125"/>
      <c r="V44" s="124"/>
      <c r="W44" s="123"/>
      <c r="X44" s="124"/>
      <c r="Y44" s="124"/>
      <c r="Z44" s="124"/>
      <c r="AA44" s="124"/>
      <c r="AB44" s="123"/>
      <c r="AC44" s="123"/>
      <c r="AD44" s="123"/>
      <c r="AE44" s="123"/>
      <c r="AF44" s="123"/>
    </row>
    <row r="45" spans="1:32">
      <c r="A45">
        <v>21</v>
      </c>
      <c r="B45">
        <v>2</v>
      </c>
      <c r="C45">
        <v>1001</v>
      </c>
      <c r="D45" s="131">
        <v>0.18230140606706396</v>
      </c>
      <c r="E45">
        <v>7</v>
      </c>
      <c r="F45">
        <v>0</v>
      </c>
      <c r="G45">
        <v>8.7636131452724697E-2</v>
      </c>
      <c r="H45">
        <v>21.941684852000009</v>
      </c>
      <c r="I45">
        <v>37</v>
      </c>
      <c r="J45">
        <v>8040</v>
      </c>
      <c r="K45">
        <v>2</v>
      </c>
      <c r="L45">
        <v>2</v>
      </c>
      <c r="M45">
        <v>2</v>
      </c>
      <c r="N45">
        <v>1</v>
      </c>
      <c r="T45" s="124"/>
      <c r="U45" s="125"/>
      <c r="V45" s="124"/>
      <c r="W45" s="123"/>
      <c r="X45" s="124"/>
      <c r="Y45" s="124"/>
      <c r="Z45" s="124"/>
      <c r="AA45" s="124"/>
      <c r="AB45" s="123"/>
      <c r="AC45" s="123"/>
      <c r="AD45" s="123"/>
      <c r="AE45" s="123"/>
      <c r="AF45" s="123"/>
    </row>
    <row r="46" spans="1:32">
      <c r="A46">
        <v>22</v>
      </c>
      <c r="B46">
        <v>1</v>
      </c>
      <c r="C46">
        <v>2025</v>
      </c>
      <c r="D46" s="131">
        <v>0.21049087776686207</v>
      </c>
      <c r="E46">
        <v>13</v>
      </c>
      <c r="F46">
        <v>0</v>
      </c>
      <c r="G46">
        <v>0.14681082034545942</v>
      </c>
      <c r="H46">
        <v>19.003198820000012</v>
      </c>
      <c r="I46">
        <v>36</v>
      </c>
      <c r="J46">
        <v>8040</v>
      </c>
      <c r="K46">
        <v>5</v>
      </c>
      <c r="L46">
        <v>3</v>
      </c>
      <c r="M46">
        <v>3</v>
      </c>
      <c r="N46">
        <v>2</v>
      </c>
      <c r="T46" s="124"/>
      <c r="U46" s="125"/>
      <c r="V46" s="124"/>
      <c r="W46" s="123"/>
      <c r="X46" s="124"/>
      <c r="Y46" s="124"/>
      <c r="Z46" s="124"/>
      <c r="AA46" s="124"/>
      <c r="AB46" s="123"/>
      <c r="AC46" s="123"/>
      <c r="AD46" s="123"/>
      <c r="AE46" s="123"/>
      <c r="AF46" s="123"/>
    </row>
    <row r="47" spans="1:32">
      <c r="A47">
        <v>22</v>
      </c>
      <c r="B47">
        <v>2</v>
      </c>
      <c r="C47">
        <v>1311</v>
      </c>
      <c r="D47" s="131">
        <v>0.16670818925884365</v>
      </c>
      <c r="E47">
        <v>7</v>
      </c>
      <c r="F47">
        <v>0</v>
      </c>
      <c r="G47">
        <v>8.8169697147762141E-2</v>
      </c>
      <c r="H47">
        <v>23.994022236000056</v>
      </c>
      <c r="I47">
        <v>36</v>
      </c>
      <c r="J47">
        <v>8040</v>
      </c>
      <c r="K47">
        <v>2</v>
      </c>
      <c r="L47">
        <v>2</v>
      </c>
      <c r="M47">
        <v>1</v>
      </c>
      <c r="N47">
        <v>2</v>
      </c>
      <c r="T47" s="124"/>
      <c r="U47" s="125"/>
      <c r="V47" s="124"/>
      <c r="W47" s="123"/>
      <c r="X47" s="124"/>
      <c r="Y47" s="124"/>
      <c r="Z47" s="124"/>
      <c r="AA47" s="124"/>
      <c r="AB47" s="123"/>
      <c r="AC47" s="123"/>
      <c r="AD47" s="123"/>
      <c r="AE47" s="123"/>
      <c r="AF47" s="123"/>
    </row>
    <row r="48" spans="1:32">
      <c r="A48">
        <v>23</v>
      </c>
      <c r="B48">
        <v>1</v>
      </c>
      <c r="C48">
        <v>1116</v>
      </c>
      <c r="D48" s="131">
        <v>0.230605536573252</v>
      </c>
      <c r="E48">
        <v>15</v>
      </c>
      <c r="F48">
        <v>0</v>
      </c>
      <c r="G48">
        <v>0.16630710083494946</v>
      </c>
      <c r="H48">
        <v>17.345637314000037</v>
      </c>
      <c r="I48">
        <v>35</v>
      </c>
      <c r="J48">
        <v>8040</v>
      </c>
      <c r="K48">
        <v>6</v>
      </c>
      <c r="L48">
        <v>3</v>
      </c>
      <c r="M48">
        <v>3</v>
      </c>
      <c r="N48">
        <v>3</v>
      </c>
      <c r="T48" s="124"/>
      <c r="U48" s="125"/>
      <c r="V48" s="124"/>
      <c r="W48" s="123"/>
      <c r="X48" s="124"/>
      <c r="Y48" s="124"/>
      <c r="Z48" s="124"/>
      <c r="AA48" s="124"/>
      <c r="AB48" s="123"/>
      <c r="AC48" s="123"/>
      <c r="AD48" s="123"/>
      <c r="AE48" s="123"/>
      <c r="AF48" s="123"/>
    </row>
    <row r="49" spans="1:32">
      <c r="A49">
        <v>23</v>
      </c>
      <c r="B49">
        <v>2</v>
      </c>
      <c r="C49">
        <v>1479</v>
      </c>
      <c r="D49" s="131">
        <v>0.18734886333009063</v>
      </c>
      <c r="E49">
        <v>8</v>
      </c>
      <c r="F49">
        <v>0</v>
      </c>
      <c r="G49">
        <v>9.7476306220467143E-2</v>
      </c>
      <c r="H49">
        <v>21.350543200000022</v>
      </c>
      <c r="I49">
        <v>38</v>
      </c>
      <c r="J49">
        <v>8040</v>
      </c>
      <c r="K49">
        <v>3</v>
      </c>
      <c r="L49">
        <v>2</v>
      </c>
      <c r="M49">
        <v>2</v>
      </c>
      <c r="N49">
        <v>1</v>
      </c>
      <c r="T49" s="124"/>
      <c r="U49" s="125"/>
      <c r="V49" s="124"/>
      <c r="W49" s="123"/>
      <c r="X49" s="124"/>
      <c r="Y49" s="124"/>
      <c r="Z49" s="124"/>
      <c r="AA49" s="124"/>
      <c r="AB49" s="123"/>
      <c r="AC49" s="123"/>
      <c r="AD49" s="123"/>
      <c r="AE49" s="123"/>
      <c r="AF49" s="123"/>
    </row>
    <row r="50" spans="1:32">
      <c r="A50">
        <v>24</v>
      </c>
      <c r="B50">
        <v>1</v>
      </c>
      <c r="C50">
        <v>922</v>
      </c>
      <c r="D50" s="131">
        <v>0.23095618009685998</v>
      </c>
      <c r="E50">
        <v>17</v>
      </c>
      <c r="F50">
        <v>0</v>
      </c>
      <c r="G50">
        <v>0.18629884403710953</v>
      </c>
      <c r="H50">
        <v>17.319302727999972</v>
      </c>
      <c r="I50">
        <v>35</v>
      </c>
      <c r="J50">
        <v>8040</v>
      </c>
      <c r="K50">
        <v>7</v>
      </c>
      <c r="L50">
        <v>4</v>
      </c>
      <c r="M50">
        <v>3</v>
      </c>
      <c r="N50">
        <v>3</v>
      </c>
      <c r="T50" s="124"/>
      <c r="U50" s="125"/>
      <c r="V50" s="124"/>
      <c r="W50" s="123"/>
      <c r="X50" s="124"/>
      <c r="Y50" s="124"/>
      <c r="Z50" s="124"/>
      <c r="AA50" s="124"/>
      <c r="AB50" s="123"/>
      <c r="AC50" s="123"/>
      <c r="AD50" s="123"/>
      <c r="AE50" s="123"/>
      <c r="AF50" s="123"/>
    </row>
    <row r="51" spans="1:32">
      <c r="A51">
        <v>24</v>
      </c>
      <c r="B51">
        <v>2</v>
      </c>
      <c r="C51">
        <v>828</v>
      </c>
      <c r="D51" s="131">
        <v>0.18093441313813799</v>
      </c>
      <c r="E51">
        <v>8</v>
      </c>
      <c r="F51">
        <v>0</v>
      </c>
      <c r="G51">
        <v>9.7680434810119593E-2</v>
      </c>
      <c r="H51">
        <v>22.107458336000018</v>
      </c>
      <c r="I51">
        <v>38</v>
      </c>
      <c r="J51">
        <v>8040</v>
      </c>
      <c r="K51">
        <v>3</v>
      </c>
      <c r="L51">
        <v>2</v>
      </c>
      <c r="M51">
        <v>2</v>
      </c>
      <c r="N51">
        <v>1</v>
      </c>
      <c r="T51" s="124"/>
      <c r="U51" s="125"/>
      <c r="V51" s="124"/>
      <c r="W51" s="123"/>
      <c r="X51" s="124"/>
      <c r="Y51" s="124"/>
      <c r="Z51" s="124"/>
      <c r="AA51" s="124"/>
      <c r="AB51" s="123"/>
      <c r="AC51" s="123"/>
      <c r="AD51" s="123"/>
      <c r="AE51" s="123"/>
      <c r="AF51" s="123"/>
    </row>
    <row r="52" spans="1:32">
      <c r="A52">
        <v>25</v>
      </c>
      <c r="B52">
        <v>1</v>
      </c>
      <c r="C52">
        <v>1881</v>
      </c>
      <c r="D52" s="131">
        <v>0.20114698421553065</v>
      </c>
      <c r="E52">
        <v>12</v>
      </c>
      <c r="F52">
        <v>0</v>
      </c>
      <c r="G52">
        <v>0.13706719529928338</v>
      </c>
      <c r="H52">
        <v>19.885955613999993</v>
      </c>
      <c r="I52">
        <v>36</v>
      </c>
      <c r="J52">
        <v>8040</v>
      </c>
      <c r="K52">
        <v>5</v>
      </c>
      <c r="L52">
        <v>3</v>
      </c>
      <c r="M52">
        <v>2</v>
      </c>
      <c r="N52">
        <v>2</v>
      </c>
      <c r="T52" s="124"/>
      <c r="U52" s="125"/>
      <c r="V52" s="124"/>
      <c r="W52" s="123"/>
      <c r="X52" s="124"/>
      <c r="Y52" s="124"/>
      <c r="Z52" s="124"/>
      <c r="AA52" s="124"/>
      <c r="AB52" s="123"/>
      <c r="AC52" s="123"/>
      <c r="AD52" s="123"/>
      <c r="AE52" s="123"/>
      <c r="AF52" s="123"/>
    </row>
    <row r="53" spans="1:32">
      <c r="A53">
        <v>25</v>
      </c>
      <c r="B53">
        <v>2</v>
      </c>
      <c r="C53">
        <v>843</v>
      </c>
      <c r="D53" s="131">
        <v>0.16589857441917483</v>
      </c>
      <c r="E53">
        <v>7</v>
      </c>
      <c r="F53">
        <v>0</v>
      </c>
      <c r="G53">
        <v>8.8199206324826779E-2</v>
      </c>
      <c r="H53">
        <v>24.11111737400001</v>
      </c>
      <c r="I53">
        <v>37</v>
      </c>
      <c r="J53">
        <v>8040</v>
      </c>
      <c r="K53">
        <v>2</v>
      </c>
      <c r="L53">
        <v>2</v>
      </c>
      <c r="M53">
        <v>2</v>
      </c>
      <c r="N53">
        <v>1</v>
      </c>
      <c r="T53" s="124"/>
      <c r="U53" s="125"/>
      <c r="V53" s="124"/>
      <c r="W53" s="123"/>
      <c r="X53" s="124"/>
      <c r="Y53" s="124"/>
      <c r="Z53" s="124"/>
      <c r="AA53" s="124"/>
      <c r="AB53" s="123"/>
      <c r="AC53" s="123"/>
      <c r="AD53" s="123"/>
      <c r="AE53" s="123"/>
      <c r="AF53" s="123"/>
    </row>
    <row r="54" spans="1:32">
      <c r="A54">
        <v>26</v>
      </c>
      <c r="B54">
        <v>1</v>
      </c>
      <c r="C54">
        <v>2038</v>
      </c>
      <c r="D54" s="131">
        <v>0.20429968080596841</v>
      </c>
      <c r="E54">
        <v>12</v>
      </c>
      <c r="F54">
        <v>0</v>
      </c>
      <c r="G54">
        <v>0.13697894770203997</v>
      </c>
      <c r="H54">
        <v>19.579081006000006</v>
      </c>
      <c r="I54">
        <v>36</v>
      </c>
      <c r="J54">
        <v>8040</v>
      </c>
      <c r="K54">
        <v>4</v>
      </c>
      <c r="L54">
        <v>3</v>
      </c>
      <c r="M54">
        <v>3</v>
      </c>
      <c r="N54">
        <v>2</v>
      </c>
      <c r="T54" s="124"/>
      <c r="U54" s="125"/>
      <c r="V54" s="124"/>
      <c r="W54" s="123"/>
      <c r="X54" s="124"/>
      <c r="Y54" s="124"/>
      <c r="Z54" s="124"/>
      <c r="AA54" s="124"/>
      <c r="AB54" s="123"/>
      <c r="AC54" s="123"/>
      <c r="AD54" s="123"/>
      <c r="AE54" s="123"/>
      <c r="AF54" s="123"/>
    </row>
    <row r="55" spans="1:32">
      <c r="A55">
        <v>26</v>
      </c>
      <c r="B55">
        <v>2</v>
      </c>
      <c r="C55">
        <v>1921</v>
      </c>
      <c r="D55" s="131">
        <v>0.16818477541371255</v>
      </c>
      <c r="E55">
        <v>7</v>
      </c>
      <c r="F55">
        <v>0</v>
      </c>
      <c r="G55">
        <v>8.8116366866132362E-2</v>
      </c>
      <c r="H55">
        <v>23.783365588000002</v>
      </c>
      <c r="I55">
        <v>38</v>
      </c>
      <c r="J55">
        <v>8040</v>
      </c>
      <c r="K55">
        <v>2</v>
      </c>
      <c r="L55">
        <v>2</v>
      </c>
      <c r="M55">
        <v>2</v>
      </c>
      <c r="N55">
        <v>1</v>
      </c>
      <c r="T55" s="124"/>
      <c r="U55" s="125"/>
      <c r="V55" s="124"/>
      <c r="W55" s="123"/>
      <c r="X55" s="124"/>
      <c r="Y55" s="124"/>
      <c r="Z55" s="124"/>
      <c r="AA55" s="124"/>
      <c r="AB55" s="123"/>
      <c r="AC55" s="123"/>
      <c r="AD55" s="123"/>
      <c r="AE55" s="123"/>
      <c r="AF55" s="123"/>
    </row>
    <row r="56" spans="1:32">
      <c r="A56">
        <v>27</v>
      </c>
      <c r="B56">
        <v>1</v>
      </c>
      <c r="C56">
        <v>918</v>
      </c>
      <c r="D56" s="131">
        <v>0.21857826914338788</v>
      </c>
      <c r="E56">
        <v>13</v>
      </c>
      <c r="F56">
        <v>0</v>
      </c>
      <c r="G56">
        <v>0.14660087600677821</v>
      </c>
      <c r="H56">
        <v>18.300080862000012</v>
      </c>
      <c r="I56">
        <v>35</v>
      </c>
      <c r="J56">
        <v>8040</v>
      </c>
      <c r="K56">
        <v>5</v>
      </c>
      <c r="L56">
        <v>3</v>
      </c>
      <c r="M56">
        <v>3</v>
      </c>
      <c r="N56">
        <v>2</v>
      </c>
      <c r="T56" s="124"/>
      <c r="U56" s="125"/>
      <c r="V56" s="124"/>
      <c r="W56" s="123"/>
      <c r="X56" s="124"/>
      <c r="Y56" s="124"/>
      <c r="Z56" s="124"/>
      <c r="AA56" s="124"/>
      <c r="AB56" s="123"/>
      <c r="AC56" s="123"/>
      <c r="AD56" s="123"/>
      <c r="AE56" s="123"/>
      <c r="AF56" s="123"/>
    </row>
    <row r="57" spans="1:32">
      <c r="A57">
        <v>27</v>
      </c>
      <c r="B57">
        <v>2</v>
      </c>
      <c r="C57">
        <v>1123</v>
      </c>
      <c r="D57" s="131">
        <v>0.17277017661722488</v>
      </c>
      <c r="E57">
        <v>7</v>
      </c>
      <c r="F57">
        <v>0</v>
      </c>
      <c r="G57">
        <v>8.7954655401826135E-2</v>
      </c>
      <c r="H57">
        <v>23.152143954000028</v>
      </c>
      <c r="I57">
        <v>37</v>
      </c>
      <c r="J57">
        <v>8040</v>
      </c>
      <c r="K57">
        <v>2</v>
      </c>
      <c r="L57">
        <v>2</v>
      </c>
      <c r="M57">
        <v>2</v>
      </c>
      <c r="N57">
        <v>1</v>
      </c>
      <c r="T57" s="124"/>
      <c r="U57" s="125"/>
      <c r="V57" s="124"/>
      <c r="W57" s="123"/>
      <c r="X57" s="124"/>
      <c r="Y57" s="124"/>
      <c r="Z57" s="124"/>
      <c r="AA57" s="124"/>
      <c r="AB57" s="123"/>
      <c r="AC57" s="123"/>
      <c r="AD57" s="123"/>
      <c r="AE57" s="123"/>
      <c r="AF57" s="123"/>
    </row>
    <row r="58" spans="1:32">
      <c r="A58">
        <v>28</v>
      </c>
      <c r="B58">
        <v>1</v>
      </c>
      <c r="C58">
        <v>1790</v>
      </c>
      <c r="D58" s="131">
        <v>0.22260986455295678</v>
      </c>
      <c r="E58">
        <v>17</v>
      </c>
      <c r="F58">
        <v>0</v>
      </c>
      <c r="G58">
        <v>0.1865000476423479</v>
      </c>
      <c r="H58">
        <v>17.968655647999991</v>
      </c>
      <c r="I58">
        <v>35</v>
      </c>
      <c r="J58">
        <v>8040</v>
      </c>
      <c r="K58">
        <v>7</v>
      </c>
      <c r="L58">
        <v>4</v>
      </c>
      <c r="M58">
        <v>3</v>
      </c>
      <c r="N58">
        <v>3</v>
      </c>
      <c r="T58" s="124"/>
      <c r="U58" s="125"/>
      <c r="V58" s="124"/>
      <c r="W58" s="123"/>
      <c r="X58" s="124"/>
      <c r="Y58" s="124"/>
      <c r="Z58" s="124"/>
      <c r="AA58" s="124"/>
      <c r="AB58" s="123"/>
      <c r="AC58" s="123"/>
      <c r="AD58" s="123"/>
      <c r="AE58" s="123"/>
      <c r="AF58" s="123"/>
    </row>
    <row r="59" spans="1:32">
      <c r="A59">
        <v>28</v>
      </c>
      <c r="B59">
        <v>2</v>
      </c>
      <c r="C59">
        <v>564</v>
      </c>
      <c r="D59" s="131">
        <v>0.12747337937263933</v>
      </c>
      <c r="E59">
        <v>4</v>
      </c>
      <c r="F59">
        <v>0</v>
      </c>
      <c r="G59">
        <v>5.9869800206222609E-2</v>
      </c>
      <c r="H59">
        <v>31.379100637999976</v>
      </c>
      <c r="I59">
        <v>35</v>
      </c>
      <c r="J59">
        <v>8040</v>
      </c>
      <c r="K59">
        <v>1</v>
      </c>
      <c r="L59">
        <v>1</v>
      </c>
      <c r="M59">
        <v>1</v>
      </c>
      <c r="N59">
        <v>1</v>
      </c>
      <c r="T59" s="124"/>
      <c r="U59" s="125"/>
      <c r="V59" s="124"/>
      <c r="W59" s="123"/>
      <c r="X59" s="124"/>
      <c r="Y59" s="124"/>
      <c r="Z59" s="124"/>
      <c r="AA59" s="124"/>
      <c r="AB59" s="123"/>
      <c r="AC59" s="123"/>
      <c r="AD59" s="123"/>
      <c r="AE59" s="123"/>
      <c r="AF59" s="123"/>
    </row>
    <row r="60" spans="1:32">
      <c r="A60">
        <v>29</v>
      </c>
      <c r="B60">
        <v>1</v>
      </c>
      <c r="C60">
        <v>1523</v>
      </c>
      <c r="D60" s="131">
        <v>0.22101488081931875</v>
      </c>
      <c r="E60">
        <v>14</v>
      </c>
      <c r="F60">
        <v>0</v>
      </c>
      <c r="G60">
        <v>0.15653964415070465</v>
      </c>
      <c r="H60">
        <v>18.098328877999979</v>
      </c>
      <c r="I60">
        <v>35</v>
      </c>
      <c r="J60">
        <v>8040</v>
      </c>
      <c r="K60">
        <v>5</v>
      </c>
      <c r="L60">
        <v>3</v>
      </c>
      <c r="M60">
        <v>4</v>
      </c>
      <c r="N60">
        <v>2</v>
      </c>
      <c r="T60" s="124"/>
      <c r="U60" s="125"/>
      <c r="V60" s="124"/>
      <c r="W60" s="123"/>
      <c r="X60" s="124"/>
      <c r="Y60" s="124"/>
      <c r="Z60" s="124"/>
      <c r="AA60" s="124"/>
      <c r="AB60" s="123"/>
      <c r="AC60" s="123"/>
      <c r="AD60" s="123"/>
      <c r="AE60" s="123"/>
      <c r="AF60" s="123"/>
    </row>
    <row r="61" spans="1:32">
      <c r="A61">
        <v>29</v>
      </c>
      <c r="B61">
        <v>2</v>
      </c>
      <c r="C61">
        <v>766</v>
      </c>
      <c r="D61" s="131">
        <v>0.17015720221641376</v>
      </c>
      <c r="E61">
        <v>7</v>
      </c>
      <c r="F61">
        <v>0</v>
      </c>
      <c r="G61">
        <v>8.8046094251894386E-2</v>
      </c>
      <c r="H61">
        <v>23.507673773999976</v>
      </c>
      <c r="I61">
        <v>36</v>
      </c>
      <c r="J61">
        <v>8040</v>
      </c>
      <c r="K61">
        <v>2</v>
      </c>
      <c r="L61">
        <v>2</v>
      </c>
      <c r="M61">
        <v>1</v>
      </c>
      <c r="N61">
        <v>2</v>
      </c>
      <c r="T61" s="124"/>
      <c r="U61" s="125"/>
      <c r="V61" s="124"/>
      <c r="W61" s="123"/>
      <c r="X61" s="124"/>
      <c r="Y61" s="124"/>
      <c r="Z61" s="124"/>
      <c r="AA61" s="124"/>
      <c r="AB61" s="123"/>
      <c r="AC61" s="123"/>
      <c r="AD61" s="123"/>
      <c r="AE61" s="123"/>
      <c r="AF61" s="123"/>
    </row>
    <row r="62" spans="1:32">
      <c r="A62">
        <v>30</v>
      </c>
      <c r="B62">
        <v>1</v>
      </c>
      <c r="C62">
        <v>635</v>
      </c>
      <c r="D62" s="131">
        <v>0.20196646470093585</v>
      </c>
      <c r="E62">
        <v>12</v>
      </c>
      <c r="F62">
        <v>0</v>
      </c>
      <c r="G62">
        <v>0.13704408058288345</v>
      </c>
      <c r="H62">
        <v>19.805268195999993</v>
      </c>
      <c r="I62">
        <v>36</v>
      </c>
      <c r="J62">
        <v>8040</v>
      </c>
      <c r="K62">
        <v>4</v>
      </c>
      <c r="L62">
        <v>3</v>
      </c>
      <c r="M62">
        <v>3</v>
      </c>
      <c r="N62">
        <v>2</v>
      </c>
      <c r="T62" s="124"/>
      <c r="U62" s="125"/>
      <c r="V62" s="124"/>
      <c r="W62" s="123"/>
      <c r="X62" s="124"/>
      <c r="Y62" s="124"/>
      <c r="Z62" s="124"/>
      <c r="AA62" s="124"/>
      <c r="AB62" s="123"/>
      <c r="AC62" s="123"/>
      <c r="AD62" s="123"/>
      <c r="AE62" s="123"/>
      <c r="AF62" s="123"/>
    </row>
    <row r="63" spans="1:32">
      <c r="A63">
        <v>30</v>
      </c>
      <c r="B63">
        <v>2</v>
      </c>
      <c r="C63">
        <v>1129</v>
      </c>
      <c r="D63" s="131">
        <v>0.16352471446764788</v>
      </c>
      <c r="E63">
        <v>7</v>
      </c>
      <c r="F63">
        <v>0</v>
      </c>
      <c r="G63">
        <v>8.8286848496180875E-2</v>
      </c>
      <c r="H63">
        <v>24.461134288000054</v>
      </c>
      <c r="I63">
        <v>38</v>
      </c>
      <c r="J63">
        <v>8040</v>
      </c>
      <c r="K63">
        <v>2</v>
      </c>
      <c r="L63">
        <v>2</v>
      </c>
      <c r="M63">
        <v>2</v>
      </c>
      <c r="N63">
        <v>1</v>
      </c>
      <c r="T63" s="124"/>
      <c r="U63" s="125"/>
      <c r="V63" s="124"/>
      <c r="W63" s="123"/>
      <c r="X63" s="124"/>
      <c r="Y63" s="124"/>
      <c r="Z63" s="124"/>
      <c r="AA63" s="124"/>
      <c r="AB63" s="123"/>
      <c r="AC63" s="123"/>
      <c r="AD63" s="123"/>
      <c r="AE63" s="123"/>
      <c r="AF63" s="123"/>
    </row>
    <row r="64" spans="1:32">
      <c r="A64">
        <v>31</v>
      </c>
      <c r="B64">
        <v>1</v>
      </c>
      <c r="C64">
        <v>154</v>
      </c>
      <c r="D64" s="131">
        <v>0.22789715213240713</v>
      </c>
      <c r="E64">
        <v>7</v>
      </c>
      <c r="F64">
        <v>0</v>
      </c>
      <c r="G64">
        <v>8.6371445773677044E-2</v>
      </c>
      <c r="H64">
        <v>17.551777030000004</v>
      </c>
      <c r="I64">
        <v>37</v>
      </c>
      <c r="J64">
        <v>8040</v>
      </c>
      <c r="K64">
        <v>2</v>
      </c>
      <c r="L64">
        <v>2</v>
      </c>
      <c r="M64">
        <v>2</v>
      </c>
      <c r="N64">
        <v>1</v>
      </c>
      <c r="T64" s="124"/>
      <c r="U64" s="125"/>
      <c r="V64" s="124"/>
      <c r="W64" s="123"/>
      <c r="X64" s="124"/>
      <c r="Y64" s="124"/>
      <c r="Z64" s="124"/>
      <c r="AA64" s="124"/>
      <c r="AB64" s="123"/>
      <c r="AC64" s="123"/>
      <c r="AD64" s="123"/>
      <c r="AE64" s="123"/>
      <c r="AF64" s="123"/>
    </row>
    <row r="65" spans="1:32">
      <c r="A65">
        <v>31</v>
      </c>
      <c r="B65">
        <v>2</v>
      </c>
      <c r="C65">
        <v>271</v>
      </c>
      <c r="D65" s="131">
        <v>0.19611461011514986</v>
      </c>
      <c r="E65">
        <v>5</v>
      </c>
      <c r="F65">
        <v>0</v>
      </c>
      <c r="G65">
        <v>6.7211947671102987E-2</v>
      </c>
      <c r="H65">
        <v>20.396236658000014</v>
      </c>
      <c r="I65">
        <v>37</v>
      </c>
      <c r="J65">
        <v>8040</v>
      </c>
      <c r="K65">
        <v>2</v>
      </c>
      <c r="L65">
        <v>1</v>
      </c>
      <c r="M65">
        <v>1</v>
      </c>
      <c r="N65">
        <v>1</v>
      </c>
      <c r="T65" s="124"/>
      <c r="U65" s="125"/>
      <c r="V65" s="124"/>
      <c r="W65" s="123"/>
      <c r="X65" s="124"/>
      <c r="Y65" s="124"/>
      <c r="Z65" s="124"/>
      <c r="AA65" s="124"/>
      <c r="AB65" s="123"/>
      <c r="AC65" s="123"/>
      <c r="AD65" s="123"/>
      <c r="AE65" s="123"/>
      <c r="AF65" s="123"/>
    </row>
    <row r="66" spans="1:32">
      <c r="A66">
        <v>32</v>
      </c>
      <c r="B66">
        <v>1</v>
      </c>
      <c r="C66">
        <v>263</v>
      </c>
      <c r="D66" s="131">
        <v>0.22974135789607322</v>
      </c>
      <c r="E66">
        <v>7</v>
      </c>
      <c r="F66">
        <v>0</v>
      </c>
      <c r="G66">
        <v>8.6327521793433434E-2</v>
      </c>
      <c r="H66">
        <v>17.41088342400003</v>
      </c>
      <c r="I66">
        <v>37</v>
      </c>
      <c r="J66">
        <v>8040</v>
      </c>
      <c r="K66">
        <v>2</v>
      </c>
      <c r="L66">
        <v>2</v>
      </c>
      <c r="M66">
        <v>2</v>
      </c>
      <c r="N66">
        <v>1</v>
      </c>
      <c r="T66" s="124"/>
      <c r="U66" s="125"/>
      <c r="V66" s="124"/>
      <c r="W66" s="123"/>
      <c r="X66" s="124"/>
      <c r="Y66" s="124"/>
      <c r="Z66" s="124"/>
      <c r="AA66" s="124"/>
      <c r="AB66" s="123"/>
      <c r="AC66" s="123"/>
      <c r="AD66" s="123"/>
      <c r="AE66" s="123"/>
      <c r="AF66" s="123"/>
    </row>
    <row r="67" spans="1:32">
      <c r="A67">
        <v>32</v>
      </c>
      <c r="B67">
        <v>2</v>
      </c>
      <c r="C67">
        <v>124</v>
      </c>
      <c r="D67" s="131">
        <v>0.19676080670443652</v>
      </c>
      <c r="E67">
        <v>5</v>
      </c>
      <c r="F67">
        <v>0</v>
      </c>
      <c r="G67">
        <v>6.7193084666513317E-2</v>
      </c>
      <c r="H67">
        <v>20.329251881999976</v>
      </c>
      <c r="I67">
        <v>38</v>
      </c>
      <c r="J67">
        <v>8040</v>
      </c>
      <c r="K67">
        <v>2</v>
      </c>
      <c r="L67">
        <v>1</v>
      </c>
      <c r="M67">
        <v>1</v>
      </c>
      <c r="N67">
        <v>1</v>
      </c>
      <c r="T67" s="124"/>
      <c r="U67" s="125"/>
      <c r="V67" s="124"/>
      <c r="W67" s="123"/>
      <c r="X67" s="124"/>
      <c r="Y67" s="124"/>
      <c r="Z67" s="124"/>
      <c r="AA67" s="124"/>
      <c r="AB67" s="123"/>
      <c r="AC67" s="123"/>
      <c r="AD67" s="123"/>
      <c r="AE67" s="123"/>
      <c r="AF67" s="123"/>
    </row>
    <row r="68" spans="1:32">
      <c r="A68">
        <v>33</v>
      </c>
      <c r="B68">
        <v>1</v>
      </c>
      <c r="C68">
        <v>167</v>
      </c>
      <c r="D68" s="131">
        <v>0.23247996574050636</v>
      </c>
      <c r="E68">
        <v>7</v>
      </c>
      <c r="F68">
        <v>0</v>
      </c>
      <c r="G68">
        <v>8.6263155793069327E-2</v>
      </c>
      <c r="H68">
        <v>17.205783677999985</v>
      </c>
      <c r="I68">
        <v>37</v>
      </c>
      <c r="J68">
        <v>8040</v>
      </c>
      <c r="K68">
        <v>2</v>
      </c>
      <c r="L68">
        <v>2</v>
      </c>
      <c r="M68">
        <v>2</v>
      </c>
      <c r="N68">
        <v>1</v>
      </c>
      <c r="T68" s="124"/>
      <c r="U68" s="125"/>
      <c r="V68" s="124"/>
      <c r="W68" s="123"/>
      <c r="X68" s="124"/>
      <c r="Y68" s="124"/>
      <c r="Z68" s="124"/>
      <c r="AA68" s="124"/>
      <c r="AB68" s="123"/>
      <c r="AC68" s="123"/>
      <c r="AD68" s="123"/>
      <c r="AE68" s="123"/>
      <c r="AF68" s="123"/>
    </row>
    <row r="69" spans="1:32">
      <c r="A69">
        <v>33</v>
      </c>
      <c r="B69">
        <v>2</v>
      </c>
      <c r="C69">
        <v>131</v>
      </c>
      <c r="D69" s="131">
        <v>0.19944760468852724</v>
      </c>
      <c r="E69">
        <v>5</v>
      </c>
      <c r="F69">
        <v>0</v>
      </c>
      <c r="G69">
        <v>6.7115531562057948E-2</v>
      </c>
      <c r="H69">
        <v>20.055392524000016</v>
      </c>
      <c r="I69">
        <v>38</v>
      </c>
      <c r="J69">
        <v>8040</v>
      </c>
      <c r="K69">
        <v>2</v>
      </c>
      <c r="L69">
        <v>1</v>
      </c>
      <c r="M69">
        <v>1</v>
      </c>
      <c r="N69">
        <v>1</v>
      </c>
      <c r="T69" s="124"/>
      <c r="U69" s="125"/>
      <c r="V69" s="124"/>
      <c r="W69" s="123"/>
      <c r="X69" s="124"/>
      <c r="Y69" s="124"/>
      <c r="Z69" s="124"/>
      <c r="AA69" s="124"/>
      <c r="AB69" s="123"/>
      <c r="AC69" s="123"/>
      <c r="AD69" s="123"/>
      <c r="AE69" s="123"/>
      <c r="AF69" s="123"/>
    </row>
    <row r="70" spans="1:32">
      <c r="A70">
        <v>34</v>
      </c>
      <c r="B70">
        <v>1</v>
      </c>
      <c r="C70">
        <v>91</v>
      </c>
      <c r="D70" s="131">
        <v>0.22679830897212255</v>
      </c>
      <c r="E70">
        <v>7</v>
      </c>
      <c r="F70">
        <v>0</v>
      </c>
      <c r="G70">
        <v>8.6397843201148114E-2</v>
      </c>
      <c r="H70">
        <v>17.636815803999973</v>
      </c>
      <c r="I70">
        <v>37</v>
      </c>
      <c r="J70">
        <v>8040</v>
      </c>
      <c r="K70">
        <v>2</v>
      </c>
      <c r="L70">
        <v>2</v>
      </c>
      <c r="M70">
        <v>2</v>
      </c>
      <c r="N70">
        <v>1</v>
      </c>
      <c r="T70" s="124"/>
      <c r="U70" s="125"/>
      <c r="V70" s="124"/>
      <c r="W70" s="123"/>
      <c r="X70" s="124"/>
      <c r="Y70" s="124"/>
      <c r="Z70" s="124"/>
      <c r="AA70" s="124"/>
      <c r="AB70" s="123"/>
      <c r="AC70" s="123"/>
      <c r="AD70" s="123"/>
      <c r="AE70" s="123"/>
      <c r="AF70" s="123"/>
    </row>
    <row r="71" spans="1:32">
      <c r="A71">
        <v>34</v>
      </c>
      <c r="B71">
        <v>2</v>
      </c>
      <c r="C71">
        <v>193</v>
      </c>
      <c r="D71" s="131">
        <v>0.1967365447989749</v>
      </c>
      <c r="E71">
        <v>5</v>
      </c>
      <c r="F71">
        <v>0</v>
      </c>
      <c r="G71">
        <v>6.7193791398196895E-2</v>
      </c>
      <c r="H71">
        <v>20.331758921999945</v>
      </c>
      <c r="I71">
        <v>38</v>
      </c>
      <c r="J71">
        <v>8040</v>
      </c>
      <c r="K71">
        <v>2</v>
      </c>
      <c r="L71">
        <v>1</v>
      </c>
      <c r="M71">
        <v>1</v>
      </c>
      <c r="N71">
        <v>1</v>
      </c>
      <c r="T71" s="124"/>
      <c r="U71" s="125"/>
      <c r="V71" s="124"/>
      <c r="W71" s="123"/>
      <c r="X71" s="124"/>
      <c r="Y71" s="124"/>
      <c r="Z71" s="124"/>
      <c r="AA71" s="124"/>
      <c r="AB71" s="123"/>
      <c r="AC71" s="123"/>
      <c r="AD71" s="123"/>
      <c r="AE71" s="123"/>
      <c r="AF71" s="123"/>
    </row>
    <row r="72" spans="1:32">
      <c r="A72">
        <v>35</v>
      </c>
      <c r="B72">
        <v>1</v>
      </c>
      <c r="C72">
        <v>389</v>
      </c>
      <c r="D72" s="131">
        <v>0.23152862853506134</v>
      </c>
      <c r="E72">
        <v>7</v>
      </c>
      <c r="F72">
        <v>0</v>
      </c>
      <c r="G72">
        <v>8.6285400130194284E-2</v>
      </c>
      <c r="H72">
        <v>17.276481208</v>
      </c>
      <c r="I72">
        <v>38</v>
      </c>
      <c r="J72">
        <v>8040</v>
      </c>
      <c r="K72">
        <v>2</v>
      </c>
      <c r="L72">
        <v>2</v>
      </c>
      <c r="M72">
        <v>2</v>
      </c>
      <c r="N72">
        <v>1</v>
      </c>
      <c r="T72" s="124"/>
      <c r="U72" s="125"/>
      <c r="V72" s="124"/>
      <c r="W72" s="123"/>
      <c r="X72" s="124"/>
      <c r="Y72" s="124"/>
      <c r="Z72" s="124"/>
      <c r="AA72" s="124"/>
      <c r="AB72" s="123"/>
      <c r="AC72" s="123"/>
      <c r="AD72" s="123"/>
      <c r="AE72" s="123"/>
      <c r="AF72" s="123"/>
    </row>
    <row r="73" spans="1:32">
      <c r="A73">
        <v>35</v>
      </c>
      <c r="B73">
        <v>2</v>
      </c>
      <c r="C73">
        <v>272</v>
      </c>
      <c r="D73" s="131">
        <v>0.19876609609187842</v>
      </c>
      <c r="E73">
        <v>5</v>
      </c>
      <c r="F73">
        <v>0</v>
      </c>
      <c r="G73">
        <v>6.7135070568378433E-2</v>
      </c>
      <c r="H73">
        <v>20.124156375999981</v>
      </c>
      <c r="I73">
        <v>38</v>
      </c>
      <c r="J73">
        <v>8040</v>
      </c>
      <c r="K73">
        <v>2</v>
      </c>
      <c r="L73">
        <v>1</v>
      </c>
      <c r="M73">
        <v>1</v>
      </c>
      <c r="N73">
        <v>1</v>
      </c>
      <c r="T73" s="124"/>
      <c r="U73" s="125"/>
      <c r="V73" s="124"/>
      <c r="W73" s="123"/>
      <c r="X73" s="124"/>
      <c r="Y73" s="124"/>
      <c r="Z73" s="124"/>
      <c r="AA73" s="124"/>
      <c r="AB73" s="123"/>
      <c r="AC73" s="123"/>
      <c r="AD73" s="123"/>
      <c r="AE73" s="123"/>
      <c r="AF73" s="123"/>
    </row>
    <row r="74" spans="1:32">
      <c r="A74">
        <v>36</v>
      </c>
      <c r="B74">
        <v>1</v>
      </c>
      <c r="C74">
        <v>182</v>
      </c>
      <c r="D74" s="131">
        <v>0.23147507230108855</v>
      </c>
      <c r="E74">
        <v>7</v>
      </c>
      <c r="F74">
        <v>0</v>
      </c>
      <c r="G74">
        <v>8.6286656014084334E-2</v>
      </c>
      <c r="H74">
        <v>17.280478455999987</v>
      </c>
      <c r="I74">
        <v>37</v>
      </c>
      <c r="J74">
        <v>8040</v>
      </c>
      <c r="K74">
        <v>2</v>
      </c>
      <c r="L74">
        <v>2</v>
      </c>
      <c r="M74">
        <v>2</v>
      </c>
      <c r="N74">
        <v>1</v>
      </c>
      <c r="T74" s="124"/>
      <c r="U74" s="125"/>
      <c r="V74" s="124"/>
      <c r="W74" s="123"/>
      <c r="X74" s="124"/>
      <c r="Y74" s="124"/>
      <c r="Z74" s="124"/>
      <c r="AA74" s="124"/>
      <c r="AB74" s="123"/>
      <c r="AC74" s="123"/>
      <c r="AD74" s="123"/>
      <c r="AE74" s="123"/>
      <c r="AF74" s="123"/>
    </row>
    <row r="75" spans="1:32">
      <c r="A75">
        <v>36</v>
      </c>
      <c r="B75">
        <v>2</v>
      </c>
      <c r="C75">
        <v>123</v>
      </c>
      <c r="D75" s="131">
        <v>0.19754102268365309</v>
      </c>
      <c r="E75">
        <v>5</v>
      </c>
      <c r="F75">
        <v>0</v>
      </c>
      <c r="G75">
        <v>6.7170419300371431E-2</v>
      </c>
      <c r="H75">
        <v>20.248958649999981</v>
      </c>
      <c r="I75">
        <v>38</v>
      </c>
      <c r="J75">
        <v>8040</v>
      </c>
      <c r="K75">
        <v>2</v>
      </c>
      <c r="L75">
        <v>1</v>
      </c>
      <c r="M75">
        <v>1</v>
      </c>
      <c r="N75">
        <v>1</v>
      </c>
      <c r="T75" s="124"/>
      <c r="U75" s="125"/>
      <c r="V75" s="124"/>
      <c r="W75" s="123"/>
      <c r="X75" s="124"/>
      <c r="Y75" s="124"/>
      <c r="Z75" s="124"/>
      <c r="AA75" s="124"/>
      <c r="AB75" s="123"/>
      <c r="AC75" s="123"/>
      <c r="AD75" s="123"/>
      <c r="AE75" s="123"/>
      <c r="AF75" s="123"/>
    </row>
    <row r="76" spans="1:32">
      <c r="A76">
        <v>37</v>
      </c>
      <c r="B76">
        <v>1</v>
      </c>
      <c r="C76">
        <v>311</v>
      </c>
      <c r="D76" s="131">
        <v>0.23274032674119607</v>
      </c>
      <c r="E76">
        <v>7</v>
      </c>
      <c r="F76">
        <v>0</v>
      </c>
      <c r="G76">
        <v>8.6257089130004239E-2</v>
      </c>
      <c r="H76">
        <v>17.186535981999988</v>
      </c>
      <c r="I76">
        <v>37</v>
      </c>
      <c r="J76">
        <v>8040</v>
      </c>
      <c r="K76">
        <v>2</v>
      </c>
      <c r="L76">
        <v>2</v>
      </c>
      <c r="M76">
        <v>2</v>
      </c>
      <c r="N76">
        <v>1</v>
      </c>
      <c r="T76" s="124"/>
      <c r="U76" s="125"/>
      <c r="V76" s="124"/>
      <c r="W76" s="123"/>
      <c r="X76" s="124"/>
      <c r="Y76" s="124"/>
      <c r="Z76" s="124"/>
      <c r="AA76" s="124"/>
      <c r="AB76" s="123"/>
      <c r="AC76" s="123"/>
      <c r="AD76" s="123"/>
      <c r="AE76" s="123"/>
      <c r="AF76" s="123"/>
    </row>
    <row r="77" spans="1:32">
      <c r="A77">
        <v>37</v>
      </c>
      <c r="B77">
        <v>2</v>
      </c>
      <c r="C77">
        <v>162</v>
      </c>
      <c r="D77" s="131">
        <v>0.20126735227949458</v>
      </c>
      <c r="E77">
        <v>5</v>
      </c>
      <c r="F77">
        <v>0</v>
      </c>
      <c r="G77">
        <v>6.7063792271912961E-2</v>
      </c>
      <c r="H77">
        <v>19.874062805999987</v>
      </c>
      <c r="I77">
        <v>38</v>
      </c>
      <c r="J77">
        <v>8040</v>
      </c>
      <c r="K77">
        <v>2</v>
      </c>
      <c r="L77">
        <v>1</v>
      </c>
      <c r="M77">
        <v>1</v>
      </c>
      <c r="N77">
        <v>1</v>
      </c>
      <c r="T77" s="124"/>
      <c r="U77" s="125"/>
      <c r="V77" s="124"/>
      <c r="W77" s="123"/>
      <c r="X77" s="124"/>
      <c r="Y77" s="124"/>
      <c r="Z77" s="124"/>
      <c r="AA77" s="124"/>
      <c r="AB77" s="123"/>
      <c r="AC77" s="123"/>
      <c r="AD77" s="123"/>
      <c r="AE77" s="123"/>
      <c r="AF77" s="123"/>
    </row>
    <row r="78" spans="1:32">
      <c r="A78">
        <v>38</v>
      </c>
      <c r="B78">
        <v>1</v>
      </c>
      <c r="C78">
        <v>557</v>
      </c>
      <c r="D78" s="131">
        <v>0.23239101472597712</v>
      </c>
      <c r="E78">
        <v>7</v>
      </c>
      <c r="F78">
        <v>0</v>
      </c>
      <c r="G78">
        <v>8.6265230514239996E-2</v>
      </c>
      <c r="H78">
        <v>17.212369440000007</v>
      </c>
      <c r="I78">
        <v>37</v>
      </c>
      <c r="J78">
        <v>8040</v>
      </c>
      <c r="K78">
        <v>2</v>
      </c>
      <c r="L78">
        <v>2</v>
      </c>
      <c r="M78">
        <v>2</v>
      </c>
      <c r="N78">
        <v>1</v>
      </c>
      <c r="T78" s="124"/>
      <c r="U78" s="125"/>
      <c r="V78" s="124"/>
      <c r="W78" s="123"/>
      <c r="X78" s="124"/>
      <c r="Y78" s="124"/>
      <c r="Z78" s="124"/>
      <c r="AA78" s="124"/>
      <c r="AB78" s="123"/>
      <c r="AC78" s="123"/>
      <c r="AD78" s="123"/>
      <c r="AE78" s="123"/>
      <c r="AF78" s="123"/>
    </row>
    <row r="79" spans="1:32">
      <c r="A79">
        <v>38</v>
      </c>
      <c r="B79">
        <v>2</v>
      </c>
      <c r="C79">
        <v>159</v>
      </c>
      <c r="D79" s="131">
        <v>0.20021384101569864</v>
      </c>
      <c r="E79">
        <v>5</v>
      </c>
      <c r="F79">
        <v>0</v>
      </c>
      <c r="G79">
        <v>6.709366942403365E-2</v>
      </c>
      <c r="H79">
        <v>19.978638737999951</v>
      </c>
      <c r="I79">
        <v>38</v>
      </c>
      <c r="J79">
        <v>8040</v>
      </c>
      <c r="K79">
        <v>2</v>
      </c>
      <c r="L79">
        <v>1</v>
      </c>
      <c r="M79">
        <v>1</v>
      </c>
      <c r="N79">
        <v>1</v>
      </c>
      <c r="T79" s="124"/>
      <c r="U79" s="125"/>
      <c r="V79" s="124"/>
      <c r="W79" s="123"/>
      <c r="X79" s="124"/>
      <c r="Y79" s="124"/>
      <c r="Z79" s="124"/>
      <c r="AA79" s="124"/>
      <c r="AB79" s="123"/>
      <c r="AC79" s="123"/>
      <c r="AD79" s="123"/>
      <c r="AE79" s="123"/>
      <c r="AF79" s="123"/>
    </row>
    <row r="80" spans="1:32">
      <c r="A80">
        <v>39</v>
      </c>
      <c r="B80">
        <v>1</v>
      </c>
      <c r="C80">
        <v>204</v>
      </c>
      <c r="D80" s="131">
        <v>0.22994178482319289</v>
      </c>
      <c r="E80">
        <v>7</v>
      </c>
      <c r="F80">
        <v>0</v>
      </c>
      <c r="G80">
        <v>8.6322776496281103E-2</v>
      </c>
      <c r="H80">
        <v>17.395707365999986</v>
      </c>
      <c r="I80">
        <v>37</v>
      </c>
      <c r="J80">
        <v>8040</v>
      </c>
      <c r="K80">
        <v>2</v>
      </c>
      <c r="L80">
        <v>2</v>
      </c>
      <c r="M80">
        <v>2</v>
      </c>
      <c r="N80">
        <v>1</v>
      </c>
      <c r="T80" s="124"/>
      <c r="U80" s="125"/>
      <c r="V80" s="124"/>
      <c r="W80" s="123"/>
      <c r="X80" s="124"/>
      <c r="Y80" s="124"/>
      <c r="Z80" s="124"/>
      <c r="AA80" s="124"/>
      <c r="AB80" s="123"/>
      <c r="AC80" s="123"/>
      <c r="AD80" s="123"/>
      <c r="AE80" s="123"/>
      <c r="AF80" s="123"/>
    </row>
    <row r="81" spans="1:32">
      <c r="A81">
        <v>39</v>
      </c>
      <c r="B81">
        <v>2</v>
      </c>
      <c r="C81">
        <v>216</v>
      </c>
      <c r="D81" s="131">
        <v>0.19840560781355676</v>
      </c>
      <c r="E81">
        <v>5</v>
      </c>
      <c r="F81">
        <v>0</v>
      </c>
      <c r="G81">
        <v>6.7145442007106509E-2</v>
      </c>
      <c r="H81">
        <v>20.160720476000002</v>
      </c>
      <c r="I81">
        <v>37</v>
      </c>
      <c r="J81">
        <v>8040</v>
      </c>
      <c r="K81">
        <v>2</v>
      </c>
      <c r="L81">
        <v>1</v>
      </c>
      <c r="M81">
        <v>1</v>
      </c>
      <c r="N81">
        <v>1</v>
      </c>
      <c r="T81" s="124"/>
      <c r="U81" s="125"/>
      <c r="V81" s="124"/>
      <c r="W81" s="123"/>
      <c r="X81" s="124"/>
      <c r="Y81" s="124"/>
      <c r="Z81" s="124"/>
      <c r="AA81" s="124"/>
      <c r="AB81" s="123"/>
      <c r="AC81" s="123"/>
      <c r="AD81" s="123"/>
      <c r="AE81" s="123"/>
      <c r="AF81" s="123"/>
    </row>
    <row r="82" spans="1:32">
      <c r="A82">
        <v>40</v>
      </c>
      <c r="B82">
        <v>1</v>
      </c>
      <c r="C82">
        <v>278</v>
      </c>
      <c r="D82" s="131">
        <v>0.23187691489847448</v>
      </c>
      <c r="E82">
        <v>7</v>
      </c>
      <c r="F82">
        <v>0</v>
      </c>
      <c r="G82">
        <v>8.6277242317971084E-2</v>
      </c>
      <c r="H82">
        <v>17.250531393999999</v>
      </c>
      <c r="I82">
        <v>38</v>
      </c>
      <c r="J82">
        <v>8040</v>
      </c>
      <c r="K82">
        <v>2</v>
      </c>
      <c r="L82">
        <v>2</v>
      </c>
      <c r="M82">
        <v>2</v>
      </c>
      <c r="N82">
        <v>1</v>
      </c>
      <c r="T82" s="124"/>
      <c r="U82" s="125"/>
      <c r="V82" s="124"/>
      <c r="W82" s="123"/>
      <c r="X82" s="124"/>
      <c r="Y82" s="124"/>
      <c r="Z82" s="124"/>
      <c r="AA82" s="124"/>
      <c r="AB82" s="123"/>
      <c r="AC82" s="123"/>
      <c r="AD82" s="123"/>
      <c r="AE82" s="123"/>
      <c r="AF82" s="123"/>
    </row>
    <row r="83" spans="1:32">
      <c r="A83">
        <v>40</v>
      </c>
      <c r="B83">
        <v>2</v>
      </c>
      <c r="C83">
        <v>142</v>
      </c>
      <c r="D83" s="131">
        <v>0.19907952751533251</v>
      </c>
      <c r="E83">
        <v>5</v>
      </c>
      <c r="F83">
        <v>0</v>
      </c>
      <c r="G83">
        <v>6.7126073342283099E-2</v>
      </c>
      <c r="H83">
        <v>20.09247284199995</v>
      </c>
      <c r="I83">
        <v>38</v>
      </c>
      <c r="J83">
        <v>8040</v>
      </c>
      <c r="K83">
        <v>2</v>
      </c>
      <c r="L83">
        <v>1</v>
      </c>
      <c r="M83">
        <v>1</v>
      </c>
      <c r="N83">
        <v>1</v>
      </c>
      <c r="T83" s="124"/>
      <c r="U83" s="125"/>
      <c r="V83" s="124"/>
      <c r="W83" s="123"/>
      <c r="X83" s="124"/>
      <c r="Y83" s="124"/>
      <c r="Z83" s="124"/>
      <c r="AA83" s="124"/>
      <c r="AB83" s="123"/>
      <c r="AC83" s="123"/>
      <c r="AD83" s="123"/>
      <c r="AE83" s="123"/>
      <c r="AF83" s="123"/>
    </row>
    <row r="84" spans="1:32">
      <c r="A84">
        <v>41</v>
      </c>
      <c r="B84">
        <v>1</v>
      </c>
      <c r="C84">
        <v>1799</v>
      </c>
      <c r="D84" s="131">
        <v>0.22278379563798606</v>
      </c>
      <c r="E84">
        <v>35</v>
      </c>
      <c r="F84">
        <v>0</v>
      </c>
      <c r="G84">
        <v>0.36649575256879507</v>
      </c>
      <c r="H84">
        <v>17.954627214000006</v>
      </c>
      <c r="I84">
        <v>36</v>
      </c>
      <c r="J84">
        <v>8040</v>
      </c>
      <c r="K84">
        <v>1</v>
      </c>
      <c r="L84">
        <v>15</v>
      </c>
      <c r="M84">
        <v>18</v>
      </c>
      <c r="N84">
        <v>1</v>
      </c>
      <c r="T84" s="124"/>
      <c r="U84" s="125"/>
      <c r="V84" s="124"/>
      <c r="W84" s="123"/>
      <c r="X84" s="124"/>
      <c r="Y84" s="124"/>
      <c r="Z84" s="124"/>
      <c r="AA84" s="124"/>
      <c r="AB84" s="123"/>
      <c r="AC84" s="123"/>
      <c r="AD84" s="123"/>
      <c r="AE84" s="123"/>
      <c r="AF84" s="123"/>
    </row>
    <row r="85" spans="1:32">
      <c r="A85">
        <v>41</v>
      </c>
      <c r="B85">
        <v>2</v>
      </c>
      <c r="C85">
        <v>2606</v>
      </c>
      <c r="D85" s="131">
        <v>0.18213472934510883</v>
      </c>
      <c r="E85">
        <v>9</v>
      </c>
      <c r="F85">
        <v>0</v>
      </c>
      <c r="G85">
        <v>0.1076415095893036</v>
      </c>
      <c r="H85">
        <v>21.961764318000007</v>
      </c>
      <c r="I85">
        <v>35</v>
      </c>
      <c r="J85">
        <v>8040</v>
      </c>
      <c r="K85">
        <v>2</v>
      </c>
      <c r="L85">
        <v>2</v>
      </c>
      <c r="M85">
        <v>3</v>
      </c>
      <c r="N85">
        <v>2</v>
      </c>
      <c r="T85" s="124"/>
      <c r="U85" s="125"/>
      <c r="V85" s="124"/>
      <c r="W85" s="123"/>
      <c r="X85" s="124"/>
      <c r="Y85" s="124"/>
      <c r="Z85" s="124"/>
      <c r="AA85" s="124"/>
      <c r="AB85" s="123"/>
      <c r="AC85" s="123"/>
      <c r="AD85" s="123"/>
      <c r="AE85" s="123"/>
      <c r="AF85" s="123"/>
    </row>
    <row r="86" spans="1:32">
      <c r="A86">
        <v>42</v>
      </c>
      <c r="B86">
        <v>1</v>
      </c>
      <c r="C86">
        <v>3692</v>
      </c>
      <c r="D86" s="131">
        <v>0.21021959009468819</v>
      </c>
      <c r="E86">
        <v>17</v>
      </c>
      <c r="F86">
        <v>0</v>
      </c>
      <c r="G86">
        <v>0.18681804867263033</v>
      </c>
      <c r="H86">
        <v>19.027722383999986</v>
      </c>
      <c r="I86">
        <v>36</v>
      </c>
      <c r="J86">
        <v>8040</v>
      </c>
      <c r="K86">
        <v>2</v>
      </c>
      <c r="L86">
        <v>6</v>
      </c>
      <c r="M86">
        <v>6</v>
      </c>
      <c r="N86">
        <v>3</v>
      </c>
      <c r="T86" s="124"/>
      <c r="U86" s="125"/>
      <c r="V86" s="124"/>
      <c r="W86" s="123"/>
      <c r="X86" s="124"/>
      <c r="Y86" s="124"/>
      <c r="Z86" s="124"/>
      <c r="AA86" s="124"/>
      <c r="AB86" s="123"/>
      <c r="AC86" s="123"/>
      <c r="AD86" s="123"/>
      <c r="AE86" s="123"/>
      <c r="AF86" s="123"/>
    </row>
    <row r="87" spans="1:32">
      <c r="A87">
        <v>42</v>
      </c>
      <c r="B87">
        <v>2</v>
      </c>
      <c r="C87">
        <v>1652</v>
      </c>
      <c r="D87" s="131">
        <v>0.17040193327673053</v>
      </c>
      <c r="E87">
        <v>9</v>
      </c>
      <c r="F87">
        <v>0</v>
      </c>
      <c r="G87">
        <v>0.108037450852766</v>
      </c>
      <c r="H87">
        <v>23.473912080000005</v>
      </c>
      <c r="I87">
        <v>35</v>
      </c>
      <c r="J87">
        <v>8040</v>
      </c>
      <c r="K87">
        <v>1</v>
      </c>
      <c r="L87">
        <v>3</v>
      </c>
      <c r="M87">
        <v>4</v>
      </c>
      <c r="N87">
        <v>1</v>
      </c>
      <c r="T87" s="124"/>
      <c r="U87" s="125"/>
      <c r="V87" s="124"/>
      <c r="W87" s="123"/>
      <c r="X87" s="124"/>
      <c r="Y87" s="124"/>
      <c r="Z87" s="124"/>
      <c r="AA87" s="124"/>
      <c r="AB87" s="123"/>
      <c r="AC87" s="123"/>
      <c r="AD87" s="123"/>
      <c r="AE87" s="123"/>
      <c r="AF87" s="123"/>
    </row>
    <row r="88" spans="1:32">
      <c r="A88">
        <v>43</v>
      </c>
      <c r="B88">
        <v>1</v>
      </c>
      <c r="C88">
        <v>2756</v>
      </c>
      <c r="D88" s="131">
        <v>0.23851786070869746</v>
      </c>
      <c r="E88">
        <v>34</v>
      </c>
      <c r="F88">
        <v>0</v>
      </c>
      <c r="G88">
        <v>0.35612475154107082</v>
      </c>
      <c r="H88">
        <v>16.77023258599997</v>
      </c>
      <c r="I88">
        <v>39</v>
      </c>
      <c r="J88">
        <v>8040</v>
      </c>
      <c r="K88">
        <v>4</v>
      </c>
      <c r="L88">
        <v>9</v>
      </c>
      <c r="M88">
        <v>20</v>
      </c>
      <c r="N88">
        <v>1</v>
      </c>
      <c r="T88" s="124"/>
      <c r="U88" s="125"/>
      <c r="V88" s="124"/>
      <c r="W88" s="123"/>
      <c r="X88" s="124"/>
      <c r="Y88" s="124"/>
      <c r="Z88" s="124"/>
      <c r="AA88" s="124"/>
      <c r="AB88" s="123"/>
      <c r="AC88" s="123"/>
      <c r="AD88" s="123"/>
      <c r="AE88" s="123"/>
      <c r="AF88" s="123"/>
    </row>
    <row r="89" spans="1:32">
      <c r="A89">
        <v>43</v>
      </c>
      <c r="B89">
        <v>2</v>
      </c>
      <c r="C89">
        <v>1647</v>
      </c>
      <c r="D89" s="131">
        <v>0.19225257680288543</v>
      </c>
      <c r="E89">
        <v>10</v>
      </c>
      <c r="F89">
        <v>0</v>
      </c>
      <c r="G89">
        <v>0.11732643752091651</v>
      </c>
      <c r="H89">
        <v>20.805963002000013</v>
      </c>
      <c r="I89">
        <v>33</v>
      </c>
      <c r="J89">
        <v>8040</v>
      </c>
      <c r="K89">
        <v>1</v>
      </c>
      <c r="L89">
        <v>4</v>
      </c>
      <c r="M89">
        <v>3</v>
      </c>
      <c r="N89">
        <v>2</v>
      </c>
      <c r="T89" s="124"/>
      <c r="U89" s="125"/>
      <c r="V89" s="124"/>
      <c r="W89" s="123"/>
      <c r="X89" s="124"/>
      <c r="Y89" s="124"/>
      <c r="Z89" s="124"/>
      <c r="AA89" s="124"/>
      <c r="AB89" s="123"/>
      <c r="AC89" s="123"/>
      <c r="AD89" s="123"/>
      <c r="AE89" s="123"/>
      <c r="AF89" s="123"/>
    </row>
    <row r="90" spans="1:32">
      <c r="A90">
        <v>44</v>
      </c>
      <c r="B90">
        <v>1</v>
      </c>
      <c r="C90">
        <v>3167</v>
      </c>
      <c r="D90" s="131">
        <v>0.22033051312953555</v>
      </c>
      <c r="E90">
        <v>16</v>
      </c>
      <c r="F90">
        <v>0</v>
      </c>
      <c r="G90">
        <v>0.17655675102433352</v>
      </c>
      <c r="H90">
        <v>18.154544021999989</v>
      </c>
      <c r="I90">
        <v>36</v>
      </c>
      <c r="J90">
        <v>8040</v>
      </c>
      <c r="K90">
        <v>2</v>
      </c>
      <c r="L90">
        <v>6</v>
      </c>
      <c r="M90">
        <v>6</v>
      </c>
      <c r="N90">
        <v>2</v>
      </c>
      <c r="T90" s="124"/>
      <c r="U90" s="125"/>
      <c r="V90" s="124"/>
      <c r="W90" s="123"/>
      <c r="X90" s="124"/>
      <c r="Y90" s="124"/>
      <c r="Z90" s="124"/>
      <c r="AA90" s="124"/>
      <c r="AB90" s="123"/>
      <c r="AC90" s="123"/>
      <c r="AD90" s="123"/>
      <c r="AE90" s="123"/>
      <c r="AF90" s="123"/>
    </row>
    <row r="91" spans="1:32">
      <c r="A91">
        <v>44</v>
      </c>
      <c r="B91">
        <v>2</v>
      </c>
      <c r="C91">
        <v>1476</v>
      </c>
      <c r="D91" s="131">
        <v>0.17157427595579447</v>
      </c>
      <c r="E91">
        <v>8</v>
      </c>
      <c r="F91">
        <v>0</v>
      </c>
      <c r="G91">
        <v>9.799627447845484E-2</v>
      </c>
      <c r="H91">
        <v>23.313518169999952</v>
      </c>
      <c r="I91">
        <v>36</v>
      </c>
      <c r="J91">
        <v>8040</v>
      </c>
      <c r="K91">
        <v>1</v>
      </c>
      <c r="L91">
        <v>3</v>
      </c>
      <c r="M91">
        <v>3</v>
      </c>
      <c r="N91">
        <v>1</v>
      </c>
      <c r="T91" s="124"/>
      <c r="U91" s="125"/>
      <c r="V91" s="124"/>
      <c r="W91" s="123"/>
      <c r="X91" s="124"/>
      <c r="Y91" s="124"/>
      <c r="Z91" s="124"/>
      <c r="AA91" s="124"/>
      <c r="AB91" s="123"/>
      <c r="AC91" s="123"/>
      <c r="AD91" s="123"/>
      <c r="AE91" s="123"/>
      <c r="AF91" s="123"/>
    </row>
    <row r="92" spans="1:32">
      <c r="A92">
        <v>45</v>
      </c>
      <c r="B92">
        <v>1</v>
      </c>
      <c r="C92">
        <v>2078</v>
      </c>
      <c r="D92" s="131">
        <v>0.23455735951447187</v>
      </c>
      <c r="E92">
        <v>21</v>
      </c>
      <c r="F92">
        <v>0</v>
      </c>
      <c r="G92">
        <v>0.22621500095796829</v>
      </c>
      <c r="H92">
        <v>17.053397976000003</v>
      </c>
      <c r="I92">
        <v>36</v>
      </c>
      <c r="J92">
        <v>8040</v>
      </c>
      <c r="K92">
        <v>3</v>
      </c>
      <c r="L92">
        <v>7</v>
      </c>
      <c r="M92">
        <v>8</v>
      </c>
      <c r="N92">
        <v>3</v>
      </c>
      <c r="T92" s="124"/>
      <c r="U92" s="125"/>
      <c r="V92" s="124"/>
      <c r="W92" s="123"/>
      <c r="X92" s="124"/>
      <c r="Y92" s="124"/>
      <c r="Z92" s="124"/>
      <c r="AA92" s="124"/>
      <c r="AB92" s="123"/>
      <c r="AC92" s="123"/>
      <c r="AD92" s="123"/>
      <c r="AE92" s="123"/>
      <c r="AF92" s="123"/>
    </row>
    <row r="93" spans="1:32">
      <c r="A93">
        <v>45</v>
      </c>
      <c r="B93">
        <v>2</v>
      </c>
      <c r="C93">
        <v>1464</v>
      </c>
      <c r="D93" s="131">
        <v>0.18334179017966509</v>
      </c>
      <c r="E93">
        <v>10</v>
      </c>
      <c r="F93">
        <v>0</v>
      </c>
      <c r="G93">
        <v>0.11760270905430251</v>
      </c>
      <c r="H93">
        <v>21.817175429999974</v>
      </c>
      <c r="I93">
        <v>37</v>
      </c>
      <c r="J93">
        <v>8040</v>
      </c>
      <c r="K93">
        <v>1</v>
      </c>
      <c r="L93">
        <v>4</v>
      </c>
      <c r="M93">
        <v>4</v>
      </c>
      <c r="N93">
        <v>1</v>
      </c>
      <c r="T93" s="124"/>
      <c r="U93" s="125"/>
      <c r="V93" s="124"/>
      <c r="W93" s="123"/>
      <c r="X93" s="124"/>
      <c r="Y93" s="124"/>
      <c r="Z93" s="124"/>
      <c r="AA93" s="124"/>
      <c r="AB93" s="123"/>
      <c r="AC93" s="123"/>
      <c r="AD93" s="123"/>
      <c r="AE93" s="123"/>
      <c r="AF93" s="123"/>
    </row>
    <row r="94" spans="1:32">
      <c r="A94">
        <v>46</v>
      </c>
      <c r="B94">
        <v>1</v>
      </c>
      <c r="C94">
        <v>2687</v>
      </c>
      <c r="D94" s="131">
        <v>0.22366126126230873</v>
      </c>
      <c r="E94">
        <v>25</v>
      </c>
      <c r="F94">
        <v>0</v>
      </c>
      <c r="G94">
        <v>0.26647415230628352</v>
      </c>
      <c r="H94">
        <v>17.884187800000024</v>
      </c>
      <c r="I94">
        <v>36</v>
      </c>
      <c r="J94">
        <v>8040</v>
      </c>
      <c r="K94">
        <v>3</v>
      </c>
      <c r="L94">
        <v>8</v>
      </c>
      <c r="M94">
        <v>12</v>
      </c>
      <c r="N94">
        <v>2</v>
      </c>
      <c r="T94" s="124"/>
      <c r="U94" s="125"/>
      <c r="V94" s="124"/>
      <c r="W94" s="123"/>
      <c r="X94" s="124"/>
      <c r="Y94" s="124"/>
      <c r="Z94" s="124"/>
      <c r="AA94" s="124"/>
      <c r="AB94" s="123"/>
      <c r="AC94" s="123"/>
      <c r="AD94" s="123"/>
      <c r="AE94" s="123"/>
      <c r="AF94" s="123"/>
    </row>
    <row r="95" spans="1:32">
      <c r="A95">
        <v>46</v>
      </c>
      <c r="B95">
        <v>2</v>
      </c>
      <c r="C95">
        <v>1821</v>
      </c>
      <c r="D95" s="131">
        <v>0.1697958680412377</v>
      </c>
      <c r="E95">
        <v>9</v>
      </c>
      <c r="F95">
        <v>0</v>
      </c>
      <c r="G95">
        <v>0.108058886181951</v>
      </c>
      <c r="H95">
        <v>23.557699290000006</v>
      </c>
      <c r="I95">
        <v>36</v>
      </c>
      <c r="J95">
        <v>8040</v>
      </c>
      <c r="K95">
        <v>1</v>
      </c>
      <c r="L95">
        <v>3</v>
      </c>
      <c r="M95">
        <v>4</v>
      </c>
      <c r="N95">
        <v>1</v>
      </c>
      <c r="T95" s="124"/>
      <c r="U95" s="125"/>
      <c r="V95" s="124"/>
      <c r="W95" s="123"/>
      <c r="X95" s="124"/>
      <c r="Y95" s="124"/>
      <c r="Z95" s="124"/>
      <c r="AA95" s="124"/>
      <c r="AB95" s="123"/>
      <c r="AC95" s="123"/>
      <c r="AD95" s="123"/>
      <c r="AE95" s="123"/>
      <c r="AF95" s="123"/>
    </row>
    <row r="96" spans="1:32">
      <c r="A96">
        <v>47</v>
      </c>
      <c r="B96">
        <v>1</v>
      </c>
      <c r="C96">
        <v>2587</v>
      </c>
      <c r="D96" s="131">
        <v>0.22385223197192761</v>
      </c>
      <c r="E96">
        <v>15</v>
      </c>
      <c r="F96">
        <v>0</v>
      </c>
      <c r="G96">
        <v>0.1664694662155167</v>
      </c>
      <c r="H96">
        <v>17.86893061000001</v>
      </c>
      <c r="I96">
        <v>36</v>
      </c>
      <c r="J96">
        <v>8040</v>
      </c>
      <c r="K96">
        <v>3</v>
      </c>
      <c r="L96">
        <v>5</v>
      </c>
      <c r="M96">
        <v>5</v>
      </c>
      <c r="N96">
        <v>2</v>
      </c>
      <c r="T96" s="124"/>
      <c r="U96" s="125"/>
      <c r="V96" s="124"/>
      <c r="W96" s="123"/>
      <c r="X96" s="124"/>
      <c r="Y96" s="124"/>
      <c r="Z96" s="124"/>
      <c r="AA96" s="124"/>
      <c r="AB96" s="123"/>
      <c r="AC96" s="123"/>
      <c r="AD96" s="123"/>
      <c r="AE96" s="123"/>
      <c r="AF96" s="123"/>
    </row>
    <row r="97" spans="1:32">
      <c r="A97">
        <v>47</v>
      </c>
      <c r="B97">
        <v>2</v>
      </c>
      <c r="C97">
        <v>1679</v>
      </c>
      <c r="D97" s="131">
        <v>0.17884914456498824</v>
      </c>
      <c r="E97">
        <v>8</v>
      </c>
      <c r="F97">
        <v>0</v>
      </c>
      <c r="G97">
        <v>9.7748883722698313E-2</v>
      </c>
      <c r="H97">
        <v>22.365217400000052</v>
      </c>
      <c r="I97">
        <v>36</v>
      </c>
      <c r="J97">
        <v>8040</v>
      </c>
      <c r="K97">
        <v>1</v>
      </c>
      <c r="L97">
        <v>3</v>
      </c>
      <c r="M97">
        <v>3</v>
      </c>
      <c r="N97">
        <v>1</v>
      </c>
      <c r="T97" s="124"/>
      <c r="U97" s="125"/>
      <c r="V97" s="124"/>
      <c r="W97" s="123"/>
      <c r="X97" s="124"/>
      <c r="Y97" s="124"/>
      <c r="Z97" s="124"/>
      <c r="AA97" s="124"/>
      <c r="AB97" s="123"/>
      <c r="AC97" s="123"/>
      <c r="AD97" s="123"/>
      <c r="AE97" s="123"/>
      <c r="AF97" s="123"/>
    </row>
    <row r="98" spans="1:32">
      <c r="A98">
        <v>48</v>
      </c>
      <c r="B98">
        <v>1</v>
      </c>
      <c r="C98">
        <v>2219</v>
      </c>
      <c r="D98" s="131">
        <v>0.21864973118264033</v>
      </c>
      <c r="E98">
        <v>19</v>
      </c>
      <c r="F98">
        <v>0</v>
      </c>
      <c r="G98">
        <v>0.20659906723601926</v>
      </c>
      <c r="H98">
        <v>18.294099784000007</v>
      </c>
      <c r="I98">
        <v>38</v>
      </c>
      <c r="J98">
        <v>8040</v>
      </c>
      <c r="K98">
        <v>2</v>
      </c>
      <c r="L98">
        <v>6</v>
      </c>
      <c r="M98">
        <v>10</v>
      </c>
      <c r="N98">
        <v>1</v>
      </c>
      <c r="T98" s="124"/>
      <c r="U98" s="125"/>
      <c r="V98" s="124"/>
      <c r="W98" s="123"/>
      <c r="X98" s="124"/>
      <c r="Y98" s="124"/>
      <c r="Z98" s="124"/>
      <c r="AA98" s="124"/>
      <c r="AB98" s="123"/>
      <c r="AC98" s="123"/>
      <c r="AD98" s="123"/>
      <c r="AE98" s="123"/>
      <c r="AF98" s="123"/>
    </row>
    <row r="99" spans="1:32">
      <c r="A99">
        <v>48</v>
      </c>
      <c r="B99">
        <v>2</v>
      </c>
      <c r="C99">
        <v>1842</v>
      </c>
      <c r="D99" s="131">
        <v>0.1781603268781278</v>
      </c>
      <c r="E99">
        <v>8</v>
      </c>
      <c r="F99">
        <v>0</v>
      </c>
      <c r="G99">
        <v>9.77717283573587E-2</v>
      </c>
      <c r="H99">
        <v>22.45168758999997</v>
      </c>
      <c r="I99">
        <v>36</v>
      </c>
      <c r="J99">
        <v>8040</v>
      </c>
      <c r="K99">
        <v>1</v>
      </c>
      <c r="L99">
        <v>3</v>
      </c>
      <c r="M99">
        <v>3</v>
      </c>
      <c r="N99">
        <v>1</v>
      </c>
      <c r="T99" s="124"/>
      <c r="U99" s="125"/>
      <c r="V99" s="124"/>
      <c r="W99" s="123"/>
      <c r="X99" s="124"/>
      <c r="Y99" s="124"/>
      <c r="Z99" s="124"/>
      <c r="AA99" s="124"/>
      <c r="AB99" s="123"/>
      <c r="AC99" s="123"/>
      <c r="AD99" s="123"/>
      <c r="AE99" s="123"/>
      <c r="AF99" s="123"/>
    </row>
    <row r="100" spans="1:32">
      <c r="A100">
        <v>49</v>
      </c>
      <c r="B100">
        <v>1</v>
      </c>
      <c r="C100">
        <v>2350</v>
      </c>
      <c r="D100" s="131">
        <v>0.22785225547679683</v>
      </c>
      <c r="E100">
        <v>20</v>
      </c>
      <c r="F100">
        <v>0</v>
      </c>
      <c r="G100">
        <v>0.21637252099511747</v>
      </c>
      <c r="H100">
        <v>17.555235482000032</v>
      </c>
      <c r="I100">
        <v>39</v>
      </c>
      <c r="J100">
        <v>8040</v>
      </c>
      <c r="K100">
        <v>3</v>
      </c>
      <c r="L100">
        <v>5</v>
      </c>
      <c r="M100">
        <v>11</v>
      </c>
      <c r="N100">
        <v>1</v>
      </c>
      <c r="T100" s="124"/>
      <c r="U100" s="125"/>
      <c r="V100" s="124"/>
      <c r="W100" s="123"/>
      <c r="X100" s="124"/>
      <c r="Y100" s="124"/>
      <c r="Z100" s="124"/>
      <c r="AA100" s="124"/>
      <c r="AB100" s="123"/>
      <c r="AC100" s="123"/>
      <c r="AD100" s="123"/>
      <c r="AE100" s="123"/>
      <c r="AF100" s="123"/>
    </row>
    <row r="101" spans="1:32">
      <c r="A101">
        <v>49</v>
      </c>
      <c r="B101">
        <v>2</v>
      </c>
      <c r="C101">
        <v>1508</v>
      </c>
      <c r="D101" s="131">
        <v>0.18399148197745191</v>
      </c>
      <c r="E101">
        <v>9</v>
      </c>
      <c r="F101">
        <v>0</v>
      </c>
      <c r="G101">
        <v>0.10758196566086795</v>
      </c>
      <c r="H101">
        <v>21.740136864000032</v>
      </c>
      <c r="I101">
        <v>37</v>
      </c>
      <c r="J101">
        <v>8040</v>
      </c>
      <c r="K101">
        <v>1</v>
      </c>
      <c r="L101">
        <v>3</v>
      </c>
      <c r="M101">
        <v>4</v>
      </c>
      <c r="N101">
        <v>1</v>
      </c>
      <c r="T101" s="124"/>
      <c r="U101" s="125"/>
      <c r="V101" s="124"/>
      <c r="W101" s="123"/>
      <c r="X101" s="124"/>
      <c r="Y101" s="124"/>
      <c r="Z101" s="124"/>
      <c r="AA101" s="124"/>
      <c r="AB101" s="123"/>
      <c r="AC101" s="123"/>
      <c r="AD101" s="123"/>
      <c r="AE101" s="123"/>
      <c r="AF101" s="123"/>
    </row>
    <row r="102" spans="1:32">
      <c r="A102">
        <v>50</v>
      </c>
      <c r="B102">
        <v>1</v>
      </c>
      <c r="C102">
        <v>3727</v>
      </c>
      <c r="D102" s="131">
        <v>0.23912773549053548</v>
      </c>
      <c r="E102">
        <v>25</v>
      </c>
      <c r="F102">
        <v>0</v>
      </c>
      <c r="G102">
        <v>0.26611103160529487</v>
      </c>
      <c r="H102">
        <v>16.727461546000036</v>
      </c>
      <c r="I102">
        <v>36</v>
      </c>
      <c r="J102">
        <v>8040</v>
      </c>
      <c r="K102">
        <v>5</v>
      </c>
      <c r="L102">
        <v>8</v>
      </c>
      <c r="M102">
        <v>9</v>
      </c>
      <c r="N102">
        <v>3</v>
      </c>
      <c r="T102" s="124"/>
      <c r="U102" s="125"/>
      <c r="V102" s="124"/>
      <c r="W102" s="123"/>
      <c r="X102" s="124"/>
      <c r="Y102" s="124"/>
      <c r="Z102" s="124"/>
      <c r="AA102" s="124"/>
      <c r="AB102" s="123"/>
      <c r="AC102" s="123"/>
      <c r="AD102" s="123"/>
      <c r="AE102" s="123"/>
      <c r="AF102" s="123"/>
    </row>
    <row r="103" spans="1:32">
      <c r="A103">
        <v>50</v>
      </c>
      <c r="B103">
        <v>2</v>
      </c>
      <c r="C103">
        <v>1828</v>
      </c>
      <c r="D103" s="131">
        <v>0.18087165743125744</v>
      </c>
      <c r="E103">
        <v>9</v>
      </c>
      <c r="F103">
        <v>0</v>
      </c>
      <c r="G103">
        <v>0.10768247939042409</v>
      </c>
      <c r="H103">
        <v>22.115128798000043</v>
      </c>
      <c r="I103">
        <v>36</v>
      </c>
      <c r="J103">
        <v>8040</v>
      </c>
      <c r="K103">
        <v>1</v>
      </c>
      <c r="L103">
        <v>3</v>
      </c>
      <c r="M103">
        <v>4</v>
      </c>
      <c r="N103">
        <v>1</v>
      </c>
      <c r="T103" s="124"/>
      <c r="U103" s="125"/>
      <c r="V103" s="124"/>
      <c r="W103" s="123"/>
      <c r="X103" s="124"/>
      <c r="Y103" s="124"/>
      <c r="Z103" s="124"/>
      <c r="AA103" s="124"/>
      <c r="AB103" s="123"/>
      <c r="AC103" s="123"/>
      <c r="AD103" s="123"/>
      <c r="AE103" s="123"/>
      <c r="AF103" s="123"/>
    </row>
    <row r="104" spans="1:32">
      <c r="A104">
        <v>51</v>
      </c>
      <c r="B104">
        <v>1</v>
      </c>
      <c r="C104">
        <v>1926</v>
      </c>
      <c r="D104" s="131">
        <v>0.22875678138097805</v>
      </c>
      <c r="E104">
        <v>8</v>
      </c>
      <c r="F104">
        <v>0</v>
      </c>
      <c r="G104">
        <v>9.6350912992251375E-2</v>
      </c>
      <c r="H104">
        <v>17.485820423999961</v>
      </c>
      <c r="I104">
        <v>33</v>
      </c>
      <c r="J104">
        <v>8040</v>
      </c>
      <c r="K104">
        <v>1</v>
      </c>
      <c r="L104">
        <v>3</v>
      </c>
      <c r="M104">
        <v>2</v>
      </c>
      <c r="N104">
        <v>2</v>
      </c>
      <c r="T104" s="124"/>
      <c r="U104" s="125"/>
      <c r="V104" s="124"/>
      <c r="W104" s="123"/>
      <c r="X104" s="124"/>
      <c r="Y104" s="124"/>
      <c r="Z104" s="124"/>
      <c r="AA104" s="124"/>
      <c r="AB104" s="123"/>
      <c r="AC104" s="123"/>
      <c r="AD104" s="123"/>
      <c r="AE104" s="123"/>
      <c r="AF104" s="123"/>
    </row>
    <row r="105" spans="1:32">
      <c r="A105">
        <v>51</v>
      </c>
      <c r="B105">
        <v>2</v>
      </c>
      <c r="C105">
        <v>1884</v>
      </c>
      <c r="D105" s="131">
        <v>0.20955195349072714</v>
      </c>
      <c r="E105">
        <v>6</v>
      </c>
      <c r="F105">
        <v>0</v>
      </c>
      <c r="G105">
        <v>7.6835890614610089E-2</v>
      </c>
      <c r="H105">
        <v>19.088345077999971</v>
      </c>
      <c r="I105">
        <v>37</v>
      </c>
      <c r="J105">
        <v>8040</v>
      </c>
      <c r="K105">
        <v>1</v>
      </c>
      <c r="L105">
        <v>2</v>
      </c>
      <c r="M105">
        <v>2</v>
      </c>
      <c r="N105">
        <v>1</v>
      </c>
      <c r="T105" s="124"/>
      <c r="U105" s="125"/>
      <c r="V105" s="124"/>
      <c r="W105" s="123"/>
      <c r="X105" s="124"/>
      <c r="Y105" s="124"/>
      <c r="Z105" s="124"/>
      <c r="AA105" s="124"/>
      <c r="AB105" s="123"/>
      <c r="AC105" s="123"/>
      <c r="AD105" s="123"/>
      <c r="AE105" s="123"/>
      <c r="AF105" s="123"/>
    </row>
    <row r="106" spans="1:32">
      <c r="A106">
        <v>52</v>
      </c>
      <c r="B106">
        <v>1</v>
      </c>
      <c r="C106">
        <v>2862</v>
      </c>
      <c r="D106" s="131">
        <v>0.2352225547822879</v>
      </c>
      <c r="E106">
        <v>8</v>
      </c>
      <c r="F106">
        <v>0</v>
      </c>
      <c r="G106">
        <v>9.6199701510402316E-2</v>
      </c>
      <c r="H106">
        <v>17.005171989999987</v>
      </c>
      <c r="I106">
        <v>36</v>
      </c>
      <c r="J106">
        <v>8040</v>
      </c>
      <c r="K106">
        <v>2</v>
      </c>
      <c r="L106">
        <v>2</v>
      </c>
      <c r="M106">
        <v>2</v>
      </c>
      <c r="N106">
        <v>2</v>
      </c>
      <c r="T106" s="124"/>
      <c r="U106" s="125"/>
      <c r="V106" s="124"/>
      <c r="W106" s="123"/>
      <c r="X106" s="124"/>
      <c r="Y106" s="124"/>
      <c r="Z106" s="124"/>
      <c r="AA106" s="124"/>
      <c r="AB106" s="123"/>
      <c r="AC106" s="123"/>
      <c r="AD106" s="123"/>
      <c r="AE106" s="123"/>
      <c r="AF106" s="123"/>
    </row>
    <row r="107" spans="1:32">
      <c r="A107">
        <v>52</v>
      </c>
      <c r="B107">
        <v>2</v>
      </c>
      <c r="C107">
        <v>1491</v>
      </c>
      <c r="D107" s="131">
        <v>0.21021181598860336</v>
      </c>
      <c r="E107">
        <v>6</v>
      </c>
      <c r="F107">
        <v>0</v>
      </c>
      <c r="G107">
        <v>7.6818255993172199E-2</v>
      </c>
      <c r="H107">
        <v>19.028426071999966</v>
      </c>
      <c r="I107">
        <v>36</v>
      </c>
      <c r="J107">
        <v>8040</v>
      </c>
      <c r="K107">
        <v>1</v>
      </c>
      <c r="L107">
        <v>2</v>
      </c>
      <c r="M107">
        <v>2</v>
      </c>
      <c r="N107">
        <v>1</v>
      </c>
      <c r="T107" s="124"/>
      <c r="U107" s="125"/>
      <c r="V107" s="124"/>
      <c r="W107" s="123"/>
      <c r="X107" s="124"/>
      <c r="Y107" s="124"/>
      <c r="Z107" s="124"/>
      <c r="AA107" s="124"/>
      <c r="AB107" s="123"/>
      <c r="AC107" s="123"/>
      <c r="AD107" s="123"/>
      <c r="AE107" s="123"/>
      <c r="AF107" s="123"/>
    </row>
    <row r="108" spans="1:32">
      <c r="A108">
        <v>53</v>
      </c>
      <c r="B108">
        <v>1</v>
      </c>
      <c r="C108">
        <v>2447</v>
      </c>
      <c r="D108" s="131">
        <v>0.23799047196958642</v>
      </c>
      <c r="E108">
        <v>8</v>
      </c>
      <c r="F108">
        <v>0</v>
      </c>
      <c r="G108">
        <v>9.6136653612027528E-2</v>
      </c>
      <c r="H108">
        <v>16.807395551999967</v>
      </c>
      <c r="I108">
        <v>36</v>
      </c>
      <c r="J108">
        <v>8040</v>
      </c>
      <c r="K108">
        <v>2</v>
      </c>
      <c r="L108">
        <v>2</v>
      </c>
      <c r="M108">
        <v>2</v>
      </c>
      <c r="N108">
        <v>2</v>
      </c>
      <c r="T108" s="124"/>
      <c r="U108" s="125"/>
      <c r="V108" s="124"/>
      <c r="W108" s="123"/>
      <c r="X108" s="124"/>
      <c r="Y108" s="124"/>
      <c r="Z108" s="124"/>
      <c r="AA108" s="124"/>
      <c r="AB108" s="123"/>
      <c r="AC108" s="123"/>
      <c r="AD108" s="123"/>
      <c r="AE108" s="123"/>
      <c r="AF108" s="123"/>
    </row>
    <row r="109" spans="1:32">
      <c r="A109">
        <v>53</v>
      </c>
      <c r="B109">
        <v>2</v>
      </c>
      <c r="C109">
        <v>1862</v>
      </c>
      <c r="D109" s="131">
        <v>0.21034698988798295</v>
      </c>
      <c r="E109">
        <v>6</v>
      </c>
      <c r="F109">
        <v>0</v>
      </c>
      <c r="G109">
        <v>7.6814652619533519E-2</v>
      </c>
      <c r="H109">
        <v>19.016197959999989</v>
      </c>
      <c r="I109">
        <v>36</v>
      </c>
      <c r="J109">
        <v>8040</v>
      </c>
      <c r="K109">
        <v>1</v>
      </c>
      <c r="L109">
        <v>2</v>
      </c>
      <c r="M109">
        <v>2</v>
      </c>
      <c r="N109">
        <v>1</v>
      </c>
      <c r="T109" s="124"/>
      <c r="U109" s="125"/>
      <c r="V109" s="124"/>
      <c r="W109" s="123"/>
      <c r="X109" s="124"/>
      <c r="Y109" s="124"/>
      <c r="Z109" s="124"/>
      <c r="AA109" s="124"/>
      <c r="AB109" s="123"/>
      <c r="AC109" s="123"/>
      <c r="AD109" s="123"/>
      <c r="AE109" s="123"/>
      <c r="AF109" s="123"/>
    </row>
    <row r="110" spans="1:32">
      <c r="A110">
        <v>54</v>
      </c>
      <c r="B110">
        <v>1</v>
      </c>
      <c r="C110">
        <v>1762</v>
      </c>
      <c r="D110" s="131">
        <v>0.22340124997105529</v>
      </c>
      <c r="E110">
        <v>8</v>
      </c>
      <c r="F110">
        <v>0</v>
      </c>
      <c r="G110">
        <v>9.6480541116970533E-2</v>
      </c>
      <c r="H110">
        <v>17.905002771999957</v>
      </c>
      <c r="I110">
        <v>37</v>
      </c>
      <c r="J110">
        <v>8040</v>
      </c>
      <c r="K110">
        <v>1</v>
      </c>
      <c r="L110">
        <v>3</v>
      </c>
      <c r="M110">
        <v>3</v>
      </c>
      <c r="N110">
        <v>1</v>
      </c>
      <c r="T110" s="124"/>
      <c r="U110" s="125"/>
      <c r="V110" s="124"/>
      <c r="W110" s="123"/>
      <c r="X110" s="124"/>
      <c r="Y110" s="124"/>
      <c r="Z110" s="124"/>
      <c r="AA110" s="124"/>
      <c r="AB110" s="123"/>
      <c r="AC110" s="123"/>
      <c r="AD110" s="123"/>
      <c r="AE110" s="123"/>
      <c r="AF110" s="123"/>
    </row>
    <row r="111" spans="1:32">
      <c r="A111">
        <v>54</v>
      </c>
      <c r="B111">
        <v>2</v>
      </c>
      <c r="C111">
        <v>1706</v>
      </c>
      <c r="D111" s="131">
        <v>0.20729752852015443</v>
      </c>
      <c r="E111">
        <v>6</v>
      </c>
      <c r="F111">
        <v>0</v>
      </c>
      <c r="G111">
        <v>7.6896702540483655E-2</v>
      </c>
      <c r="H111">
        <v>19.295936755999971</v>
      </c>
      <c r="I111">
        <v>36</v>
      </c>
      <c r="J111">
        <v>8040</v>
      </c>
      <c r="K111">
        <v>1</v>
      </c>
      <c r="L111">
        <v>2</v>
      </c>
      <c r="M111">
        <v>2</v>
      </c>
      <c r="N111">
        <v>1</v>
      </c>
      <c r="T111" s="124"/>
      <c r="U111" s="125"/>
      <c r="V111" s="124"/>
      <c r="W111" s="123"/>
      <c r="X111" s="124"/>
      <c r="Y111" s="124"/>
      <c r="Z111" s="124"/>
      <c r="AA111" s="124"/>
      <c r="AB111" s="123"/>
      <c r="AC111" s="123"/>
      <c r="AD111" s="123"/>
      <c r="AE111" s="123"/>
      <c r="AF111" s="123"/>
    </row>
    <row r="112" spans="1:32">
      <c r="A112">
        <v>55</v>
      </c>
      <c r="B112">
        <v>1</v>
      </c>
      <c r="C112">
        <v>1512</v>
      </c>
      <c r="D112" s="131">
        <v>0.23264774427347623</v>
      </c>
      <c r="E112">
        <v>9</v>
      </c>
      <c r="F112">
        <v>0</v>
      </c>
      <c r="G112">
        <v>0.10625924535381723</v>
      </c>
      <c r="H112">
        <v>17.193375385999964</v>
      </c>
      <c r="I112">
        <v>36</v>
      </c>
      <c r="J112">
        <v>8040</v>
      </c>
      <c r="K112">
        <v>1</v>
      </c>
      <c r="L112">
        <v>4</v>
      </c>
      <c r="M112">
        <v>3</v>
      </c>
      <c r="N112">
        <v>1</v>
      </c>
      <c r="T112" s="124"/>
      <c r="U112" s="125"/>
      <c r="V112" s="124"/>
      <c r="W112" s="123"/>
      <c r="X112" s="124"/>
      <c r="Y112" s="124"/>
      <c r="Z112" s="124"/>
      <c r="AA112" s="124"/>
      <c r="AB112" s="123"/>
      <c r="AC112" s="123"/>
      <c r="AD112" s="123"/>
      <c r="AE112" s="123"/>
      <c r="AF112" s="123"/>
    </row>
    <row r="113" spans="1:32">
      <c r="A113">
        <v>55</v>
      </c>
      <c r="B113">
        <v>2</v>
      </c>
      <c r="C113">
        <v>1747</v>
      </c>
      <c r="D113" s="131">
        <v>0.21236227066419056</v>
      </c>
      <c r="E113">
        <v>6</v>
      </c>
      <c r="F113">
        <v>0</v>
      </c>
      <c r="G113">
        <v>7.6761294104202182E-2</v>
      </c>
      <c r="H113">
        <v>18.835737569999985</v>
      </c>
      <c r="I113">
        <v>37</v>
      </c>
      <c r="J113">
        <v>8040</v>
      </c>
      <c r="K113">
        <v>1</v>
      </c>
      <c r="L113">
        <v>2</v>
      </c>
      <c r="M113">
        <v>2</v>
      </c>
      <c r="N113">
        <v>1</v>
      </c>
      <c r="T113" s="124"/>
      <c r="U113" s="125"/>
      <c r="V113" s="124"/>
      <c r="W113" s="123"/>
      <c r="X113" s="124"/>
      <c r="Y113" s="124"/>
      <c r="Z113" s="124"/>
      <c r="AA113" s="124"/>
      <c r="AB113" s="123"/>
      <c r="AC113" s="123"/>
      <c r="AD113" s="123"/>
      <c r="AE113" s="123"/>
      <c r="AF113" s="123"/>
    </row>
    <row r="114" spans="1:32">
      <c r="A114">
        <v>56</v>
      </c>
      <c r="B114">
        <v>1</v>
      </c>
      <c r="C114">
        <v>2608</v>
      </c>
      <c r="D114" s="131">
        <v>0.23671293919129663</v>
      </c>
      <c r="E114">
        <v>8</v>
      </c>
      <c r="F114">
        <v>0</v>
      </c>
      <c r="G114">
        <v>9.6165631225756207E-2</v>
      </c>
      <c r="H114">
        <v>16.898104571999969</v>
      </c>
      <c r="I114">
        <v>37</v>
      </c>
      <c r="J114">
        <v>8040</v>
      </c>
      <c r="K114">
        <v>2</v>
      </c>
      <c r="L114">
        <v>2</v>
      </c>
      <c r="M114">
        <v>2</v>
      </c>
      <c r="N114">
        <v>2</v>
      </c>
      <c r="T114" s="124"/>
      <c r="U114" s="125"/>
      <c r="V114" s="124"/>
      <c r="W114" s="123"/>
      <c r="X114" s="124"/>
      <c r="Y114" s="124"/>
      <c r="Z114" s="124"/>
      <c r="AA114" s="124"/>
      <c r="AB114" s="123"/>
      <c r="AC114" s="123"/>
      <c r="AD114" s="123"/>
      <c r="AE114" s="123"/>
      <c r="AF114" s="123"/>
    </row>
    <row r="115" spans="1:32">
      <c r="A115">
        <v>56</v>
      </c>
      <c r="B115">
        <v>2</v>
      </c>
      <c r="C115">
        <v>2407</v>
      </c>
      <c r="D115" s="131">
        <v>0.20939637341567077</v>
      </c>
      <c r="E115">
        <v>6</v>
      </c>
      <c r="F115">
        <v>0</v>
      </c>
      <c r="G115">
        <v>7.6840059232935604E-2</v>
      </c>
      <c r="H115">
        <v>19.102527587999997</v>
      </c>
      <c r="I115">
        <v>37</v>
      </c>
      <c r="J115">
        <v>8040</v>
      </c>
      <c r="K115">
        <v>1</v>
      </c>
      <c r="L115">
        <v>2</v>
      </c>
      <c r="M115">
        <v>2</v>
      </c>
      <c r="N115">
        <v>1</v>
      </c>
      <c r="T115" s="124"/>
      <c r="U115" s="125"/>
      <c r="V115" s="124"/>
      <c r="W115" s="123"/>
      <c r="X115" s="124"/>
      <c r="Y115" s="124"/>
      <c r="Z115" s="124"/>
      <c r="AA115" s="124"/>
      <c r="AB115" s="123"/>
      <c r="AC115" s="123"/>
      <c r="AD115" s="123"/>
      <c r="AE115" s="123"/>
      <c r="AF115" s="123"/>
    </row>
    <row r="116" spans="1:32">
      <c r="A116">
        <v>57</v>
      </c>
      <c r="B116">
        <v>1</v>
      </c>
      <c r="C116">
        <v>1951</v>
      </c>
      <c r="D116" s="131">
        <v>0.22847535857375692</v>
      </c>
      <c r="E116">
        <v>9</v>
      </c>
      <c r="F116">
        <v>0</v>
      </c>
      <c r="G116">
        <v>0.10635762360918555</v>
      </c>
      <c r="H116">
        <v>17.507358452000027</v>
      </c>
      <c r="I116">
        <v>36</v>
      </c>
      <c r="J116">
        <v>8040</v>
      </c>
      <c r="K116">
        <v>1</v>
      </c>
      <c r="L116">
        <v>3</v>
      </c>
      <c r="M116">
        <v>4</v>
      </c>
      <c r="N116">
        <v>1</v>
      </c>
      <c r="T116" s="124"/>
      <c r="U116" s="125"/>
      <c r="V116" s="124"/>
      <c r="W116" s="123"/>
      <c r="X116" s="124"/>
      <c r="Y116" s="124"/>
      <c r="Z116" s="124"/>
      <c r="AA116" s="124"/>
      <c r="AB116" s="123"/>
      <c r="AC116" s="123"/>
      <c r="AD116" s="123"/>
      <c r="AE116" s="123"/>
      <c r="AF116" s="123"/>
    </row>
    <row r="117" spans="1:32">
      <c r="A117">
        <v>57</v>
      </c>
      <c r="B117">
        <v>2</v>
      </c>
      <c r="C117">
        <v>1814</v>
      </c>
      <c r="D117" s="131">
        <v>0.20974601169993243</v>
      </c>
      <c r="E117">
        <v>6</v>
      </c>
      <c r="F117">
        <v>0</v>
      </c>
      <c r="G117">
        <v>7.683069679174491E-2</v>
      </c>
      <c r="H117">
        <v>19.070684432000043</v>
      </c>
      <c r="I117">
        <v>36</v>
      </c>
      <c r="J117">
        <v>8040</v>
      </c>
      <c r="K117">
        <v>1</v>
      </c>
      <c r="L117">
        <v>2</v>
      </c>
      <c r="M117">
        <v>2</v>
      </c>
      <c r="N117">
        <v>1</v>
      </c>
      <c r="T117" s="124"/>
      <c r="U117" s="125"/>
      <c r="V117" s="124"/>
      <c r="W117" s="123"/>
      <c r="X117" s="124"/>
      <c r="Y117" s="124"/>
      <c r="Z117" s="124"/>
      <c r="AA117" s="124"/>
      <c r="AB117" s="123"/>
      <c r="AC117" s="123"/>
      <c r="AD117" s="123"/>
      <c r="AE117" s="123"/>
      <c r="AF117" s="123"/>
    </row>
    <row r="118" spans="1:32">
      <c r="A118">
        <v>58</v>
      </c>
      <c r="B118">
        <v>1</v>
      </c>
      <c r="C118">
        <v>1960</v>
      </c>
      <c r="D118" s="131">
        <v>0.22884008699047406</v>
      </c>
      <c r="E118">
        <v>9</v>
      </c>
      <c r="F118">
        <v>0</v>
      </c>
      <c r="G118">
        <v>0.10634892865446861</v>
      </c>
      <c r="H118">
        <v>17.479454988000018</v>
      </c>
      <c r="I118">
        <v>37</v>
      </c>
      <c r="J118">
        <v>8040</v>
      </c>
      <c r="K118">
        <v>1</v>
      </c>
      <c r="L118">
        <v>4</v>
      </c>
      <c r="M118">
        <v>3</v>
      </c>
      <c r="N118">
        <v>1</v>
      </c>
      <c r="T118" s="124"/>
      <c r="U118" s="125"/>
      <c r="V118" s="124"/>
      <c r="W118" s="123"/>
      <c r="X118" s="124"/>
      <c r="Y118" s="124"/>
      <c r="Z118" s="124"/>
      <c r="AA118" s="124"/>
      <c r="AB118" s="123"/>
      <c r="AC118" s="123"/>
      <c r="AD118" s="123"/>
      <c r="AE118" s="123"/>
      <c r="AF118" s="123"/>
    </row>
    <row r="119" spans="1:32">
      <c r="A119">
        <v>58</v>
      </c>
      <c r="B119">
        <v>2</v>
      </c>
      <c r="C119">
        <v>1743</v>
      </c>
      <c r="D119" s="131">
        <v>0.20973055507977548</v>
      </c>
      <c r="E119">
        <v>6</v>
      </c>
      <c r="F119">
        <v>0</v>
      </c>
      <c r="G119">
        <v>7.6831110241749462E-2</v>
      </c>
      <c r="H119">
        <v>19.072089894000019</v>
      </c>
      <c r="I119">
        <v>36</v>
      </c>
      <c r="J119">
        <v>8040</v>
      </c>
      <c r="K119">
        <v>1</v>
      </c>
      <c r="L119">
        <v>2</v>
      </c>
      <c r="M119">
        <v>2</v>
      </c>
      <c r="N119">
        <v>1</v>
      </c>
      <c r="T119" s="124"/>
      <c r="U119" s="125"/>
      <c r="V119" s="124"/>
      <c r="W119" s="123"/>
      <c r="X119" s="124"/>
      <c r="Y119" s="124"/>
      <c r="Z119" s="124"/>
      <c r="AA119" s="124"/>
      <c r="AB119" s="123"/>
      <c r="AC119" s="123"/>
      <c r="AD119" s="123"/>
      <c r="AE119" s="123"/>
      <c r="AF119" s="123"/>
    </row>
    <row r="120" spans="1:32">
      <c r="A120">
        <v>59</v>
      </c>
      <c r="B120">
        <v>1</v>
      </c>
      <c r="C120">
        <v>1461</v>
      </c>
      <c r="D120" s="131">
        <v>0.22771179587876755</v>
      </c>
      <c r="E120">
        <v>8</v>
      </c>
      <c r="F120">
        <v>0</v>
      </c>
      <c r="G120">
        <v>9.6375886660378121E-2</v>
      </c>
      <c r="H120">
        <v>17.566064087999976</v>
      </c>
      <c r="I120">
        <v>36</v>
      </c>
      <c r="J120">
        <v>8040</v>
      </c>
      <c r="K120">
        <v>1</v>
      </c>
      <c r="L120">
        <v>3</v>
      </c>
      <c r="M120">
        <v>3</v>
      </c>
      <c r="N120">
        <v>1</v>
      </c>
      <c r="T120" s="124"/>
      <c r="U120" s="125"/>
      <c r="V120" s="124"/>
      <c r="W120" s="123"/>
      <c r="X120" s="124"/>
      <c r="Y120" s="124"/>
      <c r="Z120" s="124"/>
      <c r="AA120" s="124"/>
      <c r="AB120" s="123"/>
      <c r="AC120" s="123"/>
      <c r="AD120" s="123"/>
      <c r="AE120" s="123"/>
      <c r="AF120" s="123"/>
    </row>
    <row r="121" spans="1:32">
      <c r="A121">
        <v>59</v>
      </c>
      <c r="B121">
        <v>2</v>
      </c>
      <c r="C121">
        <v>1597</v>
      </c>
      <c r="D121" s="131">
        <v>0.21122829244133617</v>
      </c>
      <c r="E121">
        <v>6</v>
      </c>
      <c r="F121">
        <v>0</v>
      </c>
      <c r="G121">
        <v>7.6791234901851052E-2</v>
      </c>
      <c r="H121">
        <v>18.936857149999963</v>
      </c>
      <c r="I121">
        <v>36</v>
      </c>
      <c r="J121">
        <v>8040</v>
      </c>
      <c r="K121">
        <v>1</v>
      </c>
      <c r="L121">
        <v>2</v>
      </c>
      <c r="M121">
        <v>2</v>
      </c>
      <c r="N121">
        <v>1</v>
      </c>
      <c r="T121" s="124"/>
      <c r="U121" s="125"/>
      <c r="V121" s="124"/>
      <c r="W121" s="123"/>
      <c r="X121" s="124"/>
      <c r="Y121" s="124"/>
      <c r="Z121" s="124"/>
      <c r="AA121" s="124"/>
      <c r="AB121" s="123"/>
      <c r="AC121" s="123"/>
      <c r="AD121" s="123"/>
      <c r="AE121" s="123"/>
      <c r="AF121" s="123"/>
    </row>
    <row r="122" spans="1:32">
      <c r="A122">
        <v>60</v>
      </c>
      <c r="B122">
        <v>1</v>
      </c>
      <c r="C122">
        <v>1942</v>
      </c>
      <c r="D122" s="131">
        <v>0.23145839629252424</v>
      </c>
      <c r="E122">
        <v>9</v>
      </c>
      <c r="F122">
        <v>0</v>
      </c>
      <c r="G122">
        <v>0.10628704714253645</v>
      </c>
      <c r="H122">
        <v>17.281723472000028</v>
      </c>
      <c r="I122">
        <v>34</v>
      </c>
      <c r="J122">
        <v>8040</v>
      </c>
      <c r="K122">
        <v>1</v>
      </c>
      <c r="L122">
        <v>4</v>
      </c>
      <c r="M122">
        <v>2</v>
      </c>
      <c r="N122">
        <v>2</v>
      </c>
      <c r="T122" s="124"/>
      <c r="U122" s="125"/>
      <c r="V122" s="124"/>
      <c r="W122" s="123"/>
      <c r="X122" s="124"/>
      <c r="Y122" s="124"/>
      <c r="Z122" s="124"/>
      <c r="AA122" s="124"/>
      <c r="AB122" s="123"/>
      <c r="AC122" s="123"/>
      <c r="AD122" s="123"/>
      <c r="AE122" s="123"/>
      <c r="AF122" s="123"/>
    </row>
    <row r="123" spans="1:32">
      <c r="A123">
        <v>60</v>
      </c>
      <c r="B123">
        <v>2</v>
      </c>
      <c r="C123">
        <v>1983</v>
      </c>
      <c r="D123" s="131">
        <v>0.20748587250272651</v>
      </c>
      <c r="E123">
        <v>6</v>
      </c>
      <c r="F123">
        <v>0</v>
      </c>
      <c r="G123">
        <v>7.6891588367924299E-2</v>
      </c>
      <c r="H123">
        <v>19.278420992000008</v>
      </c>
      <c r="I123">
        <v>36</v>
      </c>
      <c r="J123">
        <v>8040</v>
      </c>
      <c r="K123">
        <v>1</v>
      </c>
      <c r="L123">
        <v>2</v>
      </c>
      <c r="M123">
        <v>2</v>
      </c>
      <c r="N123">
        <v>1</v>
      </c>
      <c r="T123" s="124"/>
      <c r="U123" s="125"/>
      <c r="V123" s="124"/>
      <c r="W123" s="123"/>
      <c r="X123" s="124"/>
      <c r="Y123" s="124"/>
      <c r="Z123" s="124"/>
      <c r="AA123" s="124"/>
      <c r="AB123" s="123"/>
      <c r="AC123" s="123"/>
      <c r="AD123" s="123"/>
      <c r="AE123" s="123"/>
      <c r="AF123" s="123"/>
    </row>
    <row r="124" spans="1:32">
      <c r="A124">
        <v>61</v>
      </c>
      <c r="B124">
        <v>1</v>
      </c>
      <c r="C124">
        <v>2463</v>
      </c>
      <c r="D124" s="131">
        <v>0.22756538812802585</v>
      </c>
      <c r="E124">
        <v>19</v>
      </c>
      <c r="F124">
        <v>0</v>
      </c>
      <c r="G124">
        <v>0.20637939780175046</v>
      </c>
      <c r="H124">
        <v>17.577365489999924</v>
      </c>
      <c r="I124">
        <v>36</v>
      </c>
      <c r="J124">
        <v>8040</v>
      </c>
      <c r="K124">
        <v>5</v>
      </c>
      <c r="L124">
        <v>1</v>
      </c>
      <c r="M124">
        <v>6</v>
      </c>
      <c r="N124">
        <v>7</v>
      </c>
      <c r="T124" s="124"/>
      <c r="U124" s="125"/>
      <c r="V124" s="124"/>
      <c r="W124" s="123"/>
      <c r="X124" s="124"/>
      <c r="Y124" s="124"/>
      <c r="Z124" s="124"/>
      <c r="AA124" s="124"/>
      <c r="AB124" s="123"/>
      <c r="AC124" s="123"/>
      <c r="AD124" s="123"/>
      <c r="AE124" s="123"/>
      <c r="AF124" s="123"/>
    </row>
    <row r="125" spans="1:32">
      <c r="A125">
        <v>61</v>
      </c>
      <c r="B125">
        <v>2</v>
      </c>
      <c r="C125">
        <v>1925</v>
      </c>
      <c r="D125" s="131">
        <v>0.17918926246103484</v>
      </c>
      <c r="E125">
        <v>7</v>
      </c>
      <c r="F125">
        <v>0</v>
      </c>
      <c r="G125">
        <v>8.7737646932515331E-2</v>
      </c>
      <c r="H125">
        <v>22.322766135999974</v>
      </c>
      <c r="I125">
        <v>36</v>
      </c>
      <c r="J125">
        <v>8040</v>
      </c>
      <c r="K125">
        <v>1</v>
      </c>
      <c r="L125">
        <v>2</v>
      </c>
      <c r="M125">
        <v>2</v>
      </c>
      <c r="N125">
        <v>2</v>
      </c>
      <c r="T125" s="124"/>
      <c r="U125" s="125"/>
      <c r="V125" s="124"/>
      <c r="W125" s="123"/>
      <c r="X125" s="124"/>
      <c r="Y125" s="124"/>
      <c r="Z125" s="124"/>
      <c r="AA125" s="124"/>
      <c r="AB125" s="123"/>
      <c r="AC125" s="123"/>
      <c r="AD125" s="123"/>
      <c r="AE125" s="123"/>
      <c r="AF125" s="123"/>
    </row>
    <row r="126" spans="1:32">
      <c r="A126">
        <v>62</v>
      </c>
      <c r="B126">
        <v>1</v>
      </c>
      <c r="C126">
        <v>1941</v>
      </c>
      <c r="D126" s="131">
        <v>0.20999940577203169</v>
      </c>
      <c r="E126">
        <v>17</v>
      </c>
      <c r="F126">
        <v>0</v>
      </c>
      <c r="G126">
        <v>0.18682392452605992</v>
      </c>
      <c r="H126">
        <v>19.047672945999981</v>
      </c>
      <c r="I126">
        <v>38</v>
      </c>
      <c r="J126">
        <v>8040</v>
      </c>
      <c r="K126">
        <v>2</v>
      </c>
      <c r="L126">
        <v>4</v>
      </c>
      <c r="M126">
        <v>1</v>
      </c>
      <c r="N126">
        <v>10</v>
      </c>
      <c r="T126" s="124"/>
      <c r="U126" s="125"/>
      <c r="V126" s="124"/>
      <c r="W126" s="123"/>
      <c r="X126" s="124"/>
      <c r="Y126" s="124"/>
      <c r="Z126" s="124"/>
      <c r="AA126" s="124"/>
      <c r="AB126" s="123"/>
      <c r="AC126" s="123"/>
      <c r="AD126" s="123"/>
      <c r="AE126" s="123"/>
      <c r="AF126" s="123"/>
    </row>
    <row r="127" spans="1:32">
      <c r="A127">
        <v>62</v>
      </c>
      <c r="B127">
        <v>2</v>
      </c>
      <c r="C127">
        <v>2942</v>
      </c>
      <c r="D127" s="131">
        <v>0.17277238757064697</v>
      </c>
      <c r="E127">
        <v>7</v>
      </c>
      <c r="F127">
        <v>0</v>
      </c>
      <c r="G127">
        <v>8.7954578813437795E-2</v>
      </c>
      <c r="H127">
        <v>23.151847678000003</v>
      </c>
      <c r="I127">
        <v>36</v>
      </c>
      <c r="J127">
        <v>8040</v>
      </c>
      <c r="K127">
        <v>1</v>
      </c>
      <c r="L127">
        <v>2</v>
      </c>
      <c r="M127">
        <v>2</v>
      </c>
      <c r="N127">
        <v>2</v>
      </c>
      <c r="T127" s="124"/>
      <c r="U127" s="125"/>
      <c r="V127" s="124"/>
      <c r="W127" s="123"/>
      <c r="X127" s="124"/>
      <c r="Y127" s="124"/>
      <c r="Z127" s="124"/>
      <c r="AA127" s="124"/>
      <c r="AB127" s="123"/>
      <c r="AC127" s="123"/>
      <c r="AD127" s="123"/>
      <c r="AE127" s="123"/>
      <c r="AF127" s="123"/>
    </row>
    <row r="128" spans="1:32">
      <c r="A128">
        <v>63</v>
      </c>
      <c r="B128">
        <v>1</v>
      </c>
      <c r="C128">
        <v>3724</v>
      </c>
      <c r="D128" s="131">
        <v>0.21147528839586135</v>
      </c>
      <c r="E128">
        <v>12</v>
      </c>
      <c r="F128">
        <v>0</v>
      </c>
      <c r="G128">
        <v>0.13678469515776159</v>
      </c>
      <c r="H128">
        <v>18.914739543999985</v>
      </c>
      <c r="I128">
        <v>37</v>
      </c>
      <c r="J128">
        <v>8040</v>
      </c>
      <c r="K128">
        <v>2</v>
      </c>
      <c r="L128">
        <v>3</v>
      </c>
      <c r="M128">
        <v>2</v>
      </c>
      <c r="N128">
        <v>5</v>
      </c>
      <c r="T128" s="124"/>
      <c r="U128" s="125"/>
      <c r="V128" s="124"/>
      <c r="W128" s="123"/>
      <c r="X128" s="124"/>
      <c r="Y128" s="124"/>
      <c r="Z128" s="124"/>
      <c r="AA128" s="124"/>
      <c r="AB128" s="123"/>
      <c r="AC128" s="123"/>
      <c r="AD128" s="123"/>
      <c r="AE128" s="123"/>
      <c r="AF128" s="123"/>
    </row>
    <row r="129" spans="1:32">
      <c r="A129">
        <v>63</v>
      </c>
      <c r="B129">
        <v>2</v>
      </c>
      <c r="C129">
        <v>2022</v>
      </c>
      <c r="D129" s="131">
        <v>0.16531765447869606</v>
      </c>
      <c r="E129">
        <v>7</v>
      </c>
      <c r="F129">
        <v>0</v>
      </c>
      <c r="G129">
        <v>8.8220498510215822E-2</v>
      </c>
      <c r="H129">
        <v>24.195842922000001</v>
      </c>
      <c r="I129">
        <v>34</v>
      </c>
      <c r="J129">
        <v>8040</v>
      </c>
      <c r="K129">
        <v>1</v>
      </c>
      <c r="L129">
        <v>1</v>
      </c>
      <c r="M129">
        <v>2</v>
      </c>
      <c r="N129">
        <v>3</v>
      </c>
      <c r="T129" s="124"/>
      <c r="U129" s="125"/>
      <c r="V129" s="124"/>
      <c r="W129" s="123"/>
      <c r="X129" s="124"/>
      <c r="Y129" s="124"/>
      <c r="Z129" s="124"/>
      <c r="AA129" s="124"/>
      <c r="AB129" s="123"/>
      <c r="AC129" s="123"/>
      <c r="AD129" s="123"/>
      <c r="AE129" s="123"/>
      <c r="AF129" s="123"/>
    </row>
    <row r="130" spans="1:32">
      <c r="A130">
        <v>64</v>
      </c>
      <c r="B130">
        <v>1</v>
      </c>
      <c r="C130">
        <v>2867</v>
      </c>
      <c r="D130" s="131">
        <v>0.23022646211787282</v>
      </c>
      <c r="E130">
        <v>15</v>
      </c>
      <c r="F130">
        <v>0</v>
      </c>
      <c r="G130">
        <v>0.16631604596326791</v>
      </c>
      <c r="H130">
        <v>17.374197402000011</v>
      </c>
      <c r="I130">
        <v>37</v>
      </c>
      <c r="J130">
        <v>8040</v>
      </c>
      <c r="K130">
        <v>3</v>
      </c>
      <c r="L130">
        <v>3</v>
      </c>
      <c r="M130">
        <v>3</v>
      </c>
      <c r="N130">
        <v>6</v>
      </c>
      <c r="T130" s="124"/>
      <c r="U130" s="125"/>
      <c r="V130" s="124"/>
      <c r="W130" s="123"/>
      <c r="X130" s="124"/>
      <c r="Y130" s="124"/>
      <c r="Z130" s="124"/>
      <c r="AA130" s="124"/>
      <c r="AB130" s="123"/>
      <c r="AC130" s="123"/>
      <c r="AD130" s="123"/>
      <c r="AE130" s="123"/>
      <c r="AF130" s="123"/>
    </row>
    <row r="131" spans="1:32">
      <c r="A131">
        <v>64</v>
      </c>
      <c r="B131">
        <v>2</v>
      </c>
      <c r="C131">
        <v>2072</v>
      </c>
      <c r="D131" s="131">
        <v>0.18373662978792699</v>
      </c>
      <c r="E131">
        <v>8</v>
      </c>
      <c r="F131">
        <v>0</v>
      </c>
      <c r="G131">
        <v>9.7590090936601856E-2</v>
      </c>
      <c r="H131">
        <v>21.770291555999972</v>
      </c>
      <c r="I131">
        <v>35</v>
      </c>
      <c r="J131">
        <v>8040</v>
      </c>
      <c r="K131">
        <v>1</v>
      </c>
      <c r="L131">
        <v>2</v>
      </c>
      <c r="M131">
        <v>2</v>
      </c>
      <c r="N131">
        <v>3</v>
      </c>
      <c r="T131" s="124"/>
      <c r="U131" s="125"/>
      <c r="V131" s="124"/>
      <c r="W131" s="123"/>
      <c r="X131" s="124"/>
      <c r="Y131" s="124"/>
      <c r="Z131" s="124"/>
      <c r="AA131" s="124"/>
      <c r="AB131" s="123"/>
      <c r="AC131" s="123"/>
      <c r="AD131" s="123"/>
      <c r="AE131" s="123"/>
      <c r="AF131" s="123"/>
    </row>
    <row r="132" spans="1:32">
      <c r="A132">
        <v>65</v>
      </c>
      <c r="B132">
        <v>1</v>
      </c>
      <c r="C132">
        <v>2455</v>
      </c>
      <c r="D132" s="131">
        <v>0.21607257597969973</v>
      </c>
      <c r="E132">
        <v>14</v>
      </c>
      <c r="F132">
        <v>0</v>
      </c>
      <c r="G132">
        <v>0.15666480041854597</v>
      </c>
      <c r="H132">
        <v>18.512298387999987</v>
      </c>
      <c r="I132">
        <v>37</v>
      </c>
      <c r="J132">
        <v>8040</v>
      </c>
      <c r="K132">
        <v>2</v>
      </c>
      <c r="L132">
        <v>3</v>
      </c>
      <c r="M132">
        <v>3</v>
      </c>
      <c r="N132">
        <v>6</v>
      </c>
      <c r="T132" s="124"/>
      <c r="U132" s="125"/>
      <c r="V132" s="124"/>
      <c r="W132" s="123"/>
      <c r="X132" s="124"/>
      <c r="Y132" s="124"/>
      <c r="Z132" s="124"/>
      <c r="AA132" s="124"/>
      <c r="AB132" s="123"/>
      <c r="AC132" s="123"/>
      <c r="AD132" s="123"/>
      <c r="AE132" s="123"/>
      <c r="AF132" s="123"/>
    </row>
    <row r="133" spans="1:32">
      <c r="A133">
        <v>65</v>
      </c>
      <c r="B133">
        <v>2</v>
      </c>
      <c r="C133">
        <v>1942</v>
      </c>
      <c r="D133" s="131">
        <v>0.16813854999202685</v>
      </c>
      <c r="E133">
        <v>7</v>
      </c>
      <c r="F133">
        <v>0</v>
      </c>
      <c r="G133">
        <v>8.8118026925580517E-2</v>
      </c>
      <c r="H133">
        <v>23.789904219999997</v>
      </c>
      <c r="I133">
        <v>36</v>
      </c>
      <c r="J133">
        <v>8040</v>
      </c>
      <c r="K133">
        <v>1</v>
      </c>
      <c r="L133">
        <v>2</v>
      </c>
      <c r="M133">
        <v>2</v>
      </c>
      <c r="N133">
        <v>2</v>
      </c>
      <c r="T133" s="124"/>
      <c r="U133" s="125"/>
      <c r="V133" s="124"/>
      <c r="W133" s="123"/>
      <c r="X133" s="124"/>
      <c r="Y133" s="124"/>
      <c r="Z133" s="124"/>
      <c r="AA133" s="124"/>
      <c r="AB133" s="123"/>
      <c r="AC133" s="123"/>
      <c r="AD133" s="123"/>
      <c r="AE133" s="123"/>
      <c r="AF133" s="123"/>
    </row>
    <row r="134" spans="1:32">
      <c r="A134">
        <v>66</v>
      </c>
      <c r="B134">
        <v>1</v>
      </c>
      <c r="C134">
        <v>2051</v>
      </c>
      <c r="D134" s="131">
        <v>0.22750248184817798</v>
      </c>
      <c r="E134">
        <v>22</v>
      </c>
      <c r="F134">
        <v>0</v>
      </c>
      <c r="G134">
        <v>0.23638090734136777</v>
      </c>
      <c r="H134">
        <v>17.582225773999991</v>
      </c>
      <c r="I134">
        <v>35</v>
      </c>
      <c r="J134">
        <v>8040</v>
      </c>
      <c r="K134">
        <v>1</v>
      </c>
      <c r="L134">
        <v>10</v>
      </c>
      <c r="M134">
        <v>4</v>
      </c>
      <c r="N134">
        <v>7</v>
      </c>
      <c r="T134" s="124"/>
      <c r="U134" s="125"/>
      <c r="V134" s="124"/>
      <c r="W134" s="123"/>
      <c r="X134" s="124"/>
      <c r="Y134" s="124"/>
      <c r="Z134" s="124"/>
      <c r="AA134" s="124"/>
      <c r="AB134" s="123"/>
      <c r="AC134" s="123"/>
      <c r="AD134" s="123"/>
      <c r="AE134" s="123"/>
      <c r="AF134" s="123"/>
    </row>
    <row r="135" spans="1:32">
      <c r="A135">
        <v>66</v>
      </c>
      <c r="B135">
        <v>2</v>
      </c>
      <c r="C135">
        <v>2064</v>
      </c>
      <c r="D135" s="131">
        <v>0.18283083378851125</v>
      </c>
      <c r="E135">
        <v>8</v>
      </c>
      <c r="F135">
        <v>0</v>
      </c>
      <c r="G135">
        <v>9.7619091868941063E-2</v>
      </c>
      <c r="H135">
        <v>21.878147777999974</v>
      </c>
      <c r="I135">
        <v>35</v>
      </c>
      <c r="J135">
        <v>8040</v>
      </c>
      <c r="K135">
        <v>1</v>
      </c>
      <c r="L135">
        <v>2</v>
      </c>
      <c r="M135">
        <v>2</v>
      </c>
      <c r="N135">
        <v>3</v>
      </c>
      <c r="T135" s="124"/>
      <c r="U135" s="125"/>
      <c r="V135" s="124"/>
      <c r="W135" s="123"/>
      <c r="X135" s="124"/>
      <c r="Y135" s="124"/>
      <c r="Z135" s="124"/>
      <c r="AA135" s="124"/>
      <c r="AB135" s="123"/>
      <c r="AC135" s="123"/>
      <c r="AD135" s="123"/>
      <c r="AE135" s="123"/>
      <c r="AF135" s="123"/>
    </row>
    <row r="136" spans="1:32">
      <c r="A136">
        <v>67</v>
      </c>
      <c r="B136">
        <v>1</v>
      </c>
      <c r="C136">
        <v>2813</v>
      </c>
      <c r="D136" s="131">
        <v>0.21144770083745459</v>
      </c>
      <c r="E136">
        <v>13</v>
      </c>
      <c r="F136">
        <v>0</v>
      </c>
      <c r="G136">
        <v>0.14678542509179832</v>
      </c>
      <c r="H136">
        <v>18.917207347999991</v>
      </c>
      <c r="I136">
        <v>37</v>
      </c>
      <c r="J136">
        <v>8040</v>
      </c>
      <c r="K136">
        <v>2</v>
      </c>
      <c r="L136">
        <v>3</v>
      </c>
      <c r="M136">
        <v>3</v>
      </c>
      <c r="N136">
        <v>5</v>
      </c>
      <c r="T136" s="124"/>
      <c r="U136" s="125"/>
      <c r="V136" s="124"/>
      <c r="W136" s="123"/>
      <c r="X136" s="124"/>
      <c r="Y136" s="124"/>
      <c r="Z136" s="124"/>
      <c r="AA136" s="124"/>
      <c r="AB136" s="123"/>
      <c r="AC136" s="123"/>
      <c r="AD136" s="123"/>
      <c r="AE136" s="123"/>
      <c r="AF136" s="123"/>
    </row>
    <row r="137" spans="1:32">
      <c r="A137">
        <v>67</v>
      </c>
      <c r="B137">
        <v>2</v>
      </c>
      <c r="C137">
        <v>2094</v>
      </c>
      <c r="D137" s="131">
        <v>0.16639489174071936</v>
      </c>
      <c r="E137">
        <v>7</v>
      </c>
      <c r="F137">
        <v>0</v>
      </c>
      <c r="G137">
        <v>8.8181093635485125E-2</v>
      </c>
      <c r="H137">
        <v>24.039199509999975</v>
      </c>
      <c r="I137">
        <v>37</v>
      </c>
      <c r="J137">
        <v>8040</v>
      </c>
      <c r="K137">
        <v>2</v>
      </c>
      <c r="L137">
        <v>1</v>
      </c>
      <c r="M137">
        <v>2</v>
      </c>
      <c r="N137">
        <v>2</v>
      </c>
      <c r="T137" s="124"/>
      <c r="U137" s="125"/>
      <c r="V137" s="124"/>
      <c r="W137" s="123"/>
      <c r="X137" s="124"/>
      <c r="Y137" s="124"/>
      <c r="Z137" s="124"/>
      <c r="AA137" s="124"/>
      <c r="AB137" s="123"/>
      <c r="AC137" s="123"/>
      <c r="AD137" s="123"/>
      <c r="AE137" s="123"/>
      <c r="AF137" s="123"/>
    </row>
    <row r="138" spans="1:32">
      <c r="A138">
        <v>68</v>
      </c>
      <c r="B138">
        <v>1</v>
      </c>
      <c r="C138">
        <v>2187</v>
      </c>
      <c r="D138" s="131">
        <v>0.22452530886423586</v>
      </c>
      <c r="E138">
        <v>14</v>
      </c>
      <c r="F138">
        <v>0</v>
      </c>
      <c r="G138">
        <v>0.15645299247857097</v>
      </c>
      <c r="H138">
        <v>17.815363534000024</v>
      </c>
      <c r="I138">
        <v>37</v>
      </c>
      <c r="J138">
        <v>8040</v>
      </c>
      <c r="K138">
        <v>2</v>
      </c>
      <c r="L138">
        <v>3</v>
      </c>
      <c r="M138">
        <v>4</v>
      </c>
      <c r="N138">
        <v>5</v>
      </c>
      <c r="T138" s="124"/>
      <c r="U138" s="125"/>
      <c r="V138" s="124"/>
      <c r="W138" s="123"/>
      <c r="X138" s="124"/>
      <c r="Y138" s="124"/>
      <c r="Z138" s="124"/>
      <c r="AA138" s="124"/>
      <c r="AB138" s="123"/>
      <c r="AC138" s="123"/>
      <c r="AD138" s="123"/>
      <c r="AE138" s="123"/>
      <c r="AF138" s="123"/>
    </row>
    <row r="139" spans="1:32">
      <c r="A139">
        <v>68</v>
      </c>
      <c r="B139">
        <v>2</v>
      </c>
      <c r="C139">
        <v>1373</v>
      </c>
      <c r="D139" s="131">
        <v>0.176113456319446</v>
      </c>
      <c r="E139">
        <v>9</v>
      </c>
      <c r="F139">
        <v>0</v>
      </c>
      <c r="G139">
        <v>0.10784031369526305</v>
      </c>
      <c r="H139">
        <v>22.71263129799997</v>
      </c>
      <c r="I139">
        <v>35</v>
      </c>
      <c r="J139">
        <v>8040</v>
      </c>
      <c r="K139">
        <v>1</v>
      </c>
      <c r="L139">
        <v>1</v>
      </c>
      <c r="M139">
        <v>4</v>
      </c>
      <c r="N139">
        <v>3</v>
      </c>
      <c r="T139" s="124"/>
      <c r="U139" s="125"/>
      <c r="V139" s="124"/>
      <c r="W139" s="123"/>
      <c r="X139" s="124"/>
      <c r="Y139" s="124"/>
      <c r="Z139" s="124"/>
      <c r="AA139" s="124"/>
      <c r="AB139" s="123"/>
      <c r="AC139" s="123"/>
      <c r="AD139" s="123"/>
      <c r="AE139" s="123"/>
      <c r="AF139" s="123"/>
    </row>
    <row r="140" spans="1:32">
      <c r="A140">
        <v>69</v>
      </c>
      <c r="B140">
        <v>1</v>
      </c>
      <c r="C140">
        <v>3308</v>
      </c>
      <c r="D140" s="131">
        <v>0.22354194174156905</v>
      </c>
      <c r="E140">
        <v>14</v>
      </c>
      <c r="F140">
        <v>0</v>
      </c>
      <c r="G140">
        <v>0.15647708290967979</v>
      </c>
      <c r="H140">
        <v>17.893733806000014</v>
      </c>
      <c r="I140">
        <v>37</v>
      </c>
      <c r="J140">
        <v>8040</v>
      </c>
      <c r="K140">
        <v>2</v>
      </c>
      <c r="L140">
        <v>3</v>
      </c>
      <c r="M140">
        <v>3</v>
      </c>
      <c r="N140">
        <v>6</v>
      </c>
      <c r="T140" s="124"/>
      <c r="U140" s="125"/>
      <c r="V140" s="124"/>
      <c r="W140" s="123"/>
      <c r="X140" s="124"/>
      <c r="Y140" s="124"/>
      <c r="Z140" s="124"/>
      <c r="AA140" s="124"/>
      <c r="AB140" s="123"/>
      <c r="AC140" s="123"/>
      <c r="AD140" s="123"/>
      <c r="AE140" s="123"/>
      <c r="AF140" s="123"/>
    </row>
    <row r="141" spans="1:32">
      <c r="A141">
        <v>69</v>
      </c>
      <c r="B141">
        <v>2</v>
      </c>
      <c r="C141">
        <v>1662</v>
      </c>
      <c r="D141" s="131">
        <v>0.1727759197838353</v>
      </c>
      <c r="E141">
        <v>15</v>
      </c>
      <c r="F141">
        <v>0</v>
      </c>
      <c r="G141">
        <v>0.1679544564587479</v>
      </c>
      <c r="H141">
        <v>23.15137436399997</v>
      </c>
      <c r="I141">
        <v>34</v>
      </c>
      <c r="J141">
        <v>8040</v>
      </c>
      <c r="K141">
        <v>1</v>
      </c>
      <c r="L141">
        <v>1</v>
      </c>
      <c r="M141">
        <v>1</v>
      </c>
      <c r="N141">
        <v>12</v>
      </c>
      <c r="T141" s="124"/>
      <c r="U141" s="125"/>
      <c r="V141" s="124"/>
      <c r="W141" s="123"/>
      <c r="X141" s="124"/>
      <c r="Y141" s="124"/>
      <c r="Z141" s="124"/>
      <c r="AA141" s="124"/>
      <c r="AB141" s="123"/>
      <c r="AC141" s="123"/>
      <c r="AD141" s="123"/>
      <c r="AE141" s="123"/>
      <c r="AF141" s="123"/>
    </row>
    <row r="142" spans="1:32">
      <c r="A142">
        <v>70</v>
      </c>
      <c r="B142">
        <v>1</v>
      </c>
      <c r="C142">
        <v>3790</v>
      </c>
      <c r="D142" s="131">
        <v>0.23315981051350756</v>
      </c>
      <c r="E142">
        <v>16</v>
      </c>
      <c r="F142">
        <v>0</v>
      </c>
      <c r="G142">
        <v>0.17624733376247903</v>
      </c>
      <c r="H142">
        <v>17.155615245999993</v>
      </c>
      <c r="I142">
        <v>37</v>
      </c>
      <c r="J142">
        <v>8040</v>
      </c>
      <c r="K142">
        <v>3</v>
      </c>
      <c r="L142">
        <v>3</v>
      </c>
      <c r="M142">
        <v>4</v>
      </c>
      <c r="N142">
        <v>6</v>
      </c>
      <c r="T142" s="124"/>
      <c r="U142" s="125"/>
      <c r="V142" s="124"/>
      <c r="W142" s="123"/>
      <c r="X142" s="124"/>
      <c r="Y142" s="124"/>
      <c r="Z142" s="124"/>
      <c r="AA142" s="124"/>
      <c r="AB142" s="123"/>
      <c r="AC142" s="123"/>
      <c r="AD142" s="123"/>
      <c r="AE142" s="123"/>
      <c r="AF142" s="123"/>
    </row>
    <row r="143" spans="1:32">
      <c r="A143">
        <v>70</v>
      </c>
      <c r="B143">
        <v>2</v>
      </c>
      <c r="C143">
        <v>2003</v>
      </c>
      <c r="D143" s="131">
        <v>0.18557821487715206</v>
      </c>
      <c r="E143">
        <v>8</v>
      </c>
      <c r="F143">
        <v>0</v>
      </c>
      <c r="G143">
        <v>9.7531712323110059E-2</v>
      </c>
      <c r="H143">
        <v>21.554254105999973</v>
      </c>
      <c r="I143">
        <v>35</v>
      </c>
      <c r="J143">
        <v>8040</v>
      </c>
      <c r="K143">
        <v>1</v>
      </c>
      <c r="L143">
        <v>2</v>
      </c>
      <c r="M143">
        <v>2</v>
      </c>
      <c r="N143">
        <v>3</v>
      </c>
      <c r="T143" s="124"/>
      <c r="U143" s="125"/>
      <c r="V143" s="124"/>
      <c r="W143" s="123"/>
      <c r="X143" s="124"/>
      <c r="Y143" s="124"/>
      <c r="Z143" s="124"/>
      <c r="AA143" s="124"/>
      <c r="AB143" s="123"/>
      <c r="AC143" s="123"/>
      <c r="AD143" s="123"/>
      <c r="AE143" s="123"/>
      <c r="AF143" s="123"/>
    </row>
    <row r="144" spans="1:32">
      <c r="A144">
        <v>71</v>
      </c>
      <c r="B144">
        <v>1</v>
      </c>
      <c r="C144">
        <v>2105</v>
      </c>
      <c r="D144" s="131">
        <v>0.22284661578357537</v>
      </c>
      <c r="E144">
        <v>7</v>
      </c>
      <c r="F144">
        <v>0</v>
      </c>
      <c r="G144">
        <v>8.6494202380019841E-2</v>
      </c>
      <c r="H144">
        <v>17.949565829999987</v>
      </c>
      <c r="I144">
        <v>36</v>
      </c>
      <c r="J144">
        <v>8040</v>
      </c>
      <c r="K144">
        <v>1</v>
      </c>
      <c r="L144">
        <v>2</v>
      </c>
      <c r="M144">
        <v>1</v>
      </c>
      <c r="N144">
        <v>3</v>
      </c>
      <c r="T144" s="124"/>
      <c r="U144" s="125"/>
      <c r="V144" s="124"/>
      <c r="W144" s="123"/>
      <c r="X144" s="124"/>
      <c r="Y144" s="124"/>
      <c r="Z144" s="124"/>
      <c r="AA144" s="124"/>
      <c r="AB144" s="123"/>
      <c r="AC144" s="123"/>
      <c r="AD144" s="123"/>
      <c r="AE144" s="123"/>
      <c r="AF144" s="123"/>
    </row>
    <row r="145" spans="1:32">
      <c r="A145">
        <v>71</v>
      </c>
      <c r="B145">
        <v>2</v>
      </c>
      <c r="C145">
        <v>1483</v>
      </c>
      <c r="D145" s="131">
        <v>0.19778012759600211</v>
      </c>
      <c r="E145">
        <v>5</v>
      </c>
      <c r="F145">
        <v>0</v>
      </c>
      <c r="G145">
        <v>6.7163497157054775E-2</v>
      </c>
      <c r="H145">
        <v>20.224478811999994</v>
      </c>
      <c r="I145">
        <v>36</v>
      </c>
      <c r="J145">
        <v>8040</v>
      </c>
      <c r="K145">
        <v>1</v>
      </c>
      <c r="L145">
        <v>1</v>
      </c>
      <c r="M145">
        <v>1</v>
      </c>
      <c r="N145">
        <v>2</v>
      </c>
      <c r="T145" s="124"/>
      <c r="U145" s="125"/>
      <c r="V145" s="124"/>
      <c r="W145" s="123"/>
      <c r="X145" s="124"/>
      <c r="Y145" s="124"/>
      <c r="Z145" s="124"/>
      <c r="AA145" s="124"/>
      <c r="AB145" s="123"/>
      <c r="AC145" s="123"/>
      <c r="AD145" s="123"/>
      <c r="AE145" s="123"/>
      <c r="AF145" s="123"/>
    </row>
    <row r="146" spans="1:32">
      <c r="A146">
        <v>72</v>
      </c>
      <c r="B146">
        <v>1</v>
      </c>
      <c r="C146">
        <v>1974</v>
      </c>
      <c r="D146" s="131">
        <v>0.23074080446058304</v>
      </c>
      <c r="E146">
        <v>8</v>
      </c>
      <c r="F146">
        <v>0</v>
      </c>
      <c r="G146">
        <v>9.6303913624857532E-2</v>
      </c>
      <c r="H146">
        <v>17.335468727999999</v>
      </c>
      <c r="I146">
        <v>36</v>
      </c>
      <c r="J146">
        <v>8040</v>
      </c>
      <c r="K146">
        <v>1</v>
      </c>
      <c r="L146">
        <v>3</v>
      </c>
      <c r="M146">
        <v>1</v>
      </c>
      <c r="N146">
        <v>3</v>
      </c>
      <c r="T146" s="124"/>
      <c r="U146" s="125"/>
      <c r="V146" s="124"/>
      <c r="W146" s="123"/>
      <c r="X146" s="124"/>
      <c r="Y146" s="124"/>
      <c r="Z146" s="124"/>
      <c r="AA146" s="124"/>
      <c r="AB146" s="123"/>
      <c r="AC146" s="123"/>
      <c r="AD146" s="123"/>
      <c r="AE146" s="123"/>
      <c r="AF146" s="123"/>
    </row>
    <row r="147" spans="1:32">
      <c r="A147">
        <v>72</v>
      </c>
      <c r="B147">
        <v>2</v>
      </c>
      <c r="C147">
        <v>1042</v>
      </c>
      <c r="D147" s="131">
        <v>0.19986146979958963</v>
      </c>
      <c r="E147">
        <v>5</v>
      </c>
      <c r="F147">
        <v>0</v>
      </c>
      <c r="G147">
        <v>6.7103709346009094E-2</v>
      </c>
      <c r="H147">
        <v>20.013862622000055</v>
      </c>
      <c r="I147">
        <v>35</v>
      </c>
      <c r="J147">
        <v>8040</v>
      </c>
      <c r="K147">
        <v>1</v>
      </c>
      <c r="L147">
        <v>1</v>
      </c>
      <c r="M147">
        <v>1</v>
      </c>
      <c r="N147">
        <v>2</v>
      </c>
      <c r="T147" s="124"/>
      <c r="U147" s="125"/>
      <c r="V147" s="124"/>
      <c r="W147" s="123"/>
      <c r="X147" s="124"/>
      <c r="Y147" s="124"/>
      <c r="Z147" s="124"/>
      <c r="AA147" s="124"/>
      <c r="AB147" s="123"/>
      <c r="AC147" s="123"/>
      <c r="AD147" s="123"/>
      <c r="AE147" s="123"/>
      <c r="AF147" s="123"/>
    </row>
    <row r="148" spans="1:32">
      <c r="A148">
        <v>73</v>
      </c>
      <c r="B148">
        <v>1</v>
      </c>
      <c r="C148">
        <v>1704</v>
      </c>
      <c r="D148" s="131">
        <v>0.22488452302023826</v>
      </c>
      <c r="E148">
        <v>8</v>
      </c>
      <c r="F148">
        <v>0</v>
      </c>
      <c r="G148">
        <v>9.6444227539516703E-2</v>
      </c>
      <c r="H148">
        <v>17.786906570000035</v>
      </c>
      <c r="I148">
        <v>36</v>
      </c>
      <c r="J148">
        <v>8040</v>
      </c>
      <c r="K148">
        <v>1</v>
      </c>
      <c r="L148">
        <v>2</v>
      </c>
      <c r="M148">
        <v>1</v>
      </c>
      <c r="N148">
        <v>4</v>
      </c>
      <c r="T148" s="124"/>
      <c r="U148" s="125"/>
      <c r="V148" s="124"/>
      <c r="W148" s="123"/>
      <c r="X148" s="124"/>
      <c r="Y148" s="124"/>
      <c r="Z148" s="124"/>
      <c r="AA148" s="124"/>
      <c r="AB148" s="123"/>
      <c r="AC148" s="123"/>
      <c r="AD148" s="123"/>
      <c r="AE148" s="123"/>
      <c r="AF148" s="123"/>
    </row>
    <row r="149" spans="1:32">
      <c r="A149">
        <v>73</v>
      </c>
      <c r="B149">
        <v>2</v>
      </c>
      <c r="C149">
        <v>1407</v>
      </c>
      <c r="D149" s="131">
        <v>0.19728840423107552</v>
      </c>
      <c r="E149">
        <v>5</v>
      </c>
      <c r="F149">
        <v>0</v>
      </c>
      <c r="G149">
        <v>6.7177744810686835E-2</v>
      </c>
      <c r="H149">
        <v>20.274886482000078</v>
      </c>
      <c r="I149">
        <v>35</v>
      </c>
      <c r="J149">
        <v>8040</v>
      </c>
      <c r="K149">
        <v>1</v>
      </c>
      <c r="L149">
        <v>1</v>
      </c>
      <c r="M149">
        <v>1</v>
      </c>
      <c r="N149">
        <v>2</v>
      </c>
      <c r="T149" s="124"/>
      <c r="U149" s="125"/>
      <c r="V149" s="124"/>
      <c r="W149" s="123"/>
      <c r="X149" s="124"/>
      <c r="Y149" s="124"/>
      <c r="Z149" s="124"/>
      <c r="AA149" s="124"/>
      <c r="AB149" s="123"/>
      <c r="AC149" s="123"/>
      <c r="AD149" s="123"/>
      <c r="AE149" s="123"/>
      <c r="AF149" s="123"/>
    </row>
    <row r="150" spans="1:32">
      <c r="A150">
        <v>74</v>
      </c>
      <c r="B150">
        <v>1</v>
      </c>
      <c r="C150">
        <v>1802</v>
      </c>
      <c r="D150" s="131">
        <v>0.23016745126648028</v>
      </c>
      <c r="E150">
        <v>7</v>
      </c>
      <c r="F150">
        <v>0</v>
      </c>
      <c r="G150">
        <v>8.6317440225700814E-2</v>
      </c>
      <c r="H150">
        <v>17.378651838000032</v>
      </c>
      <c r="I150">
        <v>36</v>
      </c>
      <c r="J150">
        <v>8040</v>
      </c>
      <c r="K150">
        <v>1</v>
      </c>
      <c r="L150">
        <v>2</v>
      </c>
      <c r="M150">
        <v>2</v>
      </c>
      <c r="N150">
        <v>2</v>
      </c>
      <c r="T150" s="124"/>
      <c r="U150" s="125"/>
      <c r="V150" s="124"/>
      <c r="W150" s="123"/>
      <c r="X150" s="124"/>
      <c r="Y150" s="124"/>
      <c r="Z150" s="124"/>
      <c r="AA150" s="124"/>
      <c r="AB150" s="123"/>
      <c r="AC150" s="123"/>
      <c r="AD150" s="123"/>
      <c r="AE150" s="123"/>
      <c r="AF150" s="123"/>
    </row>
    <row r="151" spans="1:32">
      <c r="A151">
        <v>74</v>
      </c>
      <c r="B151">
        <v>2</v>
      </c>
      <c r="C151">
        <v>1313</v>
      </c>
      <c r="D151" s="131">
        <v>0.19793621698454861</v>
      </c>
      <c r="E151">
        <v>5</v>
      </c>
      <c r="F151">
        <v>0</v>
      </c>
      <c r="G151">
        <v>6.7158984349272088E-2</v>
      </c>
      <c r="H151">
        <v>20.208530106000005</v>
      </c>
      <c r="I151">
        <v>36</v>
      </c>
      <c r="J151">
        <v>8040</v>
      </c>
      <c r="K151">
        <v>1</v>
      </c>
      <c r="L151">
        <v>1</v>
      </c>
      <c r="M151">
        <v>1</v>
      </c>
      <c r="N151">
        <v>2</v>
      </c>
      <c r="T151" s="124"/>
      <c r="U151" s="125"/>
      <c r="V151" s="124"/>
      <c r="W151" s="123"/>
      <c r="X151" s="124"/>
      <c r="Y151" s="124"/>
      <c r="Z151" s="124"/>
      <c r="AA151" s="124"/>
      <c r="AB151" s="123"/>
      <c r="AC151" s="123"/>
      <c r="AD151" s="123"/>
      <c r="AE151" s="123"/>
      <c r="AF151" s="123"/>
    </row>
    <row r="152" spans="1:32">
      <c r="A152">
        <v>75</v>
      </c>
      <c r="B152">
        <v>1</v>
      </c>
      <c r="C152">
        <v>3141</v>
      </c>
      <c r="D152" s="131">
        <v>0.23315406864642521</v>
      </c>
      <c r="E152">
        <v>7</v>
      </c>
      <c r="F152">
        <v>0</v>
      </c>
      <c r="G152">
        <v>8.6247467135325065E-2</v>
      </c>
      <c r="H152">
        <v>17.156037735999977</v>
      </c>
      <c r="I152">
        <v>36</v>
      </c>
      <c r="J152">
        <v>8040</v>
      </c>
      <c r="K152">
        <v>1</v>
      </c>
      <c r="L152">
        <v>2</v>
      </c>
      <c r="M152">
        <v>2</v>
      </c>
      <c r="N152">
        <v>2</v>
      </c>
      <c r="T152" s="124"/>
      <c r="U152" s="125"/>
      <c r="V152" s="124"/>
      <c r="W152" s="123"/>
      <c r="X152" s="124"/>
      <c r="Y152" s="124"/>
      <c r="Z152" s="124"/>
      <c r="AA152" s="124"/>
      <c r="AB152" s="123"/>
      <c r="AC152" s="123"/>
      <c r="AD152" s="123"/>
      <c r="AE152" s="123"/>
      <c r="AF152" s="123"/>
    </row>
    <row r="153" spans="1:32">
      <c r="A153">
        <v>75</v>
      </c>
      <c r="B153">
        <v>2</v>
      </c>
      <c r="C153">
        <v>1184</v>
      </c>
      <c r="D153" s="131">
        <v>0.1999626168488064</v>
      </c>
      <c r="E153">
        <v>5</v>
      </c>
      <c r="F153">
        <v>0</v>
      </c>
      <c r="G153">
        <v>6.7100825004369438E-2</v>
      </c>
      <c r="H153">
        <v>20.00373901399999</v>
      </c>
      <c r="I153">
        <v>36</v>
      </c>
      <c r="J153">
        <v>8040</v>
      </c>
      <c r="K153">
        <v>1</v>
      </c>
      <c r="L153">
        <v>1</v>
      </c>
      <c r="M153">
        <v>1</v>
      </c>
      <c r="N153">
        <v>2</v>
      </c>
      <c r="T153" s="124"/>
      <c r="U153" s="125"/>
      <c r="V153" s="124"/>
      <c r="W153" s="123"/>
      <c r="X153" s="124"/>
      <c r="Y153" s="124"/>
      <c r="Z153" s="124"/>
      <c r="AA153" s="124"/>
      <c r="AB153" s="123"/>
      <c r="AC153" s="123"/>
      <c r="AD153" s="123"/>
      <c r="AE153" s="123"/>
      <c r="AF153" s="123"/>
    </row>
    <row r="154" spans="1:32">
      <c r="A154">
        <v>76</v>
      </c>
      <c r="B154">
        <v>1</v>
      </c>
      <c r="C154">
        <v>1673</v>
      </c>
      <c r="D154" s="131">
        <v>0.23149328238741482</v>
      </c>
      <c r="E154">
        <v>9</v>
      </c>
      <c r="F154">
        <v>0</v>
      </c>
      <c r="G154">
        <v>0.10628622894742394</v>
      </c>
      <c r="H154">
        <v>17.279119112000032</v>
      </c>
      <c r="I154">
        <v>35</v>
      </c>
      <c r="J154">
        <v>8040</v>
      </c>
      <c r="K154">
        <v>1</v>
      </c>
      <c r="L154">
        <v>3</v>
      </c>
      <c r="M154">
        <v>1</v>
      </c>
      <c r="N154">
        <v>4</v>
      </c>
      <c r="T154" s="124"/>
      <c r="U154" s="125"/>
      <c r="V154" s="124"/>
      <c r="W154" s="123"/>
      <c r="X154" s="124"/>
      <c r="Y154" s="124"/>
      <c r="Z154" s="124"/>
      <c r="AA154" s="124"/>
      <c r="AB154" s="123"/>
      <c r="AC154" s="123"/>
      <c r="AD154" s="123"/>
      <c r="AE154" s="123"/>
      <c r="AF154" s="123"/>
    </row>
    <row r="155" spans="1:32">
      <c r="A155">
        <v>76</v>
      </c>
      <c r="B155">
        <v>2</v>
      </c>
      <c r="C155">
        <v>1690</v>
      </c>
      <c r="D155" s="131">
        <v>0.19806233490572267</v>
      </c>
      <c r="E155">
        <v>5</v>
      </c>
      <c r="F155">
        <v>0</v>
      </c>
      <c r="G155">
        <v>6.7155341531593429E-2</v>
      </c>
      <c r="H155">
        <v>20.195662147999986</v>
      </c>
      <c r="I155">
        <v>36</v>
      </c>
      <c r="J155">
        <v>8040</v>
      </c>
      <c r="K155">
        <v>1</v>
      </c>
      <c r="L155">
        <v>1</v>
      </c>
      <c r="M155">
        <v>1</v>
      </c>
      <c r="N155">
        <v>2</v>
      </c>
      <c r="T155" s="124"/>
      <c r="U155" s="125"/>
      <c r="V155" s="124"/>
      <c r="W155" s="123"/>
      <c r="X155" s="124"/>
      <c r="Y155" s="124"/>
      <c r="Z155" s="124"/>
      <c r="AA155" s="124"/>
      <c r="AB155" s="123"/>
      <c r="AC155" s="123"/>
      <c r="AD155" s="123"/>
      <c r="AE155" s="123"/>
      <c r="AF155" s="123"/>
    </row>
    <row r="156" spans="1:32">
      <c r="A156">
        <v>77</v>
      </c>
      <c r="B156">
        <v>1</v>
      </c>
      <c r="C156">
        <v>2002</v>
      </c>
      <c r="D156" s="131">
        <v>0.23062115247524351</v>
      </c>
      <c r="E156">
        <v>7</v>
      </c>
      <c r="F156">
        <v>0</v>
      </c>
      <c r="G156">
        <v>8.6306732762559554E-2</v>
      </c>
      <c r="H156">
        <v>17.344462800000048</v>
      </c>
      <c r="I156">
        <v>36</v>
      </c>
      <c r="J156">
        <v>8040</v>
      </c>
      <c r="K156">
        <v>1</v>
      </c>
      <c r="L156">
        <v>2</v>
      </c>
      <c r="M156">
        <v>2</v>
      </c>
      <c r="N156">
        <v>2</v>
      </c>
      <c r="T156" s="124"/>
      <c r="U156" s="125"/>
      <c r="V156" s="124"/>
      <c r="W156" s="123"/>
      <c r="X156" s="124"/>
      <c r="Y156" s="124"/>
      <c r="Z156" s="124"/>
      <c r="AA156" s="124"/>
      <c r="AB156" s="123"/>
      <c r="AC156" s="123"/>
      <c r="AD156" s="123"/>
      <c r="AE156" s="123"/>
      <c r="AF156" s="123"/>
    </row>
    <row r="157" spans="1:32">
      <c r="A157">
        <v>77</v>
      </c>
      <c r="B157">
        <v>2</v>
      </c>
      <c r="C157">
        <v>1117</v>
      </c>
      <c r="D157" s="131">
        <v>0.19900480051499173</v>
      </c>
      <c r="E157">
        <v>5</v>
      </c>
      <c r="F157">
        <v>0</v>
      </c>
      <c r="G157">
        <v>6.7128216707554159E-2</v>
      </c>
      <c r="H157">
        <v>20.100017636000022</v>
      </c>
      <c r="I157">
        <v>37</v>
      </c>
      <c r="J157">
        <v>8040</v>
      </c>
      <c r="K157">
        <v>1</v>
      </c>
      <c r="L157">
        <v>1</v>
      </c>
      <c r="M157">
        <v>1</v>
      </c>
      <c r="N157">
        <v>2</v>
      </c>
      <c r="T157" s="124"/>
      <c r="U157" s="125"/>
      <c r="V157" s="124"/>
      <c r="W157" s="123"/>
      <c r="X157" s="124"/>
      <c r="Y157" s="124"/>
      <c r="Z157" s="124"/>
      <c r="AA157" s="124"/>
      <c r="AB157" s="123"/>
      <c r="AC157" s="123"/>
      <c r="AD157" s="123"/>
      <c r="AE157" s="123"/>
      <c r="AF157" s="123"/>
    </row>
    <row r="158" spans="1:32">
      <c r="A158">
        <v>78</v>
      </c>
      <c r="B158">
        <v>1</v>
      </c>
      <c r="C158">
        <v>1964</v>
      </c>
      <c r="D158" s="131">
        <v>0.2313261961417698</v>
      </c>
      <c r="E158">
        <v>7</v>
      </c>
      <c r="F158">
        <v>0</v>
      </c>
      <c r="G158">
        <v>8.6290149169151065E-2</v>
      </c>
      <c r="H158">
        <v>17.291599769999994</v>
      </c>
      <c r="I158">
        <v>37</v>
      </c>
      <c r="J158">
        <v>8040</v>
      </c>
      <c r="K158">
        <v>1</v>
      </c>
      <c r="L158">
        <v>2</v>
      </c>
      <c r="M158">
        <v>2</v>
      </c>
      <c r="N158">
        <v>2</v>
      </c>
      <c r="T158" s="124"/>
      <c r="U158" s="125"/>
      <c r="V158" s="124"/>
      <c r="W158" s="123"/>
      <c r="X158" s="124"/>
      <c r="Y158" s="124"/>
      <c r="Z158" s="124"/>
      <c r="AA158" s="124"/>
      <c r="AB158" s="123"/>
      <c r="AC158" s="123"/>
      <c r="AD158" s="123"/>
      <c r="AE158" s="123"/>
      <c r="AF158" s="123"/>
    </row>
    <row r="159" spans="1:32">
      <c r="A159">
        <v>78</v>
      </c>
      <c r="B159">
        <v>2</v>
      </c>
      <c r="C159">
        <v>2110</v>
      </c>
      <c r="D159" s="131">
        <v>0.19913207996198365</v>
      </c>
      <c r="E159">
        <v>5</v>
      </c>
      <c r="F159">
        <v>0</v>
      </c>
      <c r="G159">
        <v>6.7124566643410682E-2</v>
      </c>
      <c r="H159">
        <v>20.08717028800001</v>
      </c>
      <c r="I159">
        <v>36</v>
      </c>
      <c r="J159">
        <v>8040</v>
      </c>
      <c r="K159">
        <v>1</v>
      </c>
      <c r="L159">
        <v>1</v>
      </c>
      <c r="M159">
        <v>1</v>
      </c>
      <c r="N159">
        <v>2</v>
      </c>
      <c r="T159" s="124"/>
      <c r="U159" s="125"/>
      <c r="V159" s="124"/>
      <c r="W159" s="123"/>
      <c r="X159" s="124"/>
      <c r="Y159" s="124"/>
      <c r="Z159" s="124"/>
      <c r="AA159" s="124"/>
      <c r="AB159" s="123"/>
      <c r="AC159" s="123"/>
      <c r="AD159" s="123"/>
      <c r="AE159" s="123"/>
      <c r="AF159" s="123"/>
    </row>
    <row r="160" spans="1:32">
      <c r="A160">
        <v>79</v>
      </c>
      <c r="B160">
        <v>1</v>
      </c>
      <c r="C160">
        <v>1369</v>
      </c>
      <c r="D160" s="131">
        <v>0.22992198825456853</v>
      </c>
      <c r="E160">
        <v>7</v>
      </c>
      <c r="F160">
        <v>0</v>
      </c>
      <c r="G160">
        <v>8.6323244953276521E-2</v>
      </c>
      <c r="H160">
        <v>17.397205158000023</v>
      </c>
      <c r="I160">
        <v>37</v>
      </c>
      <c r="J160">
        <v>8040</v>
      </c>
      <c r="K160">
        <v>1</v>
      </c>
      <c r="L160">
        <v>2</v>
      </c>
      <c r="M160">
        <v>2</v>
      </c>
      <c r="N160">
        <v>2</v>
      </c>
      <c r="T160" s="124"/>
      <c r="U160" s="125"/>
      <c r="V160" s="124"/>
      <c r="W160" s="123"/>
      <c r="X160" s="124"/>
      <c r="Y160" s="124"/>
      <c r="Z160" s="124"/>
      <c r="AA160" s="124"/>
      <c r="AB160" s="123"/>
      <c r="AC160" s="123"/>
      <c r="AD160" s="123"/>
      <c r="AE160" s="123"/>
      <c r="AF160" s="123"/>
    </row>
    <row r="161" spans="1:32">
      <c r="A161">
        <v>79</v>
      </c>
      <c r="B161">
        <v>2</v>
      </c>
      <c r="C161">
        <v>1219</v>
      </c>
      <c r="D161" s="131">
        <v>0.19911811395747844</v>
      </c>
      <c r="E161">
        <v>5</v>
      </c>
      <c r="F161">
        <v>0</v>
      </c>
      <c r="G161">
        <v>6.7124967002405014E-2</v>
      </c>
      <c r="H161">
        <v>20.08857918799993</v>
      </c>
      <c r="I161">
        <v>36</v>
      </c>
      <c r="J161">
        <v>8040</v>
      </c>
      <c r="K161">
        <v>1</v>
      </c>
      <c r="L161">
        <v>1</v>
      </c>
      <c r="M161">
        <v>1</v>
      </c>
      <c r="N161">
        <v>2</v>
      </c>
      <c r="T161" s="124"/>
      <c r="U161" s="125"/>
      <c r="V161" s="124"/>
      <c r="W161" s="123"/>
      <c r="X161" s="124"/>
      <c r="Y161" s="124"/>
      <c r="Z161" s="124"/>
      <c r="AA161" s="124"/>
      <c r="AB161" s="123"/>
      <c r="AC161" s="123"/>
      <c r="AD161" s="123"/>
      <c r="AE161" s="123"/>
      <c r="AF161" s="123"/>
    </row>
    <row r="162" spans="1:32">
      <c r="A162">
        <v>80</v>
      </c>
      <c r="B162">
        <v>1</v>
      </c>
      <c r="C162">
        <v>1846</v>
      </c>
      <c r="D162" s="131">
        <v>0.22430734358579618</v>
      </c>
      <c r="E162">
        <v>7</v>
      </c>
      <c r="F162">
        <v>0</v>
      </c>
      <c r="G162">
        <v>8.6458320020179724E-2</v>
      </c>
      <c r="H162">
        <v>17.832675185999982</v>
      </c>
      <c r="I162">
        <v>36</v>
      </c>
      <c r="J162">
        <v>8040</v>
      </c>
      <c r="K162">
        <v>1</v>
      </c>
      <c r="L162">
        <v>2</v>
      </c>
      <c r="M162">
        <v>1</v>
      </c>
      <c r="N162">
        <v>3</v>
      </c>
      <c r="T162" s="124"/>
      <c r="U162" s="125"/>
      <c r="V162" s="124"/>
      <c r="W162" s="123"/>
      <c r="X162" s="124"/>
      <c r="Y162" s="124"/>
      <c r="Z162" s="124"/>
      <c r="AA162" s="124"/>
      <c r="AB162" s="123"/>
      <c r="AC162" s="123"/>
      <c r="AD162" s="123"/>
      <c r="AE162" s="123"/>
      <c r="AF162" s="123"/>
    </row>
    <row r="163" spans="1:32">
      <c r="A163">
        <v>80</v>
      </c>
      <c r="B163">
        <v>2</v>
      </c>
      <c r="C163">
        <v>1476</v>
      </c>
      <c r="D163" s="131">
        <v>0.19945357260451421</v>
      </c>
      <c r="E163">
        <v>5</v>
      </c>
      <c r="F163">
        <v>0</v>
      </c>
      <c r="G163">
        <v>6.7115360853871098E-2</v>
      </c>
      <c r="H163">
        <v>20.054792439999986</v>
      </c>
      <c r="I163">
        <v>35</v>
      </c>
      <c r="J163">
        <v>8040</v>
      </c>
      <c r="K163">
        <v>1</v>
      </c>
      <c r="L163">
        <v>1</v>
      </c>
      <c r="M163">
        <v>1</v>
      </c>
      <c r="N163">
        <v>2</v>
      </c>
      <c r="T163" s="124"/>
      <c r="U163" s="125"/>
      <c r="V163" s="124"/>
      <c r="W163" s="123"/>
      <c r="X163" s="124"/>
      <c r="Y163" s="124"/>
      <c r="Z163" s="124"/>
      <c r="AA163" s="124"/>
      <c r="AB163" s="123"/>
      <c r="AC163" s="123"/>
      <c r="AD163" s="123"/>
      <c r="AE163" s="123"/>
      <c r="AF163" s="123"/>
    </row>
    <row r="164" spans="1:32">
      <c r="E164">
        <f>AVERAGE(E4:E163)</f>
        <v>14.706250000000001</v>
      </c>
    </row>
    <row r="174" spans="1:32">
      <c r="A174">
        <v>1</v>
      </c>
      <c r="B174">
        <v>1</v>
      </c>
      <c r="C174">
        <v>3764</v>
      </c>
      <c r="D174" s="131">
        <v>0.38492230945105993</v>
      </c>
      <c r="E174">
        <v>61</v>
      </c>
      <c r="F174">
        <v>0</v>
      </c>
      <c r="G174">
        <v>0.62374703291129829</v>
      </c>
      <c r="H174">
        <v>10.391707369999999</v>
      </c>
      <c r="I174">
        <v>35</v>
      </c>
      <c r="J174">
        <v>8040</v>
      </c>
      <c r="K174">
        <v>14</v>
      </c>
      <c r="L174">
        <v>19</v>
      </c>
      <c r="M174">
        <v>13</v>
      </c>
      <c r="N174">
        <v>15</v>
      </c>
    </row>
    <row r="175" spans="1:32">
      <c r="A175">
        <v>1</v>
      </c>
      <c r="B175">
        <v>2</v>
      </c>
      <c r="C175">
        <v>2683</v>
      </c>
      <c r="D175" s="131">
        <v>0.32438839382009033</v>
      </c>
      <c r="E175">
        <v>28</v>
      </c>
      <c r="F175">
        <v>0</v>
      </c>
      <c r="G175">
        <v>0.29455386127174732</v>
      </c>
      <c r="H175">
        <v>12.330897394000008</v>
      </c>
      <c r="I175">
        <v>36</v>
      </c>
      <c r="J175">
        <v>8040</v>
      </c>
      <c r="K175">
        <v>7</v>
      </c>
      <c r="L175">
        <v>7</v>
      </c>
      <c r="M175">
        <v>8</v>
      </c>
      <c r="N175">
        <v>6</v>
      </c>
    </row>
    <row r="176" spans="1:32">
      <c r="A176">
        <v>2</v>
      </c>
      <c r="B176">
        <v>1</v>
      </c>
      <c r="C176">
        <v>1762</v>
      </c>
      <c r="D176" s="131">
        <v>0.37053514419258232</v>
      </c>
      <c r="E176">
        <v>40</v>
      </c>
      <c r="F176">
        <v>0</v>
      </c>
      <c r="G176">
        <v>0.41392270211978904</v>
      </c>
      <c r="H176">
        <v>10.795197332000001</v>
      </c>
      <c r="I176">
        <v>36</v>
      </c>
      <c r="J176">
        <v>8040</v>
      </c>
      <c r="K176">
        <v>10</v>
      </c>
      <c r="L176">
        <v>10</v>
      </c>
      <c r="M176">
        <v>12</v>
      </c>
      <c r="N176">
        <v>8</v>
      </c>
    </row>
    <row r="177" spans="1:14">
      <c r="A177">
        <v>2</v>
      </c>
      <c r="B177">
        <v>2</v>
      </c>
      <c r="C177">
        <v>2951</v>
      </c>
      <c r="D177" s="131">
        <v>0.31583053998236077</v>
      </c>
      <c r="E177">
        <v>21</v>
      </c>
      <c r="F177">
        <v>0</v>
      </c>
      <c r="G177">
        <v>0.22468414369438286</v>
      </c>
      <c r="H177">
        <v>12.665019666000005</v>
      </c>
      <c r="I177">
        <v>35</v>
      </c>
      <c r="J177">
        <v>8040</v>
      </c>
      <c r="K177">
        <v>5</v>
      </c>
      <c r="L177">
        <v>6</v>
      </c>
      <c r="M177">
        <v>5</v>
      </c>
      <c r="N177">
        <v>5</v>
      </c>
    </row>
    <row r="178" spans="1:14">
      <c r="A178">
        <v>3</v>
      </c>
      <c r="B178">
        <v>1</v>
      </c>
      <c r="C178">
        <v>3925</v>
      </c>
      <c r="D178" s="131">
        <v>0.40838763072007378</v>
      </c>
      <c r="E178">
        <v>66</v>
      </c>
      <c r="F178">
        <v>0</v>
      </c>
      <c r="G178">
        <v>0.67347852825688392</v>
      </c>
      <c r="H178">
        <v>9.7946159460000146</v>
      </c>
      <c r="I178">
        <v>36</v>
      </c>
      <c r="J178">
        <v>8040</v>
      </c>
      <c r="K178">
        <v>14</v>
      </c>
      <c r="L178">
        <v>17</v>
      </c>
      <c r="M178">
        <v>24</v>
      </c>
      <c r="N178">
        <v>11</v>
      </c>
    </row>
    <row r="179" spans="1:14">
      <c r="A179">
        <v>3</v>
      </c>
      <c r="B179">
        <v>2</v>
      </c>
      <c r="C179">
        <v>2160</v>
      </c>
      <c r="D179" s="131">
        <v>0.3355229111148807</v>
      </c>
      <c r="E179">
        <v>23</v>
      </c>
      <c r="F179">
        <v>0</v>
      </c>
      <c r="G179">
        <v>0.24439105411437237</v>
      </c>
      <c r="H179">
        <v>11.921689600000008</v>
      </c>
      <c r="I179">
        <v>35</v>
      </c>
      <c r="J179">
        <v>8040</v>
      </c>
      <c r="K179">
        <v>4</v>
      </c>
      <c r="L179">
        <v>6</v>
      </c>
      <c r="M179">
        <v>8</v>
      </c>
      <c r="N179">
        <v>5</v>
      </c>
    </row>
    <row r="180" spans="1:14">
      <c r="A180">
        <v>4</v>
      </c>
      <c r="B180">
        <v>1</v>
      </c>
      <c r="C180">
        <v>3058</v>
      </c>
      <c r="D180" s="131">
        <v>0.41671891071650291</v>
      </c>
      <c r="E180">
        <v>89</v>
      </c>
      <c r="F180">
        <v>0</v>
      </c>
      <c r="G180">
        <v>0.90338809946620002</v>
      </c>
      <c r="H180">
        <v>9.598796448000007</v>
      </c>
      <c r="I180">
        <v>35</v>
      </c>
      <c r="J180">
        <v>8040</v>
      </c>
      <c r="K180">
        <v>34</v>
      </c>
      <c r="L180">
        <v>19</v>
      </c>
      <c r="M180">
        <v>22</v>
      </c>
      <c r="N180">
        <v>14</v>
      </c>
    </row>
    <row r="181" spans="1:14">
      <c r="A181">
        <v>4</v>
      </c>
      <c r="B181">
        <v>2</v>
      </c>
      <c r="C181">
        <v>4448</v>
      </c>
      <c r="D181" s="131">
        <v>0.34531488606030697</v>
      </c>
      <c r="E181">
        <v>29</v>
      </c>
      <c r="F181">
        <v>0</v>
      </c>
      <c r="G181">
        <v>0.30425372032379838</v>
      </c>
      <c r="H181">
        <v>11.583630365999994</v>
      </c>
      <c r="I181">
        <v>35</v>
      </c>
      <c r="J181">
        <v>8040</v>
      </c>
      <c r="K181">
        <v>7</v>
      </c>
      <c r="L181">
        <v>7</v>
      </c>
      <c r="M181">
        <v>8</v>
      </c>
      <c r="N181">
        <v>7</v>
      </c>
    </row>
    <row r="182" spans="1:14">
      <c r="A182">
        <v>5</v>
      </c>
      <c r="B182">
        <v>1</v>
      </c>
      <c r="C182">
        <v>5804</v>
      </c>
      <c r="D182" s="131">
        <v>0.40077074554561559</v>
      </c>
      <c r="E182">
        <v>66</v>
      </c>
      <c r="F182">
        <v>0</v>
      </c>
      <c r="G182">
        <v>0.67356338207541455</v>
      </c>
      <c r="H182">
        <v>9.9807684180000145</v>
      </c>
      <c r="I182">
        <v>35</v>
      </c>
      <c r="J182">
        <v>8040</v>
      </c>
      <c r="K182">
        <v>20</v>
      </c>
      <c r="L182">
        <v>15</v>
      </c>
      <c r="M182">
        <v>17</v>
      </c>
      <c r="N182">
        <v>14</v>
      </c>
    </row>
    <row r="183" spans="1:14">
      <c r="A183">
        <v>5</v>
      </c>
      <c r="B183">
        <v>2</v>
      </c>
      <c r="C183">
        <v>3070</v>
      </c>
      <c r="D183" s="131">
        <v>0.31383591150313989</v>
      </c>
      <c r="E183">
        <v>20</v>
      </c>
      <c r="F183">
        <v>0</v>
      </c>
      <c r="G183">
        <v>0.21471518707014062</v>
      </c>
      <c r="H183">
        <v>12.745513988000001</v>
      </c>
      <c r="I183">
        <v>36</v>
      </c>
      <c r="J183">
        <v>8040</v>
      </c>
      <c r="K183">
        <v>5</v>
      </c>
      <c r="L183">
        <v>5</v>
      </c>
      <c r="M183">
        <v>6</v>
      </c>
      <c r="N183">
        <v>4</v>
      </c>
    </row>
    <row r="184" spans="1:14">
      <c r="A184">
        <v>6</v>
      </c>
      <c r="B184">
        <v>1</v>
      </c>
      <c r="C184">
        <v>2056</v>
      </c>
      <c r="D184" s="131">
        <v>0.42622201476651883</v>
      </c>
      <c r="E184">
        <v>61</v>
      </c>
      <c r="F184">
        <v>0</v>
      </c>
      <c r="G184">
        <v>0.62328784970956408</v>
      </c>
      <c r="H184">
        <v>9.3847803759999806</v>
      </c>
      <c r="I184">
        <v>35</v>
      </c>
      <c r="J184">
        <v>8040</v>
      </c>
      <c r="K184">
        <v>14</v>
      </c>
      <c r="L184">
        <v>19</v>
      </c>
      <c r="M184">
        <v>16</v>
      </c>
      <c r="N184">
        <v>12</v>
      </c>
    </row>
    <row r="185" spans="1:14">
      <c r="A185">
        <v>6</v>
      </c>
      <c r="B185">
        <v>2</v>
      </c>
      <c r="C185">
        <v>1787</v>
      </c>
      <c r="D185" s="131">
        <v>0.33463340256289903</v>
      </c>
      <c r="E185">
        <v>21</v>
      </c>
      <c r="F185">
        <v>0</v>
      </c>
      <c r="G185">
        <v>0.22440379406601099</v>
      </c>
      <c r="H185">
        <v>11.953379338000019</v>
      </c>
      <c r="I185">
        <v>35</v>
      </c>
      <c r="J185">
        <v>8040</v>
      </c>
      <c r="K185">
        <v>5</v>
      </c>
      <c r="L185">
        <v>7</v>
      </c>
      <c r="M185">
        <v>5</v>
      </c>
      <c r="N185">
        <v>4</v>
      </c>
    </row>
    <row r="186" spans="1:14">
      <c r="A186">
        <v>7</v>
      </c>
      <c r="B186">
        <v>1</v>
      </c>
      <c r="C186">
        <v>1967</v>
      </c>
      <c r="D186" s="131">
        <v>0.42554774708065007</v>
      </c>
      <c r="E186">
        <v>153</v>
      </c>
      <c r="F186">
        <v>0</v>
      </c>
      <c r="G186">
        <v>1.5432948640730839</v>
      </c>
      <c r="H186">
        <v>9.3996502799999959</v>
      </c>
      <c r="I186">
        <v>35</v>
      </c>
      <c r="J186">
        <v>8040</v>
      </c>
      <c r="K186">
        <v>38</v>
      </c>
      <c r="L186">
        <v>31</v>
      </c>
      <c r="M186">
        <v>56</v>
      </c>
      <c r="N186">
        <v>28</v>
      </c>
    </row>
    <row r="187" spans="1:14">
      <c r="A187">
        <v>7</v>
      </c>
      <c r="B187">
        <v>2</v>
      </c>
      <c r="C187">
        <v>2572</v>
      </c>
      <c r="D187" s="131">
        <v>0.33486914621011538</v>
      </c>
      <c r="E187">
        <v>31</v>
      </c>
      <c r="F187">
        <v>0</v>
      </c>
      <c r="G187">
        <v>0.32440041324286695</v>
      </c>
      <c r="H187">
        <v>11.94496431</v>
      </c>
      <c r="I187">
        <v>35</v>
      </c>
      <c r="J187">
        <v>8040</v>
      </c>
      <c r="K187">
        <v>7</v>
      </c>
      <c r="L187">
        <v>8</v>
      </c>
      <c r="M187">
        <v>9</v>
      </c>
      <c r="N187">
        <v>7</v>
      </c>
    </row>
    <row r="188" spans="1:14">
      <c r="A188">
        <v>8</v>
      </c>
      <c r="B188">
        <v>1</v>
      </c>
      <c r="C188">
        <v>1877</v>
      </c>
      <c r="D188" s="131">
        <v>0.39245032339965075</v>
      </c>
      <c r="E188">
        <v>38</v>
      </c>
      <c r="F188">
        <v>0</v>
      </c>
      <c r="G188">
        <v>0.39365856591603021</v>
      </c>
      <c r="H188">
        <v>10.192372795999994</v>
      </c>
      <c r="I188">
        <v>35</v>
      </c>
      <c r="J188">
        <v>8040</v>
      </c>
      <c r="K188">
        <v>10</v>
      </c>
      <c r="L188">
        <v>9</v>
      </c>
      <c r="M188">
        <v>10</v>
      </c>
      <c r="N188">
        <v>9</v>
      </c>
    </row>
    <row r="189" spans="1:14">
      <c r="A189">
        <v>8</v>
      </c>
      <c r="B189">
        <v>2</v>
      </c>
      <c r="C189">
        <v>1970</v>
      </c>
      <c r="D189" s="131">
        <v>0.32343753939822972</v>
      </c>
      <c r="E189">
        <v>19</v>
      </c>
      <c r="F189">
        <v>0</v>
      </c>
      <c r="G189">
        <v>0.20456810932345867</v>
      </c>
      <c r="H189">
        <v>12.367148252000007</v>
      </c>
      <c r="I189">
        <v>36</v>
      </c>
      <c r="J189">
        <v>8040</v>
      </c>
      <c r="K189">
        <v>4</v>
      </c>
      <c r="L189">
        <v>5</v>
      </c>
      <c r="M189">
        <v>6</v>
      </c>
      <c r="N189">
        <v>4</v>
      </c>
    </row>
    <row r="190" spans="1:14">
      <c r="A190">
        <v>9</v>
      </c>
      <c r="B190">
        <v>1</v>
      </c>
      <c r="C190">
        <v>2625</v>
      </c>
      <c r="D190" s="131">
        <v>0.400647280297245</v>
      </c>
      <c r="E190">
        <v>62</v>
      </c>
      <c r="F190">
        <v>0</v>
      </c>
      <c r="G190">
        <v>0.63356477518304344</v>
      </c>
      <c r="H190">
        <v>9.9838441360000054</v>
      </c>
      <c r="I190">
        <v>35</v>
      </c>
      <c r="J190">
        <v>8040</v>
      </c>
      <c r="K190">
        <v>16</v>
      </c>
      <c r="L190">
        <v>18</v>
      </c>
      <c r="M190">
        <v>14</v>
      </c>
      <c r="N190">
        <v>14</v>
      </c>
    </row>
    <row r="191" spans="1:14">
      <c r="A191">
        <v>9</v>
      </c>
      <c r="B191">
        <v>2</v>
      </c>
      <c r="C191">
        <v>1537</v>
      </c>
      <c r="D191" s="131">
        <v>0.33375563183112189</v>
      </c>
      <c r="E191">
        <v>26</v>
      </c>
      <c r="F191">
        <v>0</v>
      </c>
      <c r="G191">
        <v>0.27441641024384184</v>
      </c>
      <c r="H191">
        <v>11.984816490000004</v>
      </c>
      <c r="I191">
        <v>35</v>
      </c>
      <c r="J191">
        <v>8040</v>
      </c>
      <c r="K191">
        <v>6</v>
      </c>
      <c r="L191">
        <v>7</v>
      </c>
      <c r="M191">
        <v>7</v>
      </c>
      <c r="N191">
        <v>6</v>
      </c>
    </row>
    <row r="192" spans="1:14">
      <c r="A192">
        <v>10</v>
      </c>
      <c r="B192">
        <v>1</v>
      </c>
      <c r="C192">
        <v>3247</v>
      </c>
      <c r="D192" s="131">
        <v>0.39252624649072121</v>
      </c>
      <c r="E192">
        <v>60</v>
      </c>
      <c r="F192">
        <v>0</v>
      </c>
      <c r="G192">
        <v>0.61365768523826669</v>
      </c>
      <c r="H192">
        <v>10.190401369999993</v>
      </c>
      <c r="I192">
        <v>35</v>
      </c>
      <c r="J192">
        <v>8040</v>
      </c>
      <c r="K192">
        <v>15</v>
      </c>
      <c r="L192">
        <v>10</v>
      </c>
      <c r="M192">
        <v>22</v>
      </c>
      <c r="N192">
        <v>13</v>
      </c>
    </row>
    <row r="193" spans="1:14">
      <c r="A193">
        <v>10</v>
      </c>
      <c r="B193">
        <v>2</v>
      </c>
      <c r="C193">
        <v>2321</v>
      </c>
      <c r="D193" s="131">
        <v>0.3129788558400256</v>
      </c>
      <c r="E193">
        <v>21</v>
      </c>
      <c r="F193">
        <v>0</v>
      </c>
      <c r="G193">
        <v>0.22472860676260342</v>
      </c>
      <c r="H193">
        <v>12.780416074000026</v>
      </c>
      <c r="I193">
        <v>36</v>
      </c>
      <c r="J193">
        <v>8040</v>
      </c>
      <c r="K193">
        <v>6</v>
      </c>
      <c r="L193">
        <v>5</v>
      </c>
      <c r="M193">
        <v>6</v>
      </c>
      <c r="N193">
        <v>4</v>
      </c>
    </row>
    <row r="194" spans="1:14">
      <c r="A194">
        <v>11</v>
      </c>
      <c r="B194">
        <v>1</v>
      </c>
      <c r="C194">
        <v>1103</v>
      </c>
      <c r="D194" s="131">
        <v>0.43855443395402866</v>
      </c>
      <c r="E194">
        <v>18</v>
      </c>
      <c r="F194">
        <v>0</v>
      </c>
      <c r="G194">
        <v>0.19316210945138834</v>
      </c>
      <c r="H194">
        <v>9.1208746059999903</v>
      </c>
      <c r="I194">
        <v>36</v>
      </c>
      <c r="J194">
        <v>8040</v>
      </c>
      <c r="K194">
        <v>4</v>
      </c>
      <c r="L194">
        <v>5</v>
      </c>
      <c r="M194">
        <v>5</v>
      </c>
      <c r="N194">
        <v>4</v>
      </c>
    </row>
    <row r="195" spans="1:14">
      <c r="A195">
        <v>11</v>
      </c>
      <c r="B195">
        <v>2</v>
      </c>
      <c r="C195">
        <v>1074</v>
      </c>
      <c r="D195" s="131">
        <v>0.35586390482813435</v>
      </c>
      <c r="E195">
        <v>9</v>
      </c>
      <c r="F195">
        <v>0</v>
      </c>
      <c r="G195">
        <v>0.10411146230644165</v>
      </c>
      <c r="H195">
        <v>11.240252090000006</v>
      </c>
      <c r="I195">
        <v>35</v>
      </c>
      <c r="J195">
        <v>8040</v>
      </c>
      <c r="K195">
        <v>2</v>
      </c>
      <c r="L195">
        <v>2</v>
      </c>
      <c r="M195">
        <v>3</v>
      </c>
      <c r="N195">
        <v>2</v>
      </c>
    </row>
    <row r="196" spans="1:14">
      <c r="A196">
        <v>12</v>
      </c>
      <c r="B196">
        <v>1</v>
      </c>
      <c r="C196">
        <v>1272</v>
      </c>
      <c r="D196" s="131">
        <v>0.43827706721241511</v>
      </c>
      <c r="E196">
        <v>18</v>
      </c>
      <c r="F196">
        <v>0</v>
      </c>
      <c r="G196">
        <v>0.19316488544388613</v>
      </c>
      <c r="H196">
        <v>9.126646815999985</v>
      </c>
      <c r="I196">
        <v>36</v>
      </c>
      <c r="J196">
        <v>8040</v>
      </c>
      <c r="K196">
        <v>4</v>
      </c>
      <c r="L196">
        <v>5</v>
      </c>
      <c r="M196">
        <v>4</v>
      </c>
      <c r="N196">
        <v>5</v>
      </c>
    </row>
    <row r="197" spans="1:14">
      <c r="A197">
        <v>12</v>
      </c>
      <c r="B197">
        <v>2</v>
      </c>
      <c r="C197">
        <v>996</v>
      </c>
      <c r="D197" s="131">
        <v>0.35212431308295472</v>
      </c>
      <c r="E197">
        <v>9</v>
      </c>
      <c r="F197">
        <v>0</v>
      </c>
      <c r="G197">
        <v>0.1041612414981974</v>
      </c>
      <c r="H197">
        <v>11.359624573999994</v>
      </c>
      <c r="I197">
        <v>36</v>
      </c>
      <c r="J197">
        <v>8040</v>
      </c>
      <c r="K197">
        <v>2</v>
      </c>
      <c r="L197">
        <v>2</v>
      </c>
      <c r="M197">
        <v>3</v>
      </c>
      <c r="N197">
        <v>2</v>
      </c>
    </row>
    <row r="198" spans="1:14">
      <c r="A198">
        <v>13</v>
      </c>
      <c r="B198">
        <v>1</v>
      </c>
      <c r="C198">
        <v>1028</v>
      </c>
      <c r="D198" s="131">
        <v>0.43555677175201818</v>
      </c>
      <c r="E198">
        <v>17</v>
      </c>
      <c r="F198">
        <v>0</v>
      </c>
      <c r="G198">
        <v>0.18319223593865616</v>
      </c>
      <c r="H198">
        <v>9.1836478259999996</v>
      </c>
      <c r="I198">
        <v>36</v>
      </c>
      <c r="J198">
        <v>8040</v>
      </c>
      <c r="K198">
        <v>4</v>
      </c>
      <c r="L198">
        <v>5</v>
      </c>
      <c r="M198">
        <v>4</v>
      </c>
      <c r="N198">
        <v>4</v>
      </c>
    </row>
    <row r="199" spans="1:14">
      <c r="A199">
        <v>13</v>
      </c>
      <c r="B199">
        <v>2</v>
      </c>
      <c r="C199">
        <v>992</v>
      </c>
      <c r="D199" s="131">
        <v>0.35396976716007295</v>
      </c>
      <c r="E199">
        <v>9</v>
      </c>
      <c r="F199">
        <v>0</v>
      </c>
      <c r="G199">
        <v>0.1041365882909658</v>
      </c>
      <c r="H199">
        <v>11.300400122000001</v>
      </c>
      <c r="I199">
        <v>37</v>
      </c>
      <c r="J199">
        <v>8040</v>
      </c>
      <c r="K199">
        <v>2</v>
      </c>
      <c r="L199">
        <v>3</v>
      </c>
      <c r="M199">
        <v>2</v>
      </c>
      <c r="N199">
        <v>2</v>
      </c>
    </row>
    <row r="200" spans="1:14">
      <c r="A200">
        <v>14</v>
      </c>
      <c r="B200">
        <v>1</v>
      </c>
      <c r="C200">
        <v>926</v>
      </c>
      <c r="D200" s="131">
        <v>0.4271842270368012</v>
      </c>
      <c r="E200">
        <v>16</v>
      </c>
      <c r="F200">
        <v>0</v>
      </c>
      <c r="G200">
        <v>0.17327786545842258</v>
      </c>
      <c r="H200">
        <v>9.3636416019999889</v>
      </c>
      <c r="I200">
        <v>36</v>
      </c>
      <c r="J200">
        <v>8040</v>
      </c>
      <c r="K200">
        <v>4</v>
      </c>
      <c r="L200">
        <v>4</v>
      </c>
      <c r="M200">
        <v>4</v>
      </c>
      <c r="N200">
        <v>4</v>
      </c>
    </row>
    <row r="201" spans="1:14">
      <c r="A201">
        <v>14</v>
      </c>
      <c r="B201">
        <v>2</v>
      </c>
      <c r="C201">
        <v>1078</v>
      </c>
      <c r="D201" s="131">
        <v>0.33591993192555702</v>
      </c>
      <c r="E201">
        <v>8</v>
      </c>
      <c r="F201">
        <v>0</v>
      </c>
      <c r="G201">
        <v>9.4385382325911704E-2</v>
      </c>
      <c r="H201">
        <v>11.907599460000002</v>
      </c>
      <c r="I201">
        <v>37</v>
      </c>
      <c r="J201">
        <v>8040</v>
      </c>
      <c r="K201">
        <v>2</v>
      </c>
      <c r="L201">
        <v>2</v>
      </c>
      <c r="M201">
        <v>2</v>
      </c>
      <c r="N201">
        <v>2</v>
      </c>
    </row>
    <row r="202" spans="1:14">
      <c r="A202">
        <v>15</v>
      </c>
      <c r="B202">
        <v>1</v>
      </c>
      <c r="C202">
        <v>792</v>
      </c>
      <c r="D202" s="131">
        <v>0.43710680573622418</v>
      </c>
      <c r="E202">
        <v>17</v>
      </c>
      <c r="F202">
        <v>0</v>
      </c>
      <c r="G202">
        <v>0.18317662371120147</v>
      </c>
      <c r="H202">
        <v>9.1510814919999994</v>
      </c>
      <c r="I202">
        <v>36</v>
      </c>
      <c r="J202">
        <v>8040</v>
      </c>
      <c r="K202">
        <v>4</v>
      </c>
      <c r="L202">
        <v>5</v>
      </c>
      <c r="M202">
        <v>4</v>
      </c>
      <c r="N202">
        <v>4</v>
      </c>
    </row>
    <row r="203" spans="1:14">
      <c r="A203">
        <v>15</v>
      </c>
      <c r="B203">
        <v>2</v>
      </c>
      <c r="C203">
        <v>1109</v>
      </c>
      <c r="D203" s="131">
        <v>0.3538417704025863</v>
      </c>
      <c r="E203">
        <v>9</v>
      </c>
      <c r="F203">
        <v>0</v>
      </c>
      <c r="G203">
        <v>0.10413829264912784</v>
      </c>
      <c r="H203">
        <v>11.304487866000015</v>
      </c>
      <c r="I203">
        <v>37</v>
      </c>
      <c r="J203">
        <v>8040</v>
      </c>
      <c r="K203">
        <v>2</v>
      </c>
      <c r="L203">
        <v>3</v>
      </c>
      <c r="M203">
        <v>2</v>
      </c>
      <c r="N203">
        <v>2</v>
      </c>
    </row>
    <row r="204" spans="1:14">
      <c r="A204">
        <v>16</v>
      </c>
      <c r="B204">
        <v>1</v>
      </c>
      <c r="C204">
        <v>1356</v>
      </c>
      <c r="D204" s="131">
        <v>0.43521060038211756</v>
      </c>
      <c r="E204">
        <v>21</v>
      </c>
      <c r="F204">
        <v>0</v>
      </c>
      <c r="G204">
        <v>0.22319573276226032</v>
      </c>
      <c r="H204">
        <v>9.190952601999987</v>
      </c>
      <c r="I204">
        <v>35</v>
      </c>
      <c r="J204">
        <v>8040</v>
      </c>
      <c r="K204">
        <v>5</v>
      </c>
      <c r="L204">
        <v>6</v>
      </c>
      <c r="M204">
        <v>5</v>
      </c>
      <c r="N204">
        <v>5</v>
      </c>
    </row>
    <row r="205" spans="1:14">
      <c r="A205">
        <v>16</v>
      </c>
      <c r="B205">
        <v>2</v>
      </c>
      <c r="C205">
        <v>1359</v>
      </c>
      <c r="D205" s="131">
        <v>0.34770190434457238</v>
      </c>
      <c r="E205">
        <v>9</v>
      </c>
      <c r="F205">
        <v>0</v>
      </c>
      <c r="G205">
        <v>0.10422102752153795</v>
      </c>
      <c r="H205">
        <v>11.504107253999974</v>
      </c>
      <c r="I205">
        <v>37</v>
      </c>
      <c r="J205">
        <v>8040</v>
      </c>
      <c r="K205">
        <v>2</v>
      </c>
      <c r="L205">
        <v>3</v>
      </c>
      <c r="M205">
        <v>2</v>
      </c>
      <c r="N205">
        <v>2</v>
      </c>
    </row>
    <row r="206" spans="1:14">
      <c r="A206">
        <v>17</v>
      </c>
      <c r="B206">
        <v>1</v>
      </c>
      <c r="C206">
        <v>1151</v>
      </c>
      <c r="D206" s="131">
        <v>0.42963970532677065</v>
      </c>
      <c r="E206">
        <v>16</v>
      </c>
      <c r="F206">
        <v>0</v>
      </c>
      <c r="G206">
        <v>0.17325252188190987</v>
      </c>
      <c r="H206">
        <v>9.3101264859999944</v>
      </c>
      <c r="I206">
        <v>35</v>
      </c>
      <c r="J206">
        <v>8040</v>
      </c>
      <c r="K206">
        <v>4</v>
      </c>
      <c r="L206">
        <v>4</v>
      </c>
      <c r="M206">
        <v>4</v>
      </c>
      <c r="N206">
        <v>4</v>
      </c>
    </row>
    <row r="207" spans="1:14">
      <c r="A207">
        <v>17</v>
      </c>
      <c r="B207">
        <v>2</v>
      </c>
      <c r="C207">
        <v>1069</v>
      </c>
      <c r="D207" s="131">
        <v>0.33975999384613115</v>
      </c>
      <c r="E207">
        <v>8</v>
      </c>
      <c r="F207">
        <v>0</v>
      </c>
      <c r="G207">
        <v>9.4330980991583699E-2</v>
      </c>
      <c r="H207">
        <v>11.773016459999997</v>
      </c>
      <c r="I207">
        <v>36</v>
      </c>
      <c r="J207">
        <v>8040</v>
      </c>
      <c r="K207">
        <v>2</v>
      </c>
      <c r="L207">
        <v>2</v>
      </c>
      <c r="M207">
        <v>2</v>
      </c>
      <c r="N207">
        <v>2</v>
      </c>
    </row>
    <row r="208" spans="1:14">
      <c r="A208">
        <v>18</v>
      </c>
      <c r="B208">
        <v>1</v>
      </c>
      <c r="C208">
        <v>1052</v>
      </c>
      <c r="D208" s="131">
        <v>0.43766999203701956</v>
      </c>
      <c r="E208">
        <v>19</v>
      </c>
      <c r="F208">
        <v>0</v>
      </c>
      <c r="G208">
        <v>0.20317096946682853</v>
      </c>
      <c r="H208">
        <v>9.1393060359999883</v>
      </c>
      <c r="I208">
        <v>36</v>
      </c>
      <c r="J208">
        <v>8040</v>
      </c>
      <c r="K208">
        <v>5</v>
      </c>
      <c r="L208">
        <v>5</v>
      </c>
      <c r="M208">
        <v>5</v>
      </c>
      <c r="N208">
        <v>4</v>
      </c>
    </row>
    <row r="209" spans="1:14">
      <c r="A209">
        <v>18</v>
      </c>
      <c r="B209">
        <v>2</v>
      </c>
      <c r="C209">
        <v>862</v>
      </c>
      <c r="D209" s="131">
        <v>0.34887840074630927</v>
      </c>
      <c r="E209">
        <v>9</v>
      </c>
      <c r="F209">
        <v>0</v>
      </c>
      <c r="G209">
        <v>0.10420502401824512</v>
      </c>
      <c r="H209">
        <v>11.465312817999999</v>
      </c>
      <c r="I209">
        <v>36</v>
      </c>
      <c r="J209">
        <v>8040</v>
      </c>
      <c r="K209">
        <v>2</v>
      </c>
      <c r="L209">
        <v>2</v>
      </c>
      <c r="M209">
        <v>3</v>
      </c>
      <c r="N209">
        <v>2</v>
      </c>
    </row>
    <row r="210" spans="1:14">
      <c r="A210">
        <v>19</v>
      </c>
      <c r="B210">
        <v>1</v>
      </c>
      <c r="C210">
        <v>863</v>
      </c>
      <c r="D210" s="131">
        <v>0.43618421317713918</v>
      </c>
      <c r="E210">
        <v>17</v>
      </c>
      <c r="F210">
        <v>0</v>
      </c>
      <c r="G210">
        <v>0.18318590732246304</v>
      </c>
      <c r="H210">
        <v>9.170437350000002</v>
      </c>
      <c r="I210">
        <v>36</v>
      </c>
      <c r="J210">
        <v>8040</v>
      </c>
      <c r="K210">
        <v>4</v>
      </c>
      <c r="L210">
        <v>4</v>
      </c>
      <c r="M210">
        <v>5</v>
      </c>
      <c r="N210">
        <v>4</v>
      </c>
    </row>
    <row r="211" spans="1:14">
      <c r="A211">
        <v>19</v>
      </c>
      <c r="B211">
        <v>2</v>
      </c>
      <c r="C211">
        <v>1143</v>
      </c>
      <c r="D211" s="131">
        <v>0.35389655156260219</v>
      </c>
      <c r="E211">
        <v>9</v>
      </c>
      <c r="F211">
        <v>0</v>
      </c>
      <c r="G211">
        <v>0.10413756310256467</v>
      </c>
      <c r="H211">
        <v>11.302737996000008</v>
      </c>
      <c r="I211">
        <v>37</v>
      </c>
      <c r="J211">
        <v>8040</v>
      </c>
      <c r="K211">
        <v>2</v>
      </c>
      <c r="L211">
        <v>3</v>
      </c>
      <c r="M211">
        <v>2</v>
      </c>
      <c r="N211">
        <v>2</v>
      </c>
    </row>
    <row r="212" spans="1:14">
      <c r="A212">
        <v>20</v>
      </c>
      <c r="B212">
        <v>1</v>
      </c>
      <c r="C212">
        <v>1037</v>
      </c>
      <c r="D212" s="131">
        <v>0.43867010382327537</v>
      </c>
      <c r="E212">
        <v>18</v>
      </c>
      <c r="F212">
        <v>0</v>
      </c>
      <c r="G212">
        <v>0.19316095247465256</v>
      </c>
      <c r="H212">
        <v>9.1184695860000033</v>
      </c>
      <c r="I212">
        <v>35</v>
      </c>
      <c r="J212">
        <v>8040</v>
      </c>
      <c r="K212">
        <v>4</v>
      </c>
      <c r="L212">
        <v>4</v>
      </c>
      <c r="M212">
        <v>5</v>
      </c>
      <c r="N212">
        <v>5</v>
      </c>
    </row>
    <row r="213" spans="1:14">
      <c r="A213">
        <v>20</v>
      </c>
      <c r="B213">
        <v>2</v>
      </c>
      <c r="C213">
        <v>1134</v>
      </c>
      <c r="D213" s="131">
        <v>0.35324743992307522</v>
      </c>
      <c r="E213">
        <v>9</v>
      </c>
      <c r="F213">
        <v>0</v>
      </c>
      <c r="G213">
        <v>0.10414621732098288</v>
      </c>
      <c r="H213">
        <v>11.323507400000006</v>
      </c>
      <c r="I213">
        <v>37</v>
      </c>
      <c r="J213">
        <v>8040</v>
      </c>
      <c r="K213">
        <v>2</v>
      </c>
      <c r="L213">
        <v>3</v>
      </c>
      <c r="M213">
        <v>2</v>
      </c>
      <c r="N213">
        <v>2</v>
      </c>
    </row>
    <row r="214" spans="1:14">
      <c r="A214">
        <v>21</v>
      </c>
      <c r="B214">
        <v>1</v>
      </c>
      <c r="C214">
        <v>1169</v>
      </c>
      <c r="D214" s="131">
        <v>0.23626968348128671</v>
      </c>
      <c r="E214">
        <v>15</v>
      </c>
      <c r="F214">
        <v>0</v>
      </c>
      <c r="G214">
        <v>0.16617573413293008</v>
      </c>
      <c r="H214">
        <v>16.929806401999993</v>
      </c>
      <c r="I214">
        <v>35</v>
      </c>
      <c r="J214">
        <v>8040</v>
      </c>
      <c r="K214">
        <v>5</v>
      </c>
      <c r="L214">
        <v>4</v>
      </c>
      <c r="M214">
        <v>4</v>
      </c>
      <c r="N214">
        <v>2</v>
      </c>
    </row>
    <row r="215" spans="1:14">
      <c r="A215">
        <v>21</v>
      </c>
      <c r="B215">
        <v>2</v>
      </c>
      <c r="C215">
        <v>714</v>
      </c>
      <c r="D215" s="131">
        <v>0.18230140606706396</v>
      </c>
      <c r="E215">
        <v>7</v>
      </c>
      <c r="F215">
        <v>0</v>
      </c>
      <c r="G215">
        <v>8.7636131452724697E-2</v>
      </c>
      <c r="H215">
        <v>21.941684852000009</v>
      </c>
      <c r="I215">
        <v>37</v>
      </c>
      <c r="J215">
        <v>8040</v>
      </c>
      <c r="K215">
        <v>2</v>
      </c>
      <c r="L215">
        <v>2</v>
      </c>
      <c r="M215">
        <v>2</v>
      </c>
      <c r="N215">
        <v>1</v>
      </c>
    </row>
    <row r="216" spans="1:14">
      <c r="A216">
        <v>22</v>
      </c>
      <c r="B216">
        <v>1</v>
      </c>
      <c r="C216">
        <v>1676</v>
      </c>
      <c r="D216" s="131">
        <v>0.21049087776686207</v>
      </c>
      <c r="E216">
        <v>13</v>
      </c>
      <c r="F216">
        <v>0</v>
      </c>
      <c r="G216">
        <v>0.14681082034545942</v>
      </c>
      <c r="H216">
        <v>19.003198820000012</v>
      </c>
      <c r="I216">
        <v>37</v>
      </c>
      <c r="J216">
        <v>8040</v>
      </c>
      <c r="K216">
        <v>5</v>
      </c>
      <c r="L216">
        <v>3</v>
      </c>
      <c r="M216">
        <v>3</v>
      </c>
      <c r="N216">
        <v>2</v>
      </c>
    </row>
    <row r="217" spans="1:14">
      <c r="A217">
        <v>22</v>
      </c>
      <c r="B217">
        <v>2</v>
      </c>
      <c r="C217">
        <v>1405</v>
      </c>
      <c r="D217" s="131">
        <v>0.17071898768237401</v>
      </c>
      <c r="E217">
        <v>7</v>
      </c>
      <c r="F217">
        <v>0</v>
      </c>
      <c r="G217">
        <v>8.8026277721038187E-2</v>
      </c>
      <c r="H217">
        <v>23.430317004000035</v>
      </c>
      <c r="I217">
        <v>37</v>
      </c>
      <c r="J217">
        <v>8040</v>
      </c>
      <c r="K217">
        <v>2</v>
      </c>
      <c r="L217">
        <v>2</v>
      </c>
      <c r="M217">
        <v>2</v>
      </c>
      <c r="N217">
        <v>1</v>
      </c>
    </row>
    <row r="218" spans="1:14">
      <c r="A218">
        <v>23</v>
      </c>
      <c r="B218">
        <v>1</v>
      </c>
      <c r="C218">
        <v>1444</v>
      </c>
      <c r="D218" s="131">
        <v>0.230605536573252</v>
      </c>
      <c r="E218">
        <v>15</v>
      </c>
      <c r="F218">
        <v>0</v>
      </c>
      <c r="G218">
        <v>0.16630710083494946</v>
      </c>
      <c r="H218">
        <v>17.345637314000037</v>
      </c>
      <c r="I218">
        <v>35</v>
      </c>
      <c r="J218">
        <v>8040</v>
      </c>
      <c r="K218">
        <v>6</v>
      </c>
      <c r="L218">
        <v>3</v>
      </c>
      <c r="M218">
        <v>3</v>
      </c>
      <c r="N218">
        <v>3</v>
      </c>
    </row>
    <row r="219" spans="1:14">
      <c r="A219">
        <v>23</v>
      </c>
      <c r="B219">
        <v>2</v>
      </c>
      <c r="C219">
        <v>668</v>
      </c>
      <c r="D219" s="131">
        <v>0.18734886333009063</v>
      </c>
      <c r="E219">
        <v>8</v>
      </c>
      <c r="F219">
        <v>0</v>
      </c>
      <c r="G219">
        <v>9.7476306220467143E-2</v>
      </c>
      <c r="H219">
        <v>21.350543200000022</v>
      </c>
      <c r="I219">
        <v>38</v>
      </c>
      <c r="J219">
        <v>8040</v>
      </c>
      <c r="K219">
        <v>3</v>
      </c>
      <c r="L219">
        <v>2</v>
      </c>
      <c r="M219">
        <v>2</v>
      </c>
      <c r="N219">
        <v>1</v>
      </c>
    </row>
    <row r="220" spans="1:14">
      <c r="A220">
        <v>24</v>
      </c>
      <c r="B220">
        <v>1</v>
      </c>
      <c r="C220">
        <v>2235</v>
      </c>
      <c r="D220" s="131">
        <v>0.23095618009685998</v>
      </c>
      <c r="E220">
        <v>17</v>
      </c>
      <c r="F220">
        <v>0</v>
      </c>
      <c r="G220">
        <v>0.18629884403710953</v>
      </c>
      <c r="H220">
        <v>17.319302727999972</v>
      </c>
      <c r="I220">
        <v>36</v>
      </c>
      <c r="J220">
        <v>8040</v>
      </c>
      <c r="K220">
        <v>7</v>
      </c>
      <c r="L220">
        <v>4</v>
      </c>
      <c r="M220">
        <v>3</v>
      </c>
      <c r="N220">
        <v>3</v>
      </c>
    </row>
    <row r="221" spans="1:14">
      <c r="A221">
        <v>24</v>
      </c>
      <c r="B221">
        <v>2</v>
      </c>
      <c r="C221">
        <v>798</v>
      </c>
      <c r="D221" s="131">
        <v>0.18093441313813799</v>
      </c>
      <c r="E221">
        <v>8</v>
      </c>
      <c r="F221">
        <v>0</v>
      </c>
      <c r="G221">
        <v>9.7680434810119593E-2</v>
      </c>
      <c r="H221">
        <v>22.107458336000018</v>
      </c>
      <c r="I221">
        <v>39</v>
      </c>
      <c r="J221">
        <v>8040</v>
      </c>
      <c r="K221">
        <v>3</v>
      </c>
      <c r="L221">
        <v>2</v>
      </c>
      <c r="M221">
        <v>2</v>
      </c>
      <c r="N221">
        <v>1</v>
      </c>
    </row>
    <row r="222" spans="1:14">
      <c r="A222">
        <v>25</v>
      </c>
      <c r="B222">
        <v>1</v>
      </c>
      <c r="C222">
        <v>1360</v>
      </c>
      <c r="D222" s="131">
        <v>0.20114698421553065</v>
      </c>
      <c r="E222">
        <v>12</v>
      </c>
      <c r="F222">
        <v>0</v>
      </c>
      <c r="G222">
        <v>0.13706719529928338</v>
      </c>
      <c r="H222">
        <v>19.885955613999993</v>
      </c>
      <c r="I222">
        <v>37</v>
      </c>
      <c r="J222">
        <v>8040</v>
      </c>
      <c r="K222">
        <v>5</v>
      </c>
      <c r="L222">
        <v>3</v>
      </c>
      <c r="M222">
        <v>2</v>
      </c>
      <c r="N222">
        <v>2</v>
      </c>
    </row>
    <row r="223" spans="1:14">
      <c r="A223">
        <v>25</v>
      </c>
      <c r="B223">
        <v>2</v>
      </c>
      <c r="C223">
        <v>1081</v>
      </c>
      <c r="D223" s="131">
        <v>0.16589857441917483</v>
      </c>
      <c r="E223">
        <v>7</v>
      </c>
      <c r="F223">
        <v>0</v>
      </c>
      <c r="G223">
        <v>8.8199206324826779E-2</v>
      </c>
      <c r="H223">
        <v>24.11111737400001</v>
      </c>
      <c r="I223">
        <v>37</v>
      </c>
      <c r="J223">
        <v>8040</v>
      </c>
      <c r="K223">
        <v>2</v>
      </c>
      <c r="L223">
        <v>2</v>
      </c>
      <c r="M223">
        <v>2</v>
      </c>
      <c r="N223">
        <v>1</v>
      </c>
    </row>
    <row r="224" spans="1:14">
      <c r="A224">
        <v>26</v>
      </c>
      <c r="B224">
        <v>1</v>
      </c>
      <c r="C224">
        <v>1036</v>
      </c>
      <c r="D224" s="131">
        <v>0.20429968080596841</v>
      </c>
      <c r="E224">
        <v>12</v>
      </c>
      <c r="F224">
        <v>0</v>
      </c>
      <c r="G224">
        <v>0.13697894770203997</v>
      </c>
      <c r="H224">
        <v>19.579081006000006</v>
      </c>
      <c r="I224">
        <v>35</v>
      </c>
      <c r="J224">
        <v>8040</v>
      </c>
      <c r="K224">
        <v>4</v>
      </c>
      <c r="L224">
        <v>3</v>
      </c>
      <c r="M224">
        <v>3</v>
      </c>
      <c r="N224">
        <v>2</v>
      </c>
    </row>
    <row r="225" spans="1:14">
      <c r="A225">
        <v>26</v>
      </c>
      <c r="B225">
        <v>2</v>
      </c>
      <c r="C225">
        <v>1052</v>
      </c>
      <c r="D225" s="131">
        <v>0.16818477541371255</v>
      </c>
      <c r="E225">
        <v>7</v>
      </c>
      <c r="F225">
        <v>0</v>
      </c>
      <c r="G225">
        <v>8.8116366866132362E-2</v>
      </c>
      <c r="H225">
        <v>23.783365588000002</v>
      </c>
      <c r="I225">
        <v>37</v>
      </c>
      <c r="J225">
        <v>8040</v>
      </c>
      <c r="K225">
        <v>2</v>
      </c>
      <c r="L225">
        <v>2</v>
      </c>
      <c r="M225">
        <v>2</v>
      </c>
      <c r="N225">
        <v>1</v>
      </c>
    </row>
    <row r="226" spans="1:14">
      <c r="A226">
        <v>27</v>
      </c>
      <c r="B226">
        <v>1</v>
      </c>
      <c r="C226">
        <v>2643</v>
      </c>
      <c r="D226" s="131">
        <v>0.21857826914338788</v>
      </c>
      <c r="E226">
        <v>13</v>
      </c>
      <c r="F226">
        <v>0</v>
      </c>
      <c r="G226">
        <v>0.14660087600677821</v>
      </c>
      <c r="H226">
        <v>18.300080862000012</v>
      </c>
      <c r="I226">
        <v>36</v>
      </c>
      <c r="J226">
        <v>8040</v>
      </c>
      <c r="K226">
        <v>5</v>
      </c>
      <c r="L226">
        <v>3</v>
      </c>
      <c r="M226">
        <v>3</v>
      </c>
      <c r="N226">
        <v>2</v>
      </c>
    </row>
    <row r="227" spans="1:14">
      <c r="A227">
        <v>27</v>
      </c>
      <c r="B227">
        <v>2</v>
      </c>
      <c r="C227">
        <v>1322</v>
      </c>
      <c r="D227" s="131">
        <v>0.17277017661722488</v>
      </c>
      <c r="E227">
        <v>7</v>
      </c>
      <c r="F227">
        <v>0</v>
      </c>
      <c r="G227">
        <v>8.7954655401826135E-2</v>
      </c>
      <c r="H227">
        <v>23.152143954000028</v>
      </c>
      <c r="I227">
        <v>37</v>
      </c>
      <c r="J227">
        <v>8040</v>
      </c>
      <c r="K227">
        <v>2</v>
      </c>
      <c r="L227">
        <v>2</v>
      </c>
      <c r="M227">
        <v>2</v>
      </c>
      <c r="N227">
        <v>1</v>
      </c>
    </row>
    <row r="228" spans="1:14">
      <c r="A228">
        <v>28</v>
      </c>
      <c r="B228">
        <v>1</v>
      </c>
      <c r="C228">
        <v>2403</v>
      </c>
      <c r="D228" s="131">
        <v>0.22260986455295678</v>
      </c>
      <c r="E228">
        <v>17</v>
      </c>
      <c r="F228">
        <v>0</v>
      </c>
      <c r="G228">
        <v>0.1865000476423479</v>
      </c>
      <c r="H228">
        <v>17.968655647999991</v>
      </c>
      <c r="I228">
        <v>36</v>
      </c>
      <c r="J228">
        <v>8040</v>
      </c>
      <c r="K228">
        <v>7</v>
      </c>
      <c r="L228">
        <v>4</v>
      </c>
      <c r="M228">
        <v>3</v>
      </c>
      <c r="N228">
        <v>3</v>
      </c>
    </row>
    <row r="229" spans="1:14">
      <c r="A229">
        <v>28</v>
      </c>
      <c r="B229">
        <v>2</v>
      </c>
      <c r="C229">
        <v>538</v>
      </c>
      <c r="D229" s="131">
        <v>0.12747337937263933</v>
      </c>
      <c r="E229">
        <v>4</v>
      </c>
      <c r="F229">
        <v>0</v>
      </c>
      <c r="G229">
        <v>5.9869800206222609E-2</v>
      </c>
      <c r="H229">
        <v>31.379100637999976</v>
      </c>
      <c r="I229">
        <v>34</v>
      </c>
      <c r="J229">
        <v>8040</v>
      </c>
      <c r="K229">
        <v>1</v>
      </c>
      <c r="L229">
        <v>1</v>
      </c>
      <c r="M229">
        <v>1</v>
      </c>
      <c r="N229">
        <v>1</v>
      </c>
    </row>
    <row r="230" spans="1:14">
      <c r="A230">
        <v>29</v>
      </c>
      <c r="B230">
        <v>1</v>
      </c>
      <c r="C230">
        <v>1914</v>
      </c>
      <c r="D230" s="131">
        <v>0.22101488081931875</v>
      </c>
      <c r="E230">
        <v>14</v>
      </c>
      <c r="F230">
        <v>0</v>
      </c>
      <c r="G230">
        <v>0.15653964415070465</v>
      </c>
      <c r="H230">
        <v>18.098328877999979</v>
      </c>
      <c r="I230">
        <v>35</v>
      </c>
      <c r="J230">
        <v>8040</v>
      </c>
      <c r="K230">
        <v>5</v>
      </c>
      <c r="L230">
        <v>3</v>
      </c>
      <c r="M230">
        <v>4</v>
      </c>
      <c r="N230">
        <v>2</v>
      </c>
    </row>
    <row r="231" spans="1:14">
      <c r="A231">
        <v>29</v>
      </c>
      <c r="B231">
        <v>2</v>
      </c>
      <c r="C231">
        <v>770</v>
      </c>
      <c r="D231" s="131">
        <v>0.17399598962089632</v>
      </c>
      <c r="E231">
        <v>7</v>
      </c>
      <c r="F231">
        <v>0</v>
      </c>
      <c r="G231">
        <v>8.7912392093683067E-2</v>
      </c>
      <c r="H231">
        <v>22.989035601999955</v>
      </c>
      <c r="I231">
        <v>37</v>
      </c>
      <c r="J231">
        <v>8040</v>
      </c>
      <c r="K231">
        <v>2</v>
      </c>
      <c r="L231">
        <v>2</v>
      </c>
      <c r="M231">
        <v>2</v>
      </c>
      <c r="N231">
        <v>1</v>
      </c>
    </row>
    <row r="232" spans="1:14">
      <c r="A232">
        <v>30</v>
      </c>
      <c r="B232">
        <v>1</v>
      </c>
      <c r="C232">
        <v>1696</v>
      </c>
      <c r="D232" s="131">
        <v>0.20196646470093585</v>
      </c>
      <c r="E232">
        <v>12</v>
      </c>
      <c r="F232">
        <v>0</v>
      </c>
      <c r="G232">
        <v>0.13704408058288345</v>
      </c>
      <c r="H232">
        <v>19.805268195999993</v>
      </c>
      <c r="I232">
        <v>36</v>
      </c>
      <c r="J232">
        <v>8040</v>
      </c>
      <c r="K232">
        <v>4</v>
      </c>
      <c r="L232">
        <v>3</v>
      </c>
      <c r="M232">
        <v>3</v>
      </c>
      <c r="N232">
        <v>2</v>
      </c>
    </row>
    <row r="233" spans="1:14">
      <c r="A233">
        <v>30</v>
      </c>
      <c r="B233">
        <v>2</v>
      </c>
      <c r="C233">
        <v>1344</v>
      </c>
      <c r="D233" s="131">
        <v>0.16128932633289653</v>
      </c>
      <c r="E233">
        <v>7</v>
      </c>
      <c r="F233">
        <v>0</v>
      </c>
      <c r="G233">
        <v>8.8370943324376061E-2</v>
      </c>
      <c r="H233">
        <v>24.800153184000006</v>
      </c>
      <c r="I233">
        <v>36</v>
      </c>
      <c r="J233">
        <v>8040</v>
      </c>
      <c r="K233">
        <v>2</v>
      </c>
      <c r="L233">
        <v>2</v>
      </c>
      <c r="M233">
        <v>1</v>
      </c>
      <c r="N233">
        <v>2</v>
      </c>
    </row>
    <row r="234" spans="1:14">
      <c r="A234">
        <v>31</v>
      </c>
      <c r="B234">
        <v>1</v>
      </c>
      <c r="C234">
        <v>344</v>
      </c>
      <c r="D234" s="131">
        <v>0.22789715213240713</v>
      </c>
      <c r="E234">
        <v>7</v>
      </c>
      <c r="F234">
        <v>0</v>
      </c>
      <c r="G234">
        <v>8.6371445773677044E-2</v>
      </c>
      <c r="H234">
        <v>17.551777030000004</v>
      </c>
      <c r="I234">
        <v>37</v>
      </c>
      <c r="J234">
        <v>8040</v>
      </c>
      <c r="K234">
        <v>2</v>
      </c>
      <c r="L234">
        <v>2</v>
      </c>
      <c r="M234">
        <v>2</v>
      </c>
      <c r="N234">
        <v>1</v>
      </c>
    </row>
    <row r="235" spans="1:14">
      <c r="A235">
        <v>31</v>
      </c>
      <c r="B235">
        <v>2</v>
      </c>
      <c r="C235">
        <v>181</v>
      </c>
      <c r="D235" s="131">
        <v>0.19611461011514986</v>
      </c>
      <c r="E235">
        <v>5</v>
      </c>
      <c r="F235">
        <v>0</v>
      </c>
      <c r="G235">
        <v>6.7211947671102987E-2</v>
      </c>
      <c r="H235">
        <v>20.396236658000014</v>
      </c>
      <c r="I235">
        <v>38</v>
      </c>
      <c r="J235">
        <v>8040</v>
      </c>
      <c r="K235">
        <v>2</v>
      </c>
      <c r="L235">
        <v>1</v>
      </c>
      <c r="M235">
        <v>1</v>
      </c>
      <c r="N235">
        <v>1</v>
      </c>
    </row>
    <row r="236" spans="1:14">
      <c r="A236">
        <v>32</v>
      </c>
      <c r="B236">
        <v>1</v>
      </c>
      <c r="C236">
        <v>280</v>
      </c>
      <c r="D236" s="131">
        <v>0.22974135789607322</v>
      </c>
      <c r="E236">
        <v>7</v>
      </c>
      <c r="F236">
        <v>0</v>
      </c>
      <c r="G236">
        <v>8.6327521793433434E-2</v>
      </c>
      <c r="H236">
        <v>17.41088342400003</v>
      </c>
      <c r="I236">
        <v>37</v>
      </c>
      <c r="J236">
        <v>8040</v>
      </c>
      <c r="K236">
        <v>2</v>
      </c>
      <c r="L236">
        <v>2</v>
      </c>
      <c r="M236">
        <v>2</v>
      </c>
      <c r="N236">
        <v>1</v>
      </c>
    </row>
    <row r="237" spans="1:14">
      <c r="A237">
        <v>32</v>
      </c>
      <c r="B237">
        <v>2</v>
      </c>
      <c r="C237">
        <v>186</v>
      </c>
      <c r="D237" s="131">
        <v>0.19676080670443652</v>
      </c>
      <c r="E237">
        <v>5</v>
      </c>
      <c r="F237">
        <v>0</v>
      </c>
      <c r="G237">
        <v>6.7193084666513317E-2</v>
      </c>
      <c r="H237">
        <v>20.329251881999976</v>
      </c>
      <c r="I237">
        <v>37</v>
      </c>
      <c r="J237">
        <v>8040</v>
      </c>
      <c r="K237">
        <v>2</v>
      </c>
      <c r="L237">
        <v>1</v>
      </c>
      <c r="M237">
        <v>1</v>
      </c>
      <c r="N237">
        <v>1</v>
      </c>
    </row>
    <row r="238" spans="1:14">
      <c r="A238">
        <v>33</v>
      </c>
      <c r="B238">
        <v>1</v>
      </c>
      <c r="C238">
        <v>236</v>
      </c>
      <c r="D238" s="131">
        <v>0.23247996574050636</v>
      </c>
      <c r="E238">
        <v>7</v>
      </c>
      <c r="F238">
        <v>0</v>
      </c>
      <c r="G238">
        <v>8.6263155793069327E-2</v>
      </c>
      <c r="H238">
        <v>17.205783677999985</v>
      </c>
      <c r="I238">
        <v>37</v>
      </c>
      <c r="J238">
        <v>8040</v>
      </c>
      <c r="K238">
        <v>2</v>
      </c>
      <c r="L238">
        <v>2</v>
      </c>
      <c r="M238">
        <v>2</v>
      </c>
      <c r="N238">
        <v>1</v>
      </c>
    </row>
    <row r="239" spans="1:14">
      <c r="A239">
        <v>33</v>
      </c>
      <c r="B239">
        <v>2</v>
      </c>
      <c r="C239">
        <v>140</v>
      </c>
      <c r="D239" s="131">
        <v>0.19944760468852724</v>
      </c>
      <c r="E239">
        <v>5</v>
      </c>
      <c r="F239">
        <v>0</v>
      </c>
      <c r="G239">
        <v>6.7115531562057948E-2</v>
      </c>
      <c r="H239">
        <v>20.055392524000016</v>
      </c>
      <c r="I239">
        <v>38</v>
      </c>
      <c r="J239">
        <v>8040</v>
      </c>
      <c r="K239">
        <v>2</v>
      </c>
      <c r="L239">
        <v>1</v>
      </c>
      <c r="M239">
        <v>1</v>
      </c>
      <c r="N239">
        <v>1</v>
      </c>
    </row>
    <row r="240" spans="1:14">
      <c r="A240">
        <v>34</v>
      </c>
      <c r="B240">
        <v>1</v>
      </c>
      <c r="C240">
        <v>150</v>
      </c>
      <c r="D240" s="131">
        <v>0.22679830897212255</v>
      </c>
      <c r="E240">
        <v>7</v>
      </c>
      <c r="F240">
        <v>0</v>
      </c>
      <c r="G240">
        <v>8.6397843201148114E-2</v>
      </c>
      <c r="H240">
        <v>17.636815803999973</v>
      </c>
      <c r="I240">
        <v>38</v>
      </c>
      <c r="J240">
        <v>8040</v>
      </c>
      <c r="K240">
        <v>2</v>
      </c>
      <c r="L240">
        <v>2</v>
      </c>
      <c r="M240">
        <v>2</v>
      </c>
      <c r="N240">
        <v>1</v>
      </c>
    </row>
    <row r="241" spans="1:14">
      <c r="A241">
        <v>34</v>
      </c>
      <c r="B241">
        <v>2</v>
      </c>
      <c r="C241">
        <v>201</v>
      </c>
      <c r="D241" s="131">
        <v>0.1967365447989749</v>
      </c>
      <c r="E241">
        <v>5</v>
      </c>
      <c r="F241">
        <v>0</v>
      </c>
      <c r="G241">
        <v>6.7193791398196895E-2</v>
      </c>
      <c r="H241">
        <v>20.331758921999945</v>
      </c>
      <c r="I241">
        <v>39</v>
      </c>
      <c r="J241">
        <v>8040</v>
      </c>
      <c r="K241">
        <v>2</v>
      </c>
      <c r="L241">
        <v>1</v>
      </c>
      <c r="M241">
        <v>1</v>
      </c>
      <c r="N241">
        <v>1</v>
      </c>
    </row>
    <row r="242" spans="1:14">
      <c r="A242">
        <v>35</v>
      </c>
      <c r="B242">
        <v>1</v>
      </c>
      <c r="C242">
        <v>101</v>
      </c>
      <c r="D242" s="131">
        <v>0.23152862853506134</v>
      </c>
      <c r="E242">
        <v>7</v>
      </c>
      <c r="F242">
        <v>0</v>
      </c>
      <c r="G242">
        <v>8.6285400130194284E-2</v>
      </c>
      <c r="H242">
        <v>17.276481208</v>
      </c>
      <c r="I242">
        <v>38</v>
      </c>
      <c r="J242">
        <v>8040</v>
      </c>
      <c r="K242">
        <v>2</v>
      </c>
      <c r="L242">
        <v>2</v>
      </c>
      <c r="M242">
        <v>2</v>
      </c>
      <c r="N242">
        <v>1</v>
      </c>
    </row>
    <row r="243" spans="1:14">
      <c r="A243">
        <v>35</v>
      </c>
      <c r="B243">
        <v>2</v>
      </c>
      <c r="C243">
        <v>181</v>
      </c>
      <c r="D243" s="131">
        <v>0.19876609609187842</v>
      </c>
      <c r="E243">
        <v>5</v>
      </c>
      <c r="F243">
        <v>0</v>
      </c>
      <c r="G243">
        <v>6.7135070568378433E-2</v>
      </c>
      <c r="H243">
        <v>20.124156375999981</v>
      </c>
      <c r="I243">
        <v>38</v>
      </c>
      <c r="J243">
        <v>8040</v>
      </c>
      <c r="K243">
        <v>2</v>
      </c>
      <c r="L243">
        <v>1</v>
      </c>
      <c r="M243">
        <v>1</v>
      </c>
      <c r="N243">
        <v>1</v>
      </c>
    </row>
    <row r="244" spans="1:14">
      <c r="A244">
        <v>36</v>
      </c>
      <c r="B244">
        <v>1</v>
      </c>
      <c r="C244">
        <v>124</v>
      </c>
      <c r="D244" s="131">
        <v>0.23147507230108855</v>
      </c>
      <c r="E244">
        <v>7</v>
      </c>
      <c r="F244">
        <v>0</v>
      </c>
      <c r="G244">
        <v>8.6286656014084334E-2</v>
      </c>
      <c r="H244">
        <v>17.280478455999987</v>
      </c>
      <c r="I244">
        <v>36</v>
      </c>
      <c r="J244">
        <v>8040</v>
      </c>
      <c r="K244">
        <v>2</v>
      </c>
      <c r="L244">
        <v>2</v>
      </c>
      <c r="M244">
        <v>2</v>
      </c>
      <c r="N244">
        <v>1</v>
      </c>
    </row>
    <row r="245" spans="1:14">
      <c r="A245">
        <v>36</v>
      </c>
      <c r="B245">
        <v>2</v>
      </c>
      <c r="C245">
        <v>162</v>
      </c>
      <c r="D245" s="131">
        <v>0.19754102268365309</v>
      </c>
      <c r="E245">
        <v>5</v>
      </c>
      <c r="F245">
        <v>0</v>
      </c>
      <c r="G245">
        <v>6.7170419300371431E-2</v>
      </c>
      <c r="H245">
        <v>20.248958649999981</v>
      </c>
      <c r="I245">
        <v>38</v>
      </c>
      <c r="J245">
        <v>8040</v>
      </c>
      <c r="K245">
        <v>2</v>
      </c>
      <c r="L245">
        <v>1</v>
      </c>
      <c r="M245">
        <v>1</v>
      </c>
      <c r="N245">
        <v>1</v>
      </c>
    </row>
    <row r="246" spans="1:14">
      <c r="A246">
        <v>37</v>
      </c>
      <c r="B246">
        <v>1</v>
      </c>
      <c r="C246">
        <v>222</v>
      </c>
      <c r="D246" s="131">
        <v>0.23274032674119607</v>
      </c>
      <c r="E246">
        <v>7</v>
      </c>
      <c r="F246">
        <v>0</v>
      </c>
      <c r="G246">
        <v>8.6257089130004239E-2</v>
      </c>
      <c r="H246">
        <v>17.186535981999988</v>
      </c>
      <c r="I246">
        <v>37</v>
      </c>
      <c r="J246">
        <v>8040</v>
      </c>
      <c r="K246">
        <v>2</v>
      </c>
      <c r="L246">
        <v>2</v>
      </c>
      <c r="M246">
        <v>2</v>
      </c>
      <c r="N246">
        <v>1</v>
      </c>
    </row>
    <row r="247" spans="1:14">
      <c r="A247">
        <v>37</v>
      </c>
      <c r="B247">
        <v>2</v>
      </c>
      <c r="C247">
        <v>145</v>
      </c>
      <c r="D247" s="131">
        <v>0.20126735227949458</v>
      </c>
      <c r="E247">
        <v>5</v>
      </c>
      <c r="F247">
        <v>0</v>
      </c>
      <c r="G247">
        <v>6.7063792271912961E-2</v>
      </c>
      <c r="H247">
        <v>19.874062805999987</v>
      </c>
      <c r="I247">
        <v>38</v>
      </c>
      <c r="J247">
        <v>8040</v>
      </c>
      <c r="K247">
        <v>2</v>
      </c>
      <c r="L247">
        <v>1</v>
      </c>
      <c r="M247">
        <v>1</v>
      </c>
      <c r="N247">
        <v>1</v>
      </c>
    </row>
    <row r="248" spans="1:14">
      <c r="A248">
        <v>38</v>
      </c>
      <c r="B248">
        <v>1</v>
      </c>
      <c r="C248">
        <v>184</v>
      </c>
      <c r="D248" s="131">
        <v>0.23239101472597712</v>
      </c>
      <c r="E248">
        <v>7</v>
      </c>
      <c r="F248">
        <v>0</v>
      </c>
      <c r="G248">
        <v>8.6265230514239996E-2</v>
      </c>
      <c r="H248">
        <v>17.212369440000007</v>
      </c>
      <c r="I248">
        <v>37</v>
      </c>
      <c r="J248">
        <v>8040</v>
      </c>
      <c r="K248">
        <v>2</v>
      </c>
      <c r="L248">
        <v>2</v>
      </c>
      <c r="M248">
        <v>2</v>
      </c>
      <c r="N248">
        <v>1</v>
      </c>
    </row>
    <row r="249" spans="1:14">
      <c r="A249">
        <v>38</v>
      </c>
      <c r="B249">
        <v>2</v>
      </c>
      <c r="C249">
        <v>135</v>
      </c>
      <c r="D249" s="131">
        <v>0.20021384101569864</v>
      </c>
      <c r="E249">
        <v>5</v>
      </c>
      <c r="F249">
        <v>0</v>
      </c>
      <c r="G249">
        <v>6.709366942403365E-2</v>
      </c>
      <c r="H249">
        <v>19.978638737999951</v>
      </c>
      <c r="I249">
        <v>38</v>
      </c>
      <c r="J249">
        <v>8040</v>
      </c>
      <c r="K249">
        <v>2</v>
      </c>
      <c r="L249">
        <v>1</v>
      </c>
      <c r="M249">
        <v>1</v>
      </c>
      <c r="N249">
        <v>1</v>
      </c>
    </row>
    <row r="250" spans="1:14">
      <c r="A250">
        <v>39</v>
      </c>
      <c r="B250">
        <v>1</v>
      </c>
      <c r="C250">
        <v>321</v>
      </c>
      <c r="D250" s="131">
        <v>0.22994178482319289</v>
      </c>
      <c r="E250">
        <v>7</v>
      </c>
      <c r="F250">
        <v>0</v>
      </c>
      <c r="G250">
        <v>8.6322776496281103E-2</v>
      </c>
      <c r="H250">
        <v>17.395707365999986</v>
      </c>
      <c r="I250">
        <v>38</v>
      </c>
      <c r="J250">
        <v>8040</v>
      </c>
      <c r="K250">
        <v>2</v>
      </c>
      <c r="L250">
        <v>2</v>
      </c>
      <c r="M250">
        <v>2</v>
      </c>
      <c r="N250">
        <v>1</v>
      </c>
    </row>
    <row r="251" spans="1:14">
      <c r="A251">
        <v>39</v>
      </c>
      <c r="B251">
        <v>2</v>
      </c>
      <c r="C251">
        <v>315</v>
      </c>
      <c r="D251" s="131">
        <v>0.19840560781355676</v>
      </c>
      <c r="E251">
        <v>5</v>
      </c>
      <c r="F251">
        <v>0</v>
      </c>
      <c r="G251">
        <v>6.7145442007106509E-2</v>
      </c>
      <c r="H251">
        <v>20.160720476000002</v>
      </c>
      <c r="I251">
        <v>38</v>
      </c>
      <c r="J251">
        <v>8040</v>
      </c>
      <c r="K251">
        <v>2</v>
      </c>
      <c r="L251">
        <v>1</v>
      </c>
      <c r="M251">
        <v>1</v>
      </c>
      <c r="N251">
        <v>1</v>
      </c>
    </row>
    <row r="252" spans="1:14">
      <c r="A252">
        <v>40</v>
      </c>
      <c r="B252">
        <v>1</v>
      </c>
      <c r="C252">
        <v>220</v>
      </c>
      <c r="D252" s="131">
        <v>0.23187691489847448</v>
      </c>
      <c r="E252">
        <v>7</v>
      </c>
      <c r="F252">
        <v>0</v>
      </c>
      <c r="G252">
        <v>8.6277242317971084E-2</v>
      </c>
      <c r="H252">
        <v>17.250531393999999</v>
      </c>
      <c r="I252">
        <v>37</v>
      </c>
      <c r="J252">
        <v>8040</v>
      </c>
      <c r="K252">
        <v>2</v>
      </c>
      <c r="L252">
        <v>2</v>
      </c>
      <c r="M252">
        <v>2</v>
      </c>
      <c r="N252">
        <v>1</v>
      </c>
    </row>
    <row r="253" spans="1:14">
      <c r="A253">
        <v>40</v>
      </c>
      <c r="B253">
        <v>2</v>
      </c>
      <c r="C253">
        <v>166</v>
      </c>
      <c r="D253" s="131">
        <v>0.19907952751533251</v>
      </c>
      <c r="E253">
        <v>5</v>
      </c>
      <c r="F253">
        <v>0</v>
      </c>
      <c r="G253">
        <v>6.7126073342283099E-2</v>
      </c>
      <c r="H253">
        <v>20.09247284199995</v>
      </c>
      <c r="I253">
        <v>38</v>
      </c>
      <c r="J253">
        <v>8040</v>
      </c>
      <c r="K253">
        <v>2</v>
      </c>
      <c r="L253">
        <v>1</v>
      </c>
      <c r="M253">
        <v>1</v>
      </c>
      <c r="N253">
        <v>1</v>
      </c>
    </row>
    <row r="254" spans="1:14">
      <c r="A254">
        <v>41</v>
      </c>
      <c r="B254">
        <v>1</v>
      </c>
      <c r="C254">
        <v>2945</v>
      </c>
      <c r="D254" s="131">
        <v>0.22470285056294773</v>
      </c>
      <c r="E254">
        <v>17</v>
      </c>
      <c r="F254">
        <v>0</v>
      </c>
      <c r="G254">
        <v>0.18644865806996624</v>
      </c>
      <c r="H254">
        <v>17.801287300000002</v>
      </c>
      <c r="I254">
        <v>36</v>
      </c>
      <c r="J254">
        <v>8040</v>
      </c>
      <c r="K254">
        <v>3</v>
      </c>
      <c r="L254">
        <v>5</v>
      </c>
      <c r="M254">
        <v>6</v>
      </c>
      <c r="N254">
        <v>3</v>
      </c>
    </row>
    <row r="255" spans="1:14">
      <c r="A255">
        <v>41</v>
      </c>
      <c r="B255">
        <v>2</v>
      </c>
      <c r="C255">
        <v>1507</v>
      </c>
      <c r="D255" s="131">
        <v>0.17670574736035205</v>
      </c>
      <c r="E255">
        <v>9</v>
      </c>
      <c r="F255">
        <v>0</v>
      </c>
      <c r="G255">
        <v>0.10782035870208237</v>
      </c>
      <c r="H255">
        <v>22.636501980000062</v>
      </c>
      <c r="I255">
        <v>36</v>
      </c>
      <c r="J255">
        <v>8040</v>
      </c>
      <c r="K255">
        <v>1</v>
      </c>
      <c r="L255">
        <v>3</v>
      </c>
      <c r="M255">
        <v>4</v>
      </c>
      <c r="N255">
        <v>1</v>
      </c>
    </row>
    <row r="256" spans="1:14">
      <c r="A256">
        <v>42</v>
      </c>
      <c r="B256">
        <v>1</v>
      </c>
      <c r="C256">
        <v>1402</v>
      </c>
      <c r="D256" s="131">
        <v>0.2084153039842073</v>
      </c>
      <c r="E256">
        <v>25</v>
      </c>
      <c r="F256">
        <v>0</v>
      </c>
      <c r="G256">
        <v>0.26686644151099154</v>
      </c>
      <c r="H256">
        <v>19.192448555999999</v>
      </c>
      <c r="I256">
        <v>36</v>
      </c>
      <c r="J256">
        <v>8040</v>
      </c>
      <c r="K256">
        <v>1</v>
      </c>
      <c r="L256">
        <v>11</v>
      </c>
      <c r="M256">
        <v>12</v>
      </c>
      <c r="N256">
        <v>1</v>
      </c>
    </row>
    <row r="257" spans="1:14">
      <c r="A257">
        <v>42</v>
      </c>
      <c r="B257">
        <v>2</v>
      </c>
      <c r="C257">
        <v>1942</v>
      </c>
      <c r="D257" s="131">
        <v>0.17040193327673053</v>
      </c>
      <c r="E257">
        <v>9</v>
      </c>
      <c r="F257">
        <v>0</v>
      </c>
      <c r="G257">
        <v>0.108037450852766</v>
      </c>
      <c r="H257">
        <v>23.473912080000005</v>
      </c>
      <c r="I257">
        <v>36</v>
      </c>
      <c r="J257">
        <v>8040</v>
      </c>
      <c r="K257">
        <v>1</v>
      </c>
      <c r="L257">
        <v>3</v>
      </c>
      <c r="M257">
        <v>4</v>
      </c>
      <c r="N257">
        <v>1</v>
      </c>
    </row>
    <row r="258" spans="1:14">
      <c r="A258">
        <v>43</v>
      </c>
      <c r="B258">
        <v>1</v>
      </c>
      <c r="C258">
        <v>2264</v>
      </c>
      <c r="D258" s="131">
        <v>0.23845502866585308</v>
      </c>
      <c r="E258">
        <v>20</v>
      </c>
      <c r="F258">
        <v>0</v>
      </c>
      <c r="G258">
        <v>0.2161261676880499</v>
      </c>
      <c r="H258">
        <v>16.774651481999978</v>
      </c>
      <c r="I258">
        <v>36</v>
      </c>
      <c r="J258">
        <v>8040</v>
      </c>
      <c r="K258">
        <v>4</v>
      </c>
      <c r="L258">
        <v>6</v>
      </c>
      <c r="M258">
        <v>7</v>
      </c>
      <c r="N258">
        <v>3</v>
      </c>
    </row>
    <row r="259" spans="1:14">
      <c r="A259">
        <v>43</v>
      </c>
      <c r="B259">
        <v>2</v>
      </c>
      <c r="C259">
        <v>1728</v>
      </c>
      <c r="D259" s="131">
        <v>0.18873299886257522</v>
      </c>
      <c r="E259">
        <v>10</v>
      </c>
      <c r="F259">
        <v>0</v>
      </c>
      <c r="G259">
        <v>0.11743347860552664</v>
      </c>
      <c r="H259">
        <v>21.193961967999964</v>
      </c>
      <c r="I259">
        <v>36</v>
      </c>
      <c r="J259">
        <v>8040</v>
      </c>
      <c r="K259">
        <v>1</v>
      </c>
      <c r="L259">
        <v>4</v>
      </c>
      <c r="M259">
        <v>4</v>
      </c>
      <c r="N259">
        <v>1</v>
      </c>
    </row>
    <row r="260" spans="1:14">
      <c r="A260">
        <v>44</v>
      </c>
      <c r="B260">
        <v>1</v>
      </c>
      <c r="C260">
        <v>3061</v>
      </c>
      <c r="D260" s="131">
        <v>0.22033051312953555</v>
      </c>
      <c r="E260">
        <v>16</v>
      </c>
      <c r="F260">
        <v>0</v>
      </c>
      <c r="G260">
        <v>0.17655675102433352</v>
      </c>
      <c r="H260">
        <v>18.154544021999989</v>
      </c>
      <c r="I260">
        <v>36</v>
      </c>
      <c r="J260">
        <v>8040</v>
      </c>
      <c r="K260">
        <v>2</v>
      </c>
      <c r="L260">
        <v>6</v>
      </c>
      <c r="M260">
        <v>6</v>
      </c>
      <c r="N260">
        <v>2</v>
      </c>
    </row>
    <row r="261" spans="1:14">
      <c r="A261">
        <v>44</v>
      </c>
      <c r="B261">
        <v>2</v>
      </c>
      <c r="C261">
        <v>1951</v>
      </c>
      <c r="D261" s="131">
        <v>0.17157427595579447</v>
      </c>
      <c r="E261">
        <v>8</v>
      </c>
      <c r="F261">
        <v>0</v>
      </c>
      <c r="G261">
        <v>9.799627447845484E-2</v>
      </c>
      <c r="H261">
        <v>23.313518169999952</v>
      </c>
      <c r="I261">
        <v>36</v>
      </c>
      <c r="J261">
        <v>8040</v>
      </c>
      <c r="K261">
        <v>1</v>
      </c>
      <c r="L261">
        <v>3</v>
      </c>
      <c r="M261">
        <v>3</v>
      </c>
      <c r="N261">
        <v>1</v>
      </c>
    </row>
    <row r="262" spans="1:14">
      <c r="A262">
        <v>45</v>
      </c>
      <c r="B262">
        <v>1</v>
      </c>
      <c r="C262">
        <v>2884</v>
      </c>
      <c r="D262" s="131">
        <v>0.23455735951447187</v>
      </c>
      <c r="E262">
        <v>21</v>
      </c>
      <c r="F262">
        <v>0</v>
      </c>
      <c r="G262">
        <v>0.22621500095796829</v>
      </c>
      <c r="H262">
        <v>17.053397976000003</v>
      </c>
      <c r="I262">
        <v>36</v>
      </c>
      <c r="J262">
        <v>8040</v>
      </c>
      <c r="K262">
        <v>3</v>
      </c>
      <c r="L262">
        <v>7</v>
      </c>
      <c r="M262">
        <v>8</v>
      </c>
      <c r="N262">
        <v>3</v>
      </c>
    </row>
    <row r="263" spans="1:14">
      <c r="A263">
        <v>45</v>
      </c>
      <c r="B263">
        <v>2</v>
      </c>
      <c r="C263">
        <v>2942</v>
      </c>
      <c r="D263" s="131">
        <v>0.18052866204030213</v>
      </c>
      <c r="E263">
        <v>10</v>
      </c>
      <c r="F263">
        <v>0</v>
      </c>
      <c r="G263">
        <v>0.11769367091322075</v>
      </c>
      <c r="H263">
        <v>22.157146431999923</v>
      </c>
      <c r="I263">
        <v>35</v>
      </c>
      <c r="J263">
        <v>8040</v>
      </c>
      <c r="K263">
        <v>1</v>
      </c>
      <c r="L263">
        <v>3</v>
      </c>
      <c r="M263">
        <v>5</v>
      </c>
      <c r="N263">
        <v>1</v>
      </c>
    </row>
    <row r="264" spans="1:14">
      <c r="A264">
        <v>46</v>
      </c>
      <c r="B264">
        <v>1</v>
      </c>
      <c r="C264">
        <v>2912</v>
      </c>
      <c r="D264" s="131">
        <v>0.22344732034615855</v>
      </c>
      <c r="E264">
        <v>24</v>
      </c>
      <c r="F264">
        <v>0</v>
      </c>
      <c r="G264">
        <v>0.25647940838630023</v>
      </c>
      <c r="H264">
        <v>17.90131111800002</v>
      </c>
      <c r="I264">
        <v>36</v>
      </c>
      <c r="J264">
        <v>8040</v>
      </c>
      <c r="K264">
        <v>3</v>
      </c>
      <c r="L264">
        <v>8</v>
      </c>
      <c r="M264">
        <v>10</v>
      </c>
      <c r="N264">
        <v>3</v>
      </c>
    </row>
    <row r="265" spans="1:14">
      <c r="A265">
        <v>46</v>
      </c>
      <c r="B265">
        <v>2</v>
      </c>
      <c r="C265">
        <v>4152</v>
      </c>
      <c r="D265" s="131">
        <v>0.17228963885783649</v>
      </c>
      <c r="E265">
        <v>9</v>
      </c>
      <c r="F265">
        <v>0</v>
      </c>
      <c r="G265">
        <v>0.10797133251391221</v>
      </c>
      <c r="H265">
        <v>23.216718233999956</v>
      </c>
      <c r="I265">
        <v>35</v>
      </c>
      <c r="J265">
        <v>8040</v>
      </c>
      <c r="K265">
        <v>1</v>
      </c>
      <c r="L265">
        <v>3</v>
      </c>
      <c r="M265">
        <v>3</v>
      </c>
      <c r="N265">
        <v>2</v>
      </c>
    </row>
    <row r="266" spans="1:14">
      <c r="A266">
        <v>47</v>
      </c>
      <c r="B266">
        <v>1</v>
      </c>
      <c r="C266">
        <v>2765</v>
      </c>
      <c r="D266" s="131">
        <v>0.22374022028854171</v>
      </c>
      <c r="E266">
        <v>15</v>
      </c>
      <c r="F266">
        <v>0</v>
      </c>
      <c r="G266">
        <v>0.16647221414176094</v>
      </c>
      <c r="H266">
        <v>17.877876382000014</v>
      </c>
      <c r="I266">
        <v>36</v>
      </c>
      <c r="J266">
        <v>8040</v>
      </c>
      <c r="K266">
        <v>2</v>
      </c>
      <c r="L266">
        <v>6</v>
      </c>
      <c r="M266">
        <v>5</v>
      </c>
      <c r="N266">
        <v>2</v>
      </c>
    </row>
    <row r="267" spans="1:14">
      <c r="A267">
        <v>47</v>
      </c>
      <c r="B267">
        <v>2</v>
      </c>
      <c r="C267">
        <v>1716</v>
      </c>
      <c r="D267" s="131">
        <v>0.17884914456498824</v>
      </c>
      <c r="E267">
        <v>8</v>
      </c>
      <c r="F267">
        <v>0</v>
      </c>
      <c r="G267">
        <v>9.7748883722698313E-2</v>
      </c>
      <c r="H267">
        <v>22.365217400000052</v>
      </c>
      <c r="I267">
        <v>36</v>
      </c>
      <c r="J267">
        <v>8040</v>
      </c>
      <c r="K267">
        <v>1</v>
      </c>
      <c r="L267">
        <v>3</v>
      </c>
      <c r="M267">
        <v>3</v>
      </c>
      <c r="N267">
        <v>1</v>
      </c>
    </row>
    <row r="268" spans="1:14">
      <c r="A268">
        <v>48</v>
      </c>
      <c r="B268">
        <v>1</v>
      </c>
      <c r="C268">
        <v>1792</v>
      </c>
      <c r="D268" s="131">
        <v>0.21864973118264033</v>
      </c>
      <c r="E268">
        <v>19</v>
      </c>
      <c r="F268">
        <v>0</v>
      </c>
      <c r="G268">
        <v>0.20659906723601926</v>
      </c>
      <c r="H268">
        <v>18.294099784000007</v>
      </c>
      <c r="I268">
        <v>38</v>
      </c>
      <c r="J268">
        <v>8040</v>
      </c>
      <c r="K268">
        <v>2</v>
      </c>
      <c r="L268">
        <v>6</v>
      </c>
      <c r="M268">
        <v>10</v>
      </c>
      <c r="N268">
        <v>1</v>
      </c>
    </row>
    <row r="269" spans="1:14">
      <c r="A269">
        <v>48</v>
      </c>
      <c r="B269">
        <v>2</v>
      </c>
      <c r="C269">
        <v>2045</v>
      </c>
      <c r="D269" s="131">
        <v>0.1781603268781278</v>
      </c>
      <c r="E269">
        <v>8</v>
      </c>
      <c r="F269">
        <v>0</v>
      </c>
      <c r="G269">
        <v>9.77717283573587E-2</v>
      </c>
      <c r="H269">
        <v>22.45168758999997</v>
      </c>
      <c r="I269">
        <v>36</v>
      </c>
      <c r="J269">
        <v>8040</v>
      </c>
      <c r="K269">
        <v>1</v>
      </c>
      <c r="L269">
        <v>3</v>
      </c>
      <c r="M269">
        <v>3</v>
      </c>
      <c r="N269">
        <v>1</v>
      </c>
    </row>
    <row r="270" spans="1:14">
      <c r="A270">
        <v>49</v>
      </c>
      <c r="B270">
        <v>1</v>
      </c>
      <c r="C270">
        <v>2062</v>
      </c>
      <c r="D270" s="131">
        <v>0.22770545022312838</v>
      </c>
      <c r="E270">
        <v>26</v>
      </c>
      <c r="F270">
        <v>0</v>
      </c>
      <c r="G270">
        <v>0.27637603877907962</v>
      </c>
      <c r="H270">
        <v>17.566553615999982</v>
      </c>
      <c r="I270">
        <v>36</v>
      </c>
      <c r="J270">
        <v>8040</v>
      </c>
      <c r="K270">
        <v>1</v>
      </c>
      <c r="L270">
        <v>13</v>
      </c>
      <c r="M270">
        <v>11</v>
      </c>
      <c r="N270">
        <v>1</v>
      </c>
    </row>
    <row r="271" spans="1:14">
      <c r="A271">
        <v>49</v>
      </c>
      <c r="B271">
        <v>2</v>
      </c>
      <c r="C271">
        <v>1336</v>
      </c>
      <c r="D271" s="131">
        <v>0.18399148197745191</v>
      </c>
      <c r="E271">
        <v>9</v>
      </c>
      <c r="F271">
        <v>0</v>
      </c>
      <c r="G271">
        <v>0.10758196566086795</v>
      </c>
      <c r="H271">
        <v>21.740136864000032</v>
      </c>
      <c r="I271">
        <v>36</v>
      </c>
      <c r="J271">
        <v>8040</v>
      </c>
      <c r="K271">
        <v>1</v>
      </c>
      <c r="L271">
        <v>3</v>
      </c>
      <c r="M271">
        <v>4</v>
      </c>
      <c r="N271">
        <v>1</v>
      </c>
    </row>
    <row r="272" spans="1:14">
      <c r="A272">
        <v>50</v>
      </c>
      <c r="B272">
        <v>1</v>
      </c>
      <c r="C272">
        <v>4211</v>
      </c>
      <c r="D272" s="131">
        <v>0.23912773549053548</v>
      </c>
      <c r="E272">
        <v>25</v>
      </c>
      <c r="F272">
        <v>0</v>
      </c>
      <c r="G272">
        <v>0.26611103160529487</v>
      </c>
      <c r="H272">
        <v>16.727461546000036</v>
      </c>
      <c r="I272">
        <v>35</v>
      </c>
      <c r="J272">
        <v>8040</v>
      </c>
      <c r="K272">
        <v>5</v>
      </c>
      <c r="L272">
        <v>8</v>
      </c>
      <c r="M272">
        <v>9</v>
      </c>
      <c r="N272">
        <v>3</v>
      </c>
    </row>
    <row r="273" spans="1:14">
      <c r="A273">
        <v>50</v>
      </c>
      <c r="B273">
        <v>2</v>
      </c>
      <c r="C273">
        <v>2094</v>
      </c>
      <c r="D273" s="131">
        <v>0.18087165743125744</v>
      </c>
      <c r="E273">
        <v>9</v>
      </c>
      <c r="F273">
        <v>0</v>
      </c>
      <c r="G273">
        <v>0.10768247939042409</v>
      </c>
      <c r="H273">
        <v>22.115128798000043</v>
      </c>
      <c r="I273">
        <v>37</v>
      </c>
      <c r="J273">
        <v>8040</v>
      </c>
      <c r="K273">
        <v>1</v>
      </c>
      <c r="L273">
        <v>3</v>
      </c>
      <c r="M273">
        <v>4</v>
      </c>
      <c r="N273">
        <v>1</v>
      </c>
    </row>
    <row r="274" spans="1:14">
      <c r="A274">
        <v>51</v>
      </c>
      <c r="B274">
        <v>1</v>
      </c>
      <c r="C274">
        <v>1976</v>
      </c>
      <c r="D274" s="131">
        <v>0.2286198928010878</v>
      </c>
      <c r="E274">
        <v>8</v>
      </c>
      <c r="F274">
        <v>0</v>
      </c>
      <c r="G274">
        <v>9.6354175768519609E-2</v>
      </c>
      <c r="H274">
        <v>17.496290244000008</v>
      </c>
      <c r="I274">
        <v>39</v>
      </c>
      <c r="J274">
        <v>8040</v>
      </c>
      <c r="K274">
        <v>2</v>
      </c>
      <c r="L274">
        <v>2</v>
      </c>
      <c r="M274">
        <v>3</v>
      </c>
      <c r="N274">
        <v>1</v>
      </c>
    </row>
    <row r="275" spans="1:14">
      <c r="A275">
        <v>51</v>
      </c>
      <c r="B275">
        <v>2</v>
      </c>
      <c r="C275">
        <v>1657</v>
      </c>
      <c r="D275" s="131">
        <v>0.20955195349072714</v>
      </c>
      <c r="E275">
        <v>6</v>
      </c>
      <c r="F275">
        <v>0</v>
      </c>
      <c r="G275">
        <v>7.6835890614610089E-2</v>
      </c>
      <c r="H275">
        <v>19.088345077999971</v>
      </c>
      <c r="I275">
        <v>37</v>
      </c>
      <c r="J275">
        <v>8040</v>
      </c>
      <c r="K275">
        <v>1</v>
      </c>
      <c r="L275">
        <v>2</v>
      </c>
      <c r="M275">
        <v>2</v>
      </c>
      <c r="N275">
        <v>1</v>
      </c>
    </row>
    <row r="276" spans="1:14">
      <c r="A276">
        <v>52</v>
      </c>
      <c r="B276">
        <v>1</v>
      </c>
      <c r="C276">
        <v>1740</v>
      </c>
      <c r="D276" s="131">
        <v>0.22755757564867984</v>
      </c>
      <c r="E276">
        <v>8</v>
      </c>
      <c r="F276">
        <v>0</v>
      </c>
      <c r="G276">
        <v>9.6379585244777827E-2</v>
      </c>
      <c r="H276">
        <v>17.577968953999996</v>
      </c>
      <c r="I276">
        <v>36</v>
      </c>
      <c r="J276">
        <v>8040</v>
      </c>
      <c r="K276">
        <v>1</v>
      </c>
      <c r="L276">
        <v>3</v>
      </c>
      <c r="M276">
        <v>3</v>
      </c>
      <c r="N276">
        <v>1</v>
      </c>
    </row>
    <row r="277" spans="1:14">
      <c r="A277">
        <v>52</v>
      </c>
      <c r="B277">
        <v>2</v>
      </c>
      <c r="C277">
        <v>1710</v>
      </c>
      <c r="D277" s="131">
        <v>0.21021181598860336</v>
      </c>
      <c r="E277">
        <v>6</v>
      </c>
      <c r="F277">
        <v>0</v>
      </c>
      <c r="G277">
        <v>7.6818255993172199E-2</v>
      </c>
      <c r="H277">
        <v>19.028426071999966</v>
      </c>
      <c r="I277">
        <v>36</v>
      </c>
      <c r="J277">
        <v>8040</v>
      </c>
      <c r="K277">
        <v>1</v>
      </c>
      <c r="L277">
        <v>2</v>
      </c>
      <c r="M277">
        <v>2</v>
      </c>
      <c r="N277">
        <v>1</v>
      </c>
    </row>
    <row r="278" spans="1:14">
      <c r="A278">
        <v>53</v>
      </c>
      <c r="B278">
        <v>1</v>
      </c>
      <c r="C278">
        <v>1624</v>
      </c>
      <c r="D278" s="131">
        <v>0.22756676297710812</v>
      </c>
      <c r="E278">
        <v>8</v>
      </c>
      <c r="F278">
        <v>0</v>
      </c>
      <c r="G278">
        <v>9.6379364816199187E-2</v>
      </c>
      <c r="H278">
        <v>17.57725929599999</v>
      </c>
      <c r="I278">
        <v>36</v>
      </c>
      <c r="J278">
        <v>8040</v>
      </c>
      <c r="K278">
        <v>1</v>
      </c>
      <c r="L278">
        <v>3</v>
      </c>
      <c r="M278">
        <v>3</v>
      </c>
      <c r="N278">
        <v>1</v>
      </c>
    </row>
    <row r="279" spans="1:14">
      <c r="A279">
        <v>53</v>
      </c>
      <c r="B279">
        <v>2</v>
      </c>
      <c r="C279">
        <v>1651</v>
      </c>
      <c r="D279" s="131">
        <v>0.21034698988798295</v>
      </c>
      <c r="E279">
        <v>6</v>
      </c>
      <c r="F279">
        <v>0</v>
      </c>
      <c r="G279">
        <v>7.6814652619533519E-2</v>
      </c>
      <c r="H279">
        <v>19.016197959999989</v>
      </c>
      <c r="I279">
        <v>36</v>
      </c>
      <c r="J279">
        <v>8040</v>
      </c>
      <c r="K279">
        <v>1</v>
      </c>
      <c r="L279">
        <v>2</v>
      </c>
      <c r="M279">
        <v>2</v>
      </c>
      <c r="N279">
        <v>1</v>
      </c>
    </row>
    <row r="280" spans="1:14">
      <c r="A280">
        <v>54</v>
      </c>
      <c r="B280">
        <v>1</v>
      </c>
      <c r="C280">
        <v>2161</v>
      </c>
      <c r="D280" s="131">
        <v>0.22340124997105529</v>
      </c>
      <c r="E280">
        <v>8</v>
      </c>
      <c r="F280">
        <v>0</v>
      </c>
      <c r="G280">
        <v>9.6480541116970533E-2</v>
      </c>
      <c r="H280">
        <v>17.905002771999957</v>
      </c>
      <c r="I280">
        <v>36</v>
      </c>
      <c r="J280">
        <v>8040</v>
      </c>
      <c r="K280">
        <v>1</v>
      </c>
      <c r="L280">
        <v>3</v>
      </c>
      <c r="M280">
        <v>3</v>
      </c>
      <c r="N280">
        <v>1</v>
      </c>
    </row>
    <row r="281" spans="1:14">
      <c r="A281">
        <v>54</v>
      </c>
      <c r="B281">
        <v>2</v>
      </c>
      <c r="C281">
        <v>1402</v>
      </c>
      <c r="D281" s="131">
        <v>0.20729752852015443</v>
      </c>
      <c r="E281">
        <v>6</v>
      </c>
      <c r="F281">
        <v>0</v>
      </c>
      <c r="G281">
        <v>7.6896702540483655E-2</v>
      </c>
      <c r="H281">
        <v>19.295936755999971</v>
      </c>
      <c r="I281">
        <v>36</v>
      </c>
      <c r="J281">
        <v>8040</v>
      </c>
      <c r="K281">
        <v>1</v>
      </c>
      <c r="L281">
        <v>2</v>
      </c>
      <c r="M281">
        <v>2</v>
      </c>
      <c r="N281">
        <v>1</v>
      </c>
    </row>
    <row r="282" spans="1:14">
      <c r="A282">
        <v>55</v>
      </c>
      <c r="B282">
        <v>1</v>
      </c>
      <c r="C282">
        <v>1617</v>
      </c>
      <c r="D282" s="131">
        <v>0.23264774427347623</v>
      </c>
      <c r="E282">
        <v>9</v>
      </c>
      <c r="F282">
        <v>0</v>
      </c>
      <c r="G282">
        <v>0.10625924535381723</v>
      </c>
      <c r="H282">
        <v>17.193375385999964</v>
      </c>
      <c r="I282">
        <v>37</v>
      </c>
      <c r="J282">
        <v>8040</v>
      </c>
      <c r="K282">
        <v>1</v>
      </c>
      <c r="L282">
        <v>4</v>
      </c>
      <c r="M282">
        <v>3</v>
      </c>
      <c r="N282">
        <v>1</v>
      </c>
    </row>
    <row r="283" spans="1:14">
      <c r="A283">
        <v>55</v>
      </c>
      <c r="B283">
        <v>2</v>
      </c>
      <c r="C283">
        <v>1747</v>
      </c>
      <c r="D283" s="131">
        <v>0.21236227066419056</v>
      </c>
      <c r="E283">
        <v>6</v>
      </c>
      <c r="F283">
        <v>0</v>
      </c>
      <c r="G283">
        <v>7.6761294104202182E-2</v>
      </c>
      <c r="H283">
        <v>18.835737569999985</v>
      </c>
      <c r="I283">
        <v>37</v>
      </c>
      <c r="J283">
        <v>8040</v>
      </c>
      <c r="K283">
        <v>1</v>
      </c>
      <c r="L283">
        <v>2</v>
      </c>
      <c r="M283">
        <v>2</v>
      </c>
      <c r="N283">
        <v>1</v>
      </c>
    </row>
    <row r="284" spans="1:14">
      <c r="A284">
        <v>56</v>
      </c>
      <c r="B284">
        <v>1</v>
      </c>
      <c r="C284">
        <v>1605</v>
      </c>
      <c r="D284" s="131">
        <v>0.2303752348288631</v>
      </c>
      <c r="E284">
        <v>9</v>
      </c>
      <c r="F284">
        <v>0</v>
      </c>
      <c r="G284">
        <v>0.10631253299148263</v>
      </c>
      <c r="H284">
        <v>17.362977418000014</v>
      </c>
      <c r="I284">
        <v>36</v>
      </c>
      <c r="J284">
        <v>8040</v>
      </c>
      <c r="K284">
        <v>1</v>
      </c>
      <c r="L284">
        <v>3</v>
      </c>
      <c r="M284">
        <v>4</v>
      </c>
      <c r="N284">
        <v>1</v>
      </c>
    </row>
    <row r="285" spans="1:14">
      <c r="A285">
        <v>56</v>
      </c>
      <c r="B285">
        <v>2</v>
      </c>
      <c r="C285">
        <v>1763</v>
      </c>
      <c r="D285" s="131">
        <v>0.20939637341567077</v>
      </c>
      <c r="E285">
        <v>6</v>
      </c>
      <c r="F285">
        <v>0</v>
      </c>
      <c r="G285">
        <v>7.6840059232935604E-2</v>
      </c>
      <c r="H285">
        <v>19.102527587999997</v>
      </c>
      <c r="I285">
        <v>37</v>
      </c>
      <c r="J285">
        <v>8040</v>
      </c>
      <c r="K285">
        <v>1</v>
      </c>
      <c r="L285">
        <v>2</v>
      </c>
      <c r="M285">
        <v>2</v>
      </c>
      <c r="N285">
        <v>1</v>
      </c>
    </row>
    <row r="286" spans="1:14">
      <c r="A286">
        <v>57</v>
      </c>
      <c r="B286">
        <v>1</v>
      </c>
      <c r="C286">
        <v>1205</v>
      </c>
      <c r="D286" s="131">
        <v>0.22847535857375692</v>
      </c>
      <c r="E286">
        <v>9</v>
      </c>
      <c r="F286">
        <v>0</v>
      </c>
      <c r="G286">
        <v>0.10635762360918555</v>
      </c>
      <c r="H286">
        <v>17.507358452000027</v>
      </c>
      <c r="I286">
        <v>37</v>
      </c>
      <c r="J286">
        <v>8040</v>
      </c>
      <c r="K286">
        <v>1</v>
      </c>
      <c r="L286">
        <v>3</v>
      </c>
      <c r="M286">
        <v>4</v>
      </c>
      <c r="N286">
        <v>1</v>
      </c>
    </row>
    <row r="287" spans="1:14">
      <c r="A287">
        <v>57</v>
      </c>
      <c r="B287">
        <v>2</v>
      </c>
      <c r="C287">
        <v>1767</v>
      </c>
      <c r="D287" s="131">
        <v>0.20974601169993243</v>
      </c>
      <c r="E287">
        <v>6</v>
      </c>
      <c r="F287">
        <v>0</v>
      </c>
      <c r="G287">
        <v>7.683069679174491E-2</v>
      </c>
      <c r="H287">
        <v>19.070684432000043</v>
      </c>
      <c r="I287">
        <v>36</v>
      </c>
      <c r="J287">
        <v>8040</v>
      </c>
      <c r="K287">
        <v>1</v>
      </c>
      <c r="L287">
        <v>2</v>
      </c>
      <c r="M287">
        <v>2</v>
      </c>
      <c r="N287">
        <v>1</v>
      </c>
    </row>
    <row r="288" spans="1:14">
      <c r="A288">
        <v>58</v>
      </c>
      <c r="B288">
        <v>1</v>
      </c>
      <c r="C288">
        <v>1711</v>
      </c>
      <c r="D288" s="131">
        <v>0.22809885576036068</v>
      </c>
      <c r="E288">
        <v>8</v>
      </c>
      <c r="F288">
        <v>0</v>
      </c>
      <c r="G288">
        <v>9.6366618694313858E-2</v>
      </c>
      <c r="H288">
        <v>17.53625631600001</v>
      </c>
      <c r="I288">
        <v>34</v>
      </c>
      <c r="J288">
        <v>8040</v>
      </c>
      <c r="K288">
        <v>1</v>
      </c>
      <c r="L288">
        <v>3</v>
      </c>
      <c r="M288">
        <v>2</v>
      </c>
      <c r="N288">
        <v>2</v>
      </c>
    </row>
    <row r="289" spans="1:14">
      <c r="A289">
        <v>58</v>
      </c>
      <c r="B289">
        <v>2</v>
      </c>
      <c r="C289">
        <v>1562</v>
      </c>
      <c r="D289" s="131">
        <v>0.20973055507977548</v>
      </c>
      <c r="E289">
        <v>6</v>
      </c>
      <c r="F289">
        <v>0</v>
      </c>
      <c r="G289">
        <v>7.6831110241749462E-2</v>
      </c>
      <c r="H289">
        <v>19.072089894000019</v>
      </c>
      <c r="I289">
        <v>37</v>
      </c>
      <c r="J289">
        <v>8040</v>
      </c>
      <c r="K289">
        <v>1</v>
      </c>
      <c r="L289">
        <v>2</v>
      </c>
      <c r="M289">
        <v>2</v>
      </c>
      <c r="N289">
        <v>1</v>
      </c>
    </row>
    <row r="290" spans="1:14">
      <c r="A290">
        <v>59</v>
      </c>
      <c r="B290">
        <v>1</v>
      </c>
      <c r="C290">
        <v>1917</v>
      </c>
      <c r="D290" s="131">
        <v>0.22771179587876755</v>
      </c>
      <c r="E290">
        <v>8</v>
      </c>
      <c r="F290">
        <v>0</v>
      </c>
      <c r="G290">
        <v>9.6375886660378121E-2</v>
      </c>
      <c r="H290">
        <v>17.566064087999976</v>
      </c>
      <c r="I290">
        <v>37</v>
      </c>
      <c r="J290">
        <v>8040</v>
      </c>
      <c r="K290">
        <v>1</v>
      </c>
      <c r="L290">
        <v>3</v>
      </c>
      <c r="M290">
        <v>3</v>
      </c>
      <c r="N290">
        <v>1</v>
      </c>
    </row>
    <row r="291" spans="1:14">
      <c r="A291">
        <v>59</v>
      </c>
      <c r="B291">
        <v>2</v>
      </c>
      <c r="C291">
        <v>1537</v>
      </c>
      <c r="D291" s="131">
        <v>0.21122829244133617</v>
      </c>
      <c r="E291">
        <v>6</v>
      </c>
      <c r="F291">
        <v>0</v>
      </c>
      <c r="G291">
        <v>7.6791234901851052E-2</v>
      </c>
      <c r="H291">
        <v>18.936857149999963</v>
      </c>
      <c r="I291">
        <v>36</v>
      </c>
      <c r="J291">
        <v>8040</v>
      </c>
      <c r="K291">
        <v>1</v>
      </c>
      <c r="L291">
        <v>2</v>
      </c>
      <c r="M291">
        <v>2</v>
      </c>
      <c r="N291">
        <v>1</v>
      </c>
    </row>
    <row r="292" spans="1:14">
      <c r="A292">
        <v>60</v>
      </c>
      <c r="B292">
        <v>1</v>
      </c>
      <c r="C292">
        <v>1621</v>
      </c>
      <c r="D292" s="131">
        <v>0.23149553092917716</v>
      </c>
      <c r="E292">
        <v>10</v>
      </c>
      <c r="F292">
        <v>0</v>
      </c>
      <c r="G292">
        <v>0.11628617621727062</v>
      </c>
      <c r="H292">
        <v>17.278951278000026</v>
      </c>
      <c r="I292">
        <v>36</v>
      </c>
      <c r="J292">
        <v>8040</v>
      </c>
      <c r="K292">
        <v>1</v>
      </c>
      <c r="L292">
        <v>4</v>
      </c>
      <c r="M292">
        <v>4</v>
      </c>
      <c r="N292">
        <v>1</v>
      </c>
    </row>
    <row r="293" spans="1:14">
      <c r="A293">
        <v>60</v>
      </c>
      <c r="B293">
        <v>2</v>
      </c>
      <c r="C293">
        <v>2115</v>
      </c>
      <c r="D293" s="131">
        <v>0.20748587250272651</v>
      </c>
      <c r="E293">
        <v>6</v>
      </c>
      <c r="F293">
        <v>0</v>
      </c>
      <c r="G293">
        <v>7.6891588367924299E-2</v>
      </c>
      <c r="H293">
        <v>19.278420992000008</v>
      </c>
      <c r="I293">
        <v>37</v>
      </c>
      <c r="J293">
        <v>8040</v>
      </c>
      <c r="K293">
        <v>1</v>
      </c>
      <c r="L293">
        <v>2</v>
      </c>
      <c r="M293">
        <v>2</v>
      </c>
      <c r="N293">
        <v>1</v>
      </c>
    </row>
    <row r="294" spans="1:14">
      <c r="A294">
        <v>61</v>
      </c>
      <c r="B294">
        <v>1</v>
      </c>
      <c r="C294">
        <v>2457</v>
      </c>
      <c r="D294" s="131">
        <v>0.22745273996209386</v>
      </c>
      <c r="E294">
        <v>13</v>
      </c>
      <c r="F294">
        <v>0</v>
      </c>
      <c r="G294">
        <v>0.14638210137378749</v>
      </c>
      <c r="H294">
        <v>17.58607084999996</v>
      </c>
      <c r="I294">
        <v>37</v>
      </c>
      <c r="J294">
        <v>8040</v>
      </c>
      <c r="K294">
        <v>2</v>
      </c>
      <c r="L294">
        <v>3</v>
      </c>
      <c r="M294">
        <v>3</v>
      </c>
      <c r="N294">
        <v>5</v>
      </c>
    </row>
    <row r="295" spans="1:14">
      <c r="A295">
        <v>61</v>
      </c>
      <c r="B295">
        <v>2</v>
      </c>
      <c r="C295">
        <v>1751</v>
      </c>
      <c r="D295" s="131">
        <v>0.17576242594888325</v>
      </c>
      <c r="E295">
        <v>7</v>
      </c>
      <c r="F295">
        <v>0</v>
      </c>
      <c r="G295">
        <v>8.7852182609398255E-2</v>
      </c>
      <c r="H295">
        <v>22.757992661999982</v>
      </c>
      <c r="I295">
        <v>36</v>
      </c>
      <c r="J295">
        <v>8040</v>
      </c>
      <c r="K295">
        <v>1</v>
      </c>
      <c r="L295">
        <v>2</v>
      </c>
      <c r="M295">
        <v>1</v>
      </c>
      <c r="N295">
        <v>3</v>
      </c>
    </row>
    <row r="296" spans="1:14">
      <c r="A296">
        <v>62</v>
      </c>
      <c r="B296">
        <v>1</v>
      </c>
      <c r="C296">
        <v>2149</v>
      </c>
      <c r="D296" s="131">
        <v>0.20892192511214072</v>
      </c>
      <c r="E296">
        <v>13</v>
      </c>
      <c r="F296">
        <v>0</v>
      </c>
      <c r="G296">
        <v>0.14685279716057431</v>
      </c>
      <c r="H296">
        <v>19.145908203999959</v>
      </c>
      <c r="I296">
        <v>35</v>
      </c>
      <c r="J296">
        <v>8040</v>
      </c>
      <c r="K296">
        <v>1</v>
      </c>
      <c r="L296">
        <v>4</v>
      </c>
      <c r="M296">
        <v>3</v>
      </c>
      <c r="N296">
        <v>5</v>
      </c>
    </row>
    <row r="297" spans="1:14">
      <c r="A297">
        <v>62</v>
      </c>
      <c r="B297">
        <v>2</v>
      </c>
      <c r="C297">
        <v>1954</v>
      </c>
      <c r="D297" s="131">
        <v>0.16698968975522188</v>
      </c>
      <c r="E297">
        <v>7</v>
      </c>
      <c r="F297">
        <v>0</v>
      </c>
      <c r="G297">
        <v>8.8159481635807502E-2</v>
      </c>
      <c r="H297">
        <v>23.953574653999961</v>
      </c>
      <c r="I297">
        <v>35</v>
      </c>
      <c r="J297">
        <v>8040</v>
      </c>
      <c r="K297">
        <v>1</v>
      </c>
      <c r="L297">
        <v>1</v>
      </c>
      <c r="M297">
        <v>2</v>
      </c>
      <c r="N297">
        <v>3</v>
      </c>
    </row>
    <row r="298" spans="1:14">
      <c r="A298">
        <v>63</v>
      </c>
      <c r="B298">
        <v>1</v>
      </c>
      <c r="C298">
        <v>2280</v>
      </c>
      <c r="D298" s="131">
        <v>0.21147528839586135</v>
      </c>
      <c r="E298">
        <v>12</v>
      </c>
      <c r="F298">
        <v>0</v>
      </c>
      <c r="G298">
        <v>0.13678469515776159</v>
      </c>
      <c r="H298">
        <v>18.914739543999985</v>
      </c>
      <c r="I298">
        <v>37</v>
      </c>
      <c r="J298">
        <v>8040</v>
      </c>
      <c r="K298">
        <v>2</v>
      </c>
      <c r="L298">
        <v>3</v>
      </c>
      <c r="M298">
        <v>2</v>
      </c>
      <c r="N298">
        <v>5</v>
      </c>
    </row>
    <row r="299" spans="1:14">
      <c r="A299">
        <v>63</v>
      </c>
      <c r="B299">
        <v>2</v>
      </c>
      <c r="C299">
        <v>3041</v>
      </c>
      <c r="D299" s="131">
        <v>0.17211989908797576</v>
      </c>
      <c r="E299">
        <v>7</v>
      </c>
      <c r="F299">
        <v>0</v>
      </c>
      <c r="G299">
        <v>8.7977238179390044E-2</v>
      </c>
      <c r="H299">
        <v>23.239613904000009</v>
      </c>
      <c r="I299">
        <v>35</v>
      </c>
      <c r="J299">
        <v>8040</v>
      </c>
      <c r="K299">
        <v>1</v>
      </c>
      <c r="L299">
        <v>2</v>
      </c>
      <c r="M299">
        <v>2</v>
      </c>
      <c r="N299">
        <v>2</v>
      </c>
    </row>
    <row r="300" spans="1:14">
      <c r="A300">
        <v>64</v>
      </c>
      <c r="B300">
        <v>1</v>
      </c>
      <c r="C300">
        <v>2711</v>
      </c>
      <c r="D300" s="131">
        <v>0.23022646211787282</v>
      </c>
      <c r="E300">
        <v>15</v>
      </c>
      <c r="F300">
        <v>0</v>
      </c>
      <c r="G300">
        <v>0.16631604596326791</v>
      </c>
      <c r="H300">
        <v>17.374197402000011</v>
      </c>
      <c r="I300">
        <v>37</v>
      </c>
      <c r="J300">
        <v>8040</v>
      </c>
      <c r="K300">
        <v>3</v>
      </c>
      <c r="L300">
        <v>3</v>
      </c>
      <c r="M300">
        <v>3</v>
      </c>
      <c r="N300">
        <v>6</v>
      </c>
    </row>
    <row r="301" spans="1:14">
      <c r="A301">
        <v>64</v>
      </c>
      <c r="B301">
        <v>2</v>
      </c>
      <c r="C301">
        <v>2182</v>
      </c>
      <c r="D301" s="131">
        <v>0.18373662978792699</v>
      </c>
      <c r="E301">
        <v>8</v>
      </c>
      <c r="F301">
        <v>0</v>
      </c>
      <c r="G301">
        <v>9.7590090936601856E-2</v>
      </c>
      <c r="H301">
        <v>21.770291555999972</v>
      </c>
      <c r="I301">
        <v>35</v>
      </c>
      <c r="J301">
        <v>8040</v>
      </c>
      <c r="K301">
        <v>1</v>
      </c>
      <c r="L301">
        <v>2</v>
      </c>
      <c r="M301">
        <v>2</v>
      </c>
      <c r="N301">
        <v>3</v>
      </c>
    </row>
    <row r="302" spans="1:14">
      <c r="A302">
        <v>65</v>
      </c>
      <c r="B302">
        <v>1</v>
      </c>
      <c r="C302">
        <v>1846</v>
      </c>
      <c r="D302" s="131">
        <v>0.21288314384247248</v>
      </c>
      <c r="E302">
        <v>17</v>
      </c>
      <c r="F302">
        <v>0</v>
      </c>
      <c r="G302">
        <v>0.18674761267230663</v>
      </c>
      <c r="H302">
        <v>18.789651109999987</v>
      </c>
      <c r="I302">
        <v>35</v>
      </c>
      <c r="J302">
        <v>8040</v>
      </c>
      <c r="K302">
        <v>1</v>
      </c>
      <c r="L302">
        <v>6</v>
      </c>
      <c r="M302">
        <v>2</v>
      </c>
      <c r="N302">
        <v>8</v>
      </c>
    </row>
    <row r="303" spans="1:14">
      <c r="A303">
        <v>65</v>
      </c>
      <c r="B303">
        <v>2</v>
      </c>
      <c r="C303">
        <v>1850</v>
      </c>
      <c r="D303" s="131">
        <v>0.17022945871611933</v>
      </c>
      <c r="E303">
        <v>8</v>
      </c>
      <c r="F303">
        <v>0</v>
      </c>
      <c r="G303">
        <v>9.804354057689034E-2</v>
      </c>
      <c r="H303">
        <v>23.497695581999949</v>
      </c>
      <c r="I303">
        <v>37</v>
      </c>
      <c r="J303">
        <v>8040</v>
      </c>
      <c r="K303">
        <v>1</v>
      </c>
      <c r="L303">
        <v>3</v>
      </c>
      <c r="M303">
        <v>1</v>
      </c>
      <c r="N303">
        <v>3</v>
      </c>
    </row>
    <row r="304" spans="1:14">
      <c r="A304">
        <v>66</v>
      </c>
      <c r="B304">
        <v>1</v>
      </c>
      <c r="C304">
        <v>4218</v>
      </c>
      <c r="D304" s="131">
        <v>0.22778753925147618</v>
      </c>
      <c r="E304">
        <v>22</v>
      </c>
      <c r="F304">
        <v>0</v>
      </c>
      <c r="G304">
        <v>0.236374071368817</v>
      </c>
      <c r="H304">
        <v>17.560223061999992</v>
      </c>
      <c r="I304">
        <v>34</v>
      </c>
      <c r="J304">
        <v>8040</v>
      </c>
      <c r="K304">
        <v>1</v>
      </c>
      <c r="L304">
        <v>7</v>
      </c>
      <c r="M304">
        <v>7</v>
      </c>
      <c r="N304">
        <v>7</v>
      </c>
    </row>
    <row r="305" spans="1:14">
      <c r="A305">
        <v>66</v>
      </c>
      <c r="B305">
        <v>2</v>
      </c>
      <c r="C305">
        <v>1948</v>
      </c>
      <c r="D305" s="131">
        <v>0.17563050399896457</v>
      </c>
      <c r="E305">
        <v>8</v>
      </c>
      <c r="F305">
        <v>0</v>
      </c>
      <c r="G305">
        <v>9.7856651281352486E-2</v>
      </c>
      <c r="H305">
        <v>22.775086951999988</v>
      </c>
      <c r="I305">
        <v>36</v>
      </c>
      <c r="J305">
        <v>8040</v>
      </c>
      <c r="K305">
        <v>1</v>
      </c>
      <c r="L305">
        <v>3</v>
      </c>
      <c r="M305">
        <v>1</v>
      </c>
      <c r="N305">
        <v>3</v>
      </c>
    </row>
    <row r="306" spans="1:14">
      <c r="A306">
        <v>67</v>
      </c>
      <c r="B306">
        <v>1</v>
      </c>
      <c r="C306">
        <v>2962</v>
      </c>
      <c r="D306" s="131">
        <v>0.21144770083745459</v>
      </c>
      <c r="E306">
        <v>13</v>
      </c>
      <c r="F306">
        <v>0</v>
      </c>
      <c r="G306">
        <v>0.14678542509179832</v>
      </c>
      <c r="H306">
        <v>18.917207347999991</v>
      </c>
      <c r="I306">
        <v>37</v>
      </c>
      <c r="J306">
        <v>8040</v>
      </c>
      <c r="K306">
        <v>2</v>
      </c>
      <c r="L306">
        <v>3</v>
      </c>
      <c r="M306">
        <v>3</v>
      </c>
      <c r="N306">
        <v>5</v>
      </c>
    </row>
    <row r="307" spans="1:14">
      <c r="A307">
        <v>67</v>
      </c>
      <c r="B307">
        <v>2</v>
      </c>
      <c r="C307">
        <v>3269</v>
      </c>
      <c r="D307" s="131">
        <v>0.16639489174071936</v>
      </c>
      <c r="E307">
        <v>7</v>
      </c>
      <c r="F307">
        <v>0</v>
      </c>
      <c r="G307">
        <v>8.8181093635485125E-2</v>
      </c>
      <c r="H307">
        <v>24.039199509999975</v>
      </c>
      <c r="I307">
        <v>37</v>
      </c>
      <c r="J307">
        <v>8040</v>
      </c>
      <c r="K307">
        <v>2</v>
      </c>
      <c r="L307">
        <v>1</v>
      </c>
      <c r="M307">
        <v>2</v>
      </c>
      <c r="N307">
        <v>2</v>
      </c>
    </row>
    <row r="308" spans="1:14">
      <c r="A308">
        <v>68</v>
      </c>
      <c r="B308">
        <v>1</v>
      </c>
      <c r="C308">
        <v>2961</v>
      </c>
      <c r="D308" s="131">
        <v>0.22452530886423586</v>
      </c>
      <c r="E308">
        <v>14</v>
      </c>
      <c r="F308">
        <v>0</v>
      </c>
      <c r="G308">
        <v>0.15645299247857097</v>
      </c>
      <c r="H308">
        <v>17.815363534000024</v>
      </c>
      <c r="I308">
        <v>36</v>
      </c>
      <c r="J308">
        <v>8040</v>
      </c>
      <c r="K308">
        <v>2</v>
      </c>
      <c r="L308">
        <v>3</v>
      </c>
      <c r="M308">
        <v>4</v>
      </c>
      <c r="N308">
        <v>5</v>
      </c>
    </row>
    <row r="309" spans="1:14">
      <c r="A309">
        <v>68</v>
      </c>
      <c r="B309">
        <v>2</v>
      </c>
      <c r="C309">
        <v>1762</v>
      </c>
      <c r="D309" s="131">
        <v>0.17493461066051716</v>
      </c>
      <c r="E309">
        <v>7</v>
      </c>
      <c r="F309">
        <v>0</v>
      </c>
      <c r="G309">
        <v>8.7880297990556855E-2</v>
      </c>
      <c r="H309">
        <v>22.865686698000022</v>
      </c>
      <c r="I309">
        <v>36</v>
      </c>
      <c r="J309">
        <v>8040</v>
      </c>
      <c r="K309">
        <v>1</v>
      </c>
      <c r="L309">
        <v>2</v>
      </c>
      <c r="M309">
        <v>2</v>
      </c>
      <c r="N309">
        <v>2</v>
      </c>
    </row>
    <row r="310" spans="1:14">
      <c r="A310">
        <v>69</v>
      </c>
      <c r="B310">
        <v>1</v>
      </c>
      <c r="C310">
        <v>2589</v>
      </c>
      <c r="D310" s="131">
        <v>0.223960711772763</v>
      </c>
      <c r="E310">
        <v>14</v>
      </c>
      <c r="F310">
        <v>0</v>
      </c>
      <c r="G310">
        <v>0.15646680668215854</v>
      </c>
      <c r="H310">
        <v>17.860275440000009</v>
      </c>
      <c r="I310">
        <v>37</v>
      </c>
      <c r="J310">
        <v>8040</v>
      </c>
      <c r="K310">
        <v>2</v>
      </c>
      <c r="L310">
        <v>3</v>
      </c>
      <c r="M310">
        <v>4</v>
      </c>
      <c r="N310">
        <v>5</v>
      </c>
    </row>
    <row r="311" spans="1:14">
      <c r="A311">
        <v>69</v>
      </c>
      <c r="B311">
        <v>2</v>
      </c>
      <c r="C311">
        <v>1816</v>
      </c>
      <c r="D311" s="131">
        <v>0.1727759197838353</v>
      </c>
      <c r="E311">
        <v>15</v>
      </c>
      <c r="F311">
        <v>0</v>
      </c>
      <c r="G311">
        <v>0.1679544564587479</v>
      </c>
      <c r="H311">
        <v>23.15137436399997</v>
      </c>
      <c r="I311">
        <v>34</v>
      </c>
      <c r="J311">
        <v>8040</v>
      </c>
      <c r="K311">
        <v>1</v>
      </c>
      <c r="L311">
        <v>1</v>
      </c>
      <c r="M311">
        <v>1</v>
      </c>
      <c r="N311">
        <v>12</v>
      </c>
    </row>
    <row r="312" spans="1:14">
      <c r="A312">
        <v>70</v>
      </c>
      <c r="B312">
        <v>1</v>
      </c>
      <c r="C312">
        <v>3379</v>
      </c>
      <c r="D312" s="131">
        <v>0.23286317136246665</v>
      </c>
      <c r="E312">
        <v>22</v>
      </c>
      <c r="F312">
        <v>0</v>
      </c>
      <c r="G312">
        <v>0.23625422987259706</v>
      </c>
      <c r="H312">
        <v>17.177469397999996</v>
      </c>
      <c r="I312">
        <v>34</v>
      </c>
      <c r="J312">
        <v>8040</v>
      </c>
      <c r="K312">
        <v>1</v>
      </c>
      <c r="L312">
        <v>8</v>
      </c>
      <c r="M312">
        <v>5</v>
      </c>
      <c r="N312">
        <v>8</v>
      </c>
    </row>
    <row r="313" spans="1:14">
      <c r="A313">
        <v>70</v>
      </c>
      <c r="B313">
        <v>2</v>
      </c>
      <c r="C313">
        <v>2421</v>
      </c>
      <c r="D313" s="131">
        <v>0.18531982200918781</v>
      </c>
      <c r="E313">
        <v>9</v>
      </c>
      <c r="F313">
        <v>0</v>
      </c>
      <c r="G313">
        <v>0.10753985673991842</v>
      </c>
      <c r="H313">
        <v>21.584307369999998</v>
      </c>
      <c r="I313">
        <v>37</v>
      </c>
      <c r="J313">
        <v>8040</v>
      </c>
      <c r="K313">
        <v>2</v>
      </c>
      <c r="L313">
        <v>2</v>
      </c>
      <c r="M313">
        <v>1</v>
      </c>
      <c r="N313">
        <v>4</v>
      </c>
    </row>
    <row r="314" spans="1:14">
      <c r="A314">
        <v>71</v>
      </c>
      <c r="B314">
        <v>1</v>
      </c>
      <c r="C314">
        <v>1518</v>
      </c>
      <c r="D314" s="131">
        <v>0.21933130858228</v>
      </c>
      <c r="E314">
        <v>8</v>
      </c>
      <c r="F314">
        <v>0</v>
      </c>
      <c r="G314">
        <v>9.6581855392631033E-2</v>
      </c>
      <c r="H314">
        <v>18.23725042200001</v>
      </c>
      <c r="I314">
        <v>33</v>
      </c>
      <c r="J314">
        <v>8040</v>
      </c>
      <c r="K314">
        <v>1</v>
      </c>
      <c r="L314">
        <v>1</v>
      </c>
      <c r="M314">
        <v>3</v>
      </c>
      <c r="N314">
        <v>3</v>
      </c>
    </row>
    <row r="315" spans="1:14">
      <c r="A315">
        <v>71</v>
      </c>
      <c r="B315">
        <v>2</v>
      </c>
      <c r="C315">
        <v>1304</v>
      </c>
      <c r="D315" s="131">
        <v>0.19778012759600211</v>
      </c>
      <c r="E315">
        <v>5</v>
      </c>
      <c r="F315">
        <v>0</v>
      </c>
      <c r="G315">
        <v>6.7163497157054775E-2</v>
      </c>
      <c r="H315">
        <v>20.224478811999994</v>
      </c>
      <c r="I315">
        <v>36</v>
      </c>
      <c r="J315">
        <v>8040</v>
      </c>
      <c r="K315">
        <v>1</v>
      </c>
      <c r="L315">
        <v>1</v>
      </c>
      <c r="M315">
        <v>1</v>
      </c>
      <c r="N315">
        <v>2</v>
      </c>
    </row>
    <row r="316" spans="1:14">
      <c r="A316">
        <v>72</v>
      </c>
      <c r="B316">
        <v>1</v>
      </c>
      <c r="C316">
        <v>2131</v>
      </c>
      <c r="D316" s="131">
        <v>0.23345399998630331</v>
      </c>
      <c r="E316">
        <v>7</v>
      </c>
      <c r="F316">
        <v>0</v>
      </c>
      <c r="G316">
        <v>8.6240506145146584E-2</v>
      </c>
      <c r="H316">
        <v>17.133996419999995</v>
      </c>
      <c r="I316">
        <v>35</v>
      </c>
      <c r="J316">
        <v>8040</v>
      </c>
      <c r="K316">
        <v>1</v>
      </c>
      <c r="L316">
        <v>2</v>
      </c>
      <c r="M316">
        <v>2</v>
      </c>
      <c r="N316">
        <v>2</v>
      </c>
    </row>
    <row r="317" spans="1:14">
      <c r="A317">
        <v>72</v>
      </c>
      <c r="B317">
        <v>2</v>
      </c>
      <c r="C317">
        <v>1002</v>
      </c>
      <c r="D317" s="131">
        <v>0.19986146979958963</v>
      </c>
      <c r="E317">
        <v>5</v>
      </c>
      <c r="F317">
        <v>0</v>
      </c>
      <c r="G317">
        <v>6.7103709346009094E-2</v>
      </c>
      <c r="H317">
        <v>20.013862622000055</v>
      </c>
      <c r="I317">
        <v>36</v>
      </c>
      <c r="J317">
        <v>8040</v>
      </c>
      <c r="K317">
        <v>1</v>
      </c>
      <c r="L317">
        <v>1</v>
      </c>
      <c r="M317">
        <v>1</v>
      </c>
      <c r="N317">
        <v>2</v>
      </c>
    </row>
    <row r="318" spans="1:14">
      <c r="A318">
        <v>73</v>
      </c>
      <c r="B318">
        <v>1</v>
      </c>
      <c r="C318">
        <v>2050</v>
      </c>
      <c r="D318" s="131">
        <v>0.22870910980882733</v>
      </c>
      <c r="E318">
        <v>7</v>
      </c>
      <c r="F318">
        <v>0</v>
      </c>
      <c r="G318">
        <v>8.6352048961544664E-2</v>
      </c>
      <c r="H318">
        <v>17.489465126000042</v>
      </c>
      <c r="I318">
        <v>36</v>
      </c>
      <c r="J318">
        <v>8040</v>
      </c>
      <c r="K318">
        <v>1</v>
      </c>
      <c r="L318">
        <v>2</v>
      </c>
      <c r="M318">
        <v>2</v>
      </c>
      <c r="N318">
        <v>2</v>
      </c>
    </row>
    <row r="319" spans="1:14">
      <c r="A319">
        <v>73</v>
      </c>
      <c r="B319">
        <v>2</v>
      </c>
      <c r="C319">
        <v>1700</v>
      </c>
      <c r="D319" s="131">
        <v>0.19728840423107552</v>
      </c>
      <c r="E319">
        <v>5</v>
      </c>
      <c r="F319">
        <v>0</v>
      </c>
      <c r="G319">
        <v>6.7177744810686835E-2</v>
      </c>
      <c r="H319">
        <v>20.274886482000078</v>
      </c>
      <c r="I319">
        <v>35</v>
      </c>
      <c r="J319">
        <v>8040</v>
      </c>
      <c r="K319">
        <v>1</v>
      </c>
      <c r="L319">
        <v>1</v>
      </c>
      <c r="M319">
        <v>1</v>
      </c>
      <c r="N319">
        <v>2</v>
      </c>
    </row>
    <row r="320" spans="1:14">
      <c r="A320">
        <v>74</v>
      </c>
      <c r="B320">
        <v>1</v>
      </c>
      <c r="C320">
        <v>1854</v>
      </c>
      <c r="D320" s="131">
        <v>0.22326005257985446</v>
      </c>
      <c r="E320">
        <v>7</v>
      </c>
      <c r="F320">
        <v>0</v>
      </c>
      <c r="G320">
        <v>8.6484014673175874E-2</v>
      </c>
      <c r="H320">
        <v>17.916326515999998</v>
      </c>
      <c r="I320">
        <v>36</v>
      </c>
      <c r="J320">
        <v>8040</v>
      </c>
      <c r="K320">
        <v>1</v>
      </c>
      <c r="L320">
        <v>2</v>
      </c>
      <c r="M320">
        <v>1</v>
      </c>
      <c r="N320">
        <v>3</v>
      </c>
    </row>
    <row r="321" spans="1:14">
      <c r="A321">
        <v>74</v>
      </c>
      <c r="B321">
        <v>2</v>
      </c>
      <c r="C321">
        <v>1498</v>
      </c>
      <c r="D321" s="131">
        <v>0.19793621698454861</v>
      </c>
      <c r="E321">
        <v>5</v>
      </c>
      <c r="F321">
        <v>0</v>
      </c>
      <c r="G321">
        <v>6.7158984349272088E-2</v>
      </c>
      <c r="H321">
        <v>20.208530106000005</v>
      </c>
      <c r="I321">
        <v>36</v>
      </c>
      <c r="J321">
        <v>8040</v>
      </c>
      <c r="K321">
        <v>1</v>
      </c>
      <c r="L321">
        <v>1</v>
      </c>
      <c r="M321">
        <v>1</v>
      </c>
      <c r="N321">
        <v>2</v>
      </c>
    </row>
    <row r="322" spans="1:14">
      <c r="A322">
        <v>75</v>
      </c>
      <c r="B322">
        <v>1</v>
      </c>
      <c r="C322">
        <v>1779</v>
      </c>
      <c r="D322" s="131">
        <v>0.23315406864642521</v>
      </c>
      <c r="E322">
        <v>7</v>
      </c>
      <c r="F322">
        <v>0</v>
      </c>
      <c r="G322">
        <v>8.6247467135325065E-2</v>
      </c>
      <c r="H322">
        <v>17.156037735999977</v>
      </c>
      <c r="I322">
        <v>35</v>
      </c>
      <c r="J322">
        <v>8040</v>
      </c>
      <c r="K322">
        <v>1</v>
      </c>
      <c r="L322">
        <v>2</v>
      </c>
      <c r="M322">
        <v>2</v>
      </c>
      <c r="N322">
        <v>2</v>
      </c>
    </row>
    <row r="323" spans="1:14">
      <c r="A323">
        <v>75</v>
      </c>
      <c r="B323">
        <v>2</v>
      </c>
      <c r="C323">
        <v>1502</v>
      </c>
      <c r="D323" s="131">
        <v>0.1999626168488064</v>
      </c>
      <c r="E323">
        <v>5</v>
      </c>
      <c r="F323">
        <v>0</v>
      </c>
      <c r="G323">
        <v>6.7100825004369438E-2</v>
      </c>
      <c r="H323">
        <v>20.00373901399999</v>
      </c>
      <c r="I323">
        <v>36</v>
      </c>
      <c r="J323">
        <v>8040</v>
      </c>
      <c r="K323">
        <v>1</v>
      </c>
      <c r="L323">
        <v>1</v>
      </c>
      <c r="M323">
        <v>1</v>
      </c>
      <c r="N323">
        <v>2</v>
      </c>
    </row>
    <row r="324" spans="1:14">
      <c r="A324">
        <v>76</v>
      </c>
      <c r="B324">
        <v>1</v>
      </c>
      <c r="C324">
        <v>2436</v>
      </c>
      <c r="D324" s="131">
        <v>0.22886862091015803</v>
      </c>
      <c r="E324">
        <v>7</v>
      </c>
      <c r="F324">
        <v>0</v>
      </c>
      <c r="G324">
        <v>8.6348249198567442E-2</v>
      </c>
      <c r="H324">
        <v>17.477275758000015</v>
      </c>
      <c r="I324">
        <v>37</v>
      </c>
      <c r="J324">
        <v>8040</v>
      </c>
      <c r="K324">
        <v>1</v>
      </c>
      <c r="L324">
        <v>2</v>
      </c>
      <c r="M324">
        <v>2</v>
      </c>
      <c r="N324">
        <v>2</v>
      </c>
    </row>
    <row r="325" spans="1:14">
      <c r="A325">
        <v>76</v>
      </c>
      <c r="B325">
        <v>2</v>
      </c>
      <c r="C325">
        <v>1300</v>
      </c>
      <c r="D325" s="131">
        <v>0.19806233490572267</v>
      </c>
      <c r="E325">
        <v>5</v>
      </c>
      <c r="F325">
        <v>0</v>
      </c>
      <c r="G325">
        <v>6.7155341531593429E-2</v>
      </c>
      <c r="H325">
        <v>20.195662147999986</v>
      </c>
      <c r="I325">
        <v>36</v>
      </c>
      <c r="J325">
        <v>8040</v>
      </c>
      <c r="K325">
        <v>1</v>
      </c>
      <c r="L325">
        <v>1</v>
      </c>
      <c r="M325">
        <v>1</v>
      </c>
      <c r="N325">
        <v>2</v>
      </c>
    </row>
    <row r="326" spans="1:14">
      <c r="A326">
        <v>77</v>
      </c>
      <c r="B326">
        <v>1</v>
      </c>
      <c r="C326">
        <v>1512</v>
      </c>
      <c r="D326" s="131">
        <v>0.23062115247524351</v>
      </c>
      <c r="E326">
        <v>7</v>
      </c>
      <c r="F326">
        <v>0</v>
      </c>
      <c r="G326">
        <v>8.6306732762559554E-2</v>
      </c>
      <c r="H326">
        <v>17.344462800000048</v>
      </c>
      <c r="I326">
        <v>36</v>
      </c>
      <c r="J326">
        <v>8040</v>
      </c>
      <c r="K326">
        <v>1</v>
      </c>
      <c r="L326">
        <v>2</v>
      </c>
      <c r="M326">
        <v>2</v>
      </c>
      <c r="N326">
        <v>2</v>
      </c>
    </row>
    <row r="327" spans="1:14">
      <c r="A327">
        <v>77</v>
      </c>
      <c r="B327">
        <v>2</v>
      </c>
      <c r="C327">
        <v>1152</v>
      </c>
      <c r="D327" s="131">
        <v>0.19900480051499173</v>
      </c>
      <c r="E327">
        <v>5</v>
      </c>
      <c r="F327">
        <v>0</v>
      </c>
      <c r="G327">
        <v>6.7128216707554159E-2</v>
      </c>
      <c r="H327">
        <v>20.100017636000022</v>
      </c>
      <c r="I327">
        <v>37</v>
      </c>
      <c r="J327">
        <v>8040</v>
      </c>
      <c r="K327">
        <v>1</v>
      </c>
      <c r="L327">
        <v>1</v>
      </c>
      <c r="M327">
        <v>1</v>
      </c>
      <c r="N327">
        <v>2</v>
      </c>
    </row>
    <row r="328" spans="1:14">
      <c r="A328">
        <v>78</v>
      </c>
      <c r="B328">
        <v>1</v>
      </c>
      <c r="C328">
        <v>1707</v>
      </c>
      <c r="D328" s="131">
        <v>0.22411522971313128</v>
      </c>
      <c r="E328">
        <v>7</v>
      </c>
      <c r="F328">
        <v>0</v>
      </c>
      <c r="G328">
        <v>8.6463021423958744E-2</v>
      </c>
      <c r="H328">
        <v>17.847961537999993</v>
      </c>
      <c r="I328">
        <v>36</v>
      </c>
      <c r="J328">
        <v>8040</v>
      </c>
      <c r="K328">
        <v>1</v>
      </c>
      <c r="L328">
        <v>2</v>
      </c>
      <c r="M328">
        <v>1</v>
      </c>
      <c r="N328">
        <v>3</v>
      </c>
    </row>
    <row r="329" spans="1:14">
      <c r="A329">
        <v>78</v>
      </c>
      <c r="B329">
        <v>2</v>
      </c>
      <c r="C329">
        <v>1543</v>
      </c>
      <c r="D329" s="131">
        <v>0.19913207996198365</v>
      </c>
      <c r="E329">
        <v>5</v>
      </c>
      <c r="F329">
        <v>0</v>
      </c>
      <c r="G329">
        <v>6.7124566643410682E-2</v>
      </c>
      <c r="H329">
        <v>20.08717028800001</v>
      </c>
      <c r="I329">
        <v>36</v>
      </c>
      <c r="J329">
        <v>8040</v>
      </c>
      <c r="K329">
        <v>1</v>
      </c>
      <c r="L329">
        <v>1</v>
      </c>
      <c r="M329">
        <v>1</v>
      </c>
      <c r="N329">
        <v>2</v>
      </c>
    </row>
    <row r="330" spans="1:14">
      <c r="A330">
        <v>79</v>
      </c>
      <c r="B330">
        <v>1</v>
      </c>
      <c r="C330">
        <v>1658</v>
      </c>
      <c r="D330" s="131">
        <v>0.22375961754539847</v>
      </c>
      <c r="E330">
        <v>7</v>
      </c>
      <c r="F330">
        <v>0</v>
      </c>
      <c r="G330">
        <v>8.647173814732044E-2</v>
      </c>
      <c r="H330">
        <v>17.876326586000005</v>
      </c>
      <c r="I330">
        <v>36</v>
      </c>
      <c r="J330">
        <v>8040</v>
      </c>
      <c r="K330">
        <v>1</v>
      </c>
      <c r="L330">
        <v>2</v>
      </c>
      <c r="M330">
        <v>1</v>
      </c>
      <c r="N330">
        <v>3</v>
      </c>
    </row>
    <row r="331" spans="1:14">
      <c r="A331">
        <v>79</v>
      </c>
      <c r="B331">
        <v>2</v>
      </c>
      <c r="C331">
        <v>1798</v>
      </c>
      <c r="D331" s="131">
        <v>0.19911811395747844</v>
      </c>
      <c r="E331">
        <v>5</v>
      </c>
      <c r="F331">
        <v>0</v>
      </c>
      <c r="G331">
        <v>6.7124967002405014E-2</v>
      </c>
      <c r="H331">
        <v>20.08857918799993</v>
      </c>
      <c r="I331">
        <v>35</v>
      </c>
      <c r="J331">
        <v>8040</v>
      </c>
      <c r="K331">
        <v>1</v>
      </c>
      <c r="L331">
        <v>1</v>
      </c>
      <c r="M331">
        <v>1</v>
      </c>
      <c r="N331">
        <v>2</v>
      </c>
    </row>
    <row r="332" spans="1:14">
      <c r="A332">
        <v>80</v>
      </c>
      <c r="B332">
        <v>1</v>
      </c>
      <c r="C332">
        <v>2117</v>
      </c>
      <c r="D332" s="131">
        <v>0.23293095183409837</v>
      </c>
      <c r="E332">
        <v>7</v>
      </c>
      <c r="F332">
        <v>0</v>
      </c>
      <c r="G332">
        <v>8.6252653115997002E-2</v>
      </c>
      <c r="H332">
        <v>17.172470933999964</v>
      </c>
      <c r="I332">
        <v>36</v>
      </c>
      <c r="J332">
        <v>8040</v>
      </c>
      <c r="K332">
        <v>1</v>
      </c>
      <c r="L332">
        <v>2</v>
      </c>
      <c r="M332">
        <v>2</v>
      </c>
      <c r="N332">
        <v>2</v>
      </c>
    </row>
    <row r="333" spans="1:14">
      <c r="A333">
        <v>80</v>
      </c>
      <c r="B333">
        <v>2</v>
      </c>
      <c r="C333">
        <v>1637</v>
      </c>
      <c r="D333" s="131">
        <v>0.19945357260451421</v>
      </c>
      <c r="E333">
        <v>5</v>
      </c>
      <c r="F333">
        <v>0</v>
      </c>
      <c r="G333">
        <v>6.7115360853871098E-2</v>
      </c>
      <c r="H333">
        <v>20.054792439999986</v>
      </c>
      <c r="I333">
        <v>36</v>
      </c>
      <c r="J333">
        <v>8040</v>
      </c>
      <c r="K333">
        <v>1</v>
      </c>
      <c r="L333">
        <v>1</v>
      </c>
      <c r="M333">
        <v>1</v>
      </c>
      <c r="N333">
        <v>2</v>
      </c>
    </row>
    <row r="344" spans="1:14">
      <c r="A344">
        <v>1</v>
      </c>
      <c r="B344">
        <v>1</v>
      </c>
      <c r="C344">
        <v>3566</v>
      </c>
      <c r="D344" s="131">
        <v>0.38492230945105993</v>
      </c>
      <c r="E344">
        <v>61</v>
      </c>
      <c r="F344">
        <v>0</v>
      </c>
      <c r="G344">
        <v>0.62374703291129829</v>
      </c>
      <c r="H344">
        <v>10.391707369999999</v>
      </c>
      <c r="I344">
        <v>35</v>
      </c>
      <c r="J344">
        <v>8040</v>
      </c>
      <c r="K344">
        <v>14</v>
      </c>
      <c r="L344">
        <v>19</v>
      </c>
      <c r="M344">
        <v>13</v>
      </c>
      <c r="N344">
        <v>15</v>
      </c>
    </row>
    <row r="345" spans="1:14">
      <c r="A345">
        <v>1</v>
      </c>
      <c r="B345">
        <v>2</v>
      </c>
      <c r="C345">
        <v>1836</v>
      </c>
      <c r="D345" s="131">
        <v>0.32438839382009033</v>
      </c>
      <c r="E345">
        <v>28</v>
      </c>
      <c r="F345">
        <v>0</v>
      </c>
      <c r="G345">
        <v>0.29455386127174732</v>
      </c>
      <c r="H345">
        <v>12.330897394000008</v>
      </c>
      <c r="I345">
        <v>36</v>
      </c>
      <c r="J345">
        <v>8040</v>
      </c>
      <c r="K345">
        <v>7</v>
      </c>
      <c r="L345">
        <v>7</v>
      </c>
      <c r="M345">
        <v>8</v>
      </c>
      <c r="N345">
        <v>6</v>
      </c>
    </row>
    <row r="346" spans="1:14">
      <c r="A346">
        <v>2</v>
      </c>
      <c r="B346">
        <v>1</v>
      </c>
      <c r="C346">
        <v>2901</v>
      </c>
      <c r="D346" s="131">
        <v>0.37062734305417494</v>
      </c>
      <c r="E346">
        <v>40</v>
      </c>
      <c r="F346">
        <v>0</v>
      </c>
      <c r="G346">
        <v>0.41392154753350247</v>
      </c>
      <c r="H346">
        <v>10.792511872</v>
      </c>
      <c r="I346">
        <v>36</v>
      </c>
      <c r="J346">
        <v>8040</v>
      </c>
      <c r="K346">
        <v>11</v>
      </c>
      <c r="L346">
        <v>10</v>
      </c>
      <c r="M346">
        <v>11</v>
      </c>
      <c r="N346">
        <v>8</v>
      </c>
    </row>
    <row r="347" spans="1:14">
      <c r="A347">
        <v>2</v>
      </c>
      <c r="B347">
        <v>2</v>
      </c>
      <c r="C347">
        <v>2124</v>
      </c>
      <c r="D347" s="131">
        <v>0.31583053998236077</v>
      </c>
      <c r="E347">
        <v>21</v>
      </c>
      <c r="F347">
        <v>0</v>
      </c>
      <c r="G347">
        <v>0.22468414369438286</v>
      </c>
      <c r="H347">
        <v>12.665019666000005</v>
      </c>
      <c r="I347">
        <v>36</v>
      </c>
      <c r="J347">
        <v>8040</v>
      </c>
      <c r="K347">
        <v>5</v>
      </c>
      <c r="L347">
        <v>6</v>
      </c>
      <c r="M347">
        <v>5</v>
      </c>
      <c r="N347">
        <v>5</v>
      </c>
    </row>
    <row r="348" spans="1:14">
      <c r="A348">
        <v>3</v>
      </c>
      <c r="B348">
        <v>1</v>
      </c>
      <c r="C348">
        <v>6344</v>
      </c>
      <c r="D348" s="131">
        <v>0.40838763072007378</v>
      </c>
      <c r="E348">
        <v>66</v>
      </c>
      <c r="F348">
        <v>0</v>
      </c>
      <c r="G348">
        <v>0.67347852825688392</v>
      </c>
      <c r="H348">
        <v>9.7946159460000146</v>
      </c>
      <c r="I348">
        <v>35</v>
      </c>
      <c r="J348">
        <v>8040</v>
      </c>
      <c r="K348">
        <v>14</v>
      </c>
      <c r="L348">
        <v>17</v>
      </c>
      <c r="M348">
        <v>24</v>
      </c>
      <c r="N348">
        <v>11</v>
      </c>
    </row>
    <row r="349" spans="1:14">
      <c r="A349">
        <v>3</v>
      </c>
      <c r="B349">
        <v>2</v>
      </c>
      <c r="C349">
        <v>2303</v>
      </c>
      <c r="D349" s="131">
        <v>0.3355229111148807</v>
      </c>
      <c r="E349">
        <v>23</v>
      </c>
      <c r="F349">
        <v>0</v>
      </c>
      <c r="G349">
        <v>0.24439105411437237</v>
      </c>
      <c r="H349">
        <v>11.921689600000008</v>
      </c>
      <c r="I349">
        <v>35</v>
      </c>
      <c r="J349">
        <v>8040</v>
      </c>
      <c r="K349">
        <v>4</v>
      </c>
      <c r="L349">
        <v>6</v>
      </c>
      <c r="M349">
        <v>8</v>
      </c>
      <c r="N349">
        <v>5</v>
      </c>
    </row>
    <row r="350" spans="1:14">
      <c r="A350">
        <v>4</v>
      </c>
      <c r="B350">
        <v>1</v>
      </c>
      <c r="C350">
        <v>3043</v>
      </c>
      <c r="D350" s="131">
        <v>0.41671891071650291</v>
      </c>
      <c r="E350">
        <v>89</v>
      </c>
      <c r="F350">
        <v>0</v>
      </c>
      <c r="G350">
        <v>0.90338809946620002</v>
      </c>
      <c r="H350">
        <v>9.598796448000007</v>
      </c>
      <c r="I350">
        <v>35</v>
      </c>
      <c r="J350">
        <v>8040</v>
      </c>
      <c r="K350">
        <v>34</v>
      </c>
      <c r="L350">
        <v>19</v>
      </c>
      <c r="M350">
        <v>22</v>
      </c>
      <c r="N350">
        <v>14</v>
      </c>
    </row>
    <row r="351" spans="1:14">
      <c r="A351">
        <v>4</v>
      </c>
      <c r="B351">
        <v>2</v>
      </c>
      <c r="C351">
        <v>3283</v>
      </c>
      <c r="D351" s="131">
        <v>0.34531488606030697</v>
      </c>
      <c r="E351">
        <v>29</v>
      </c>
      <c r="F351">
        <v>0</v>
      </c>
      <c r="G351">
        <v>0.30425372032379838</v>
      </c>
      <c r="H351">
        <v>11.583630365999994</v>
      </c>
      <c r="I351">
        <v>35</v>
      </c>
      <c r="J351">
        <v>8040</v>
      </c>
      <c r="K351">
        <v>7</v>
      </c>
      <c r="L351">
        <v>7</v>
      </c>
      <c r="M351">
        <v>8</v>
      </c>
      <c r="N351">
        <v>7</v>
      </c>
    </row>
    <row r="352" spans="1:14">
      <c r="A352">
        <v>5</v>
      </c>
      <c r="B352">
        <v>1</v>
      </c>
      <c r="C352">
        <v>4321</v>
      </c>
      <c r="D352" s="131">
        <v>0.40077957767801442</v>
      </c>
      <c r="E352">
        <v>66</v>
      </c>
      <c r="F352">
        <v>0</v>
      </c>
      <c r="G352">
        <v>0.67356328244087482</v>
      </c>
      <c r="H352">
        <v>9.9805484680000163</v>
      </c>
      <c r="I352">
        <v>35</v>
      </c>
      <c r="J352">
        <v>8040</v>
      </c>
      <c r="K352">
        <v>20</v>
      </c>
      <c r="L352">
        <v>16</v>
      </c>
      <c r="M352">
        <v>16</v>
      </c>
      <c r="N352">
        <v>14</v>
      </c>
    </row>
    <row r="353" spans="1:14">
      <c r="A353">
        <v>5</v>
      </c>
      <c r="B353">
        <v>2</v>
      </c>
      <c r="C353">
        <v>3210</v>
      </c>
      <c r="D353" s="131">
        <v>0.31383591150313989</v>
      </c>
      <c r="E353">
        <v>20</v>
      </c>
      <c r="F353">
        <v>0</v>
      </c>
      <c r="G353">
        <v>0.21471518707014062</v>
      </c>
      <c r="H353">
        <v>12.745513988000001</v>
      </c>
      <c r="I353">
        <v>36</v>
      </c>
      <c r="J353">
        <v>8040</v>
      </c>
      <c r="K353">
        <v>5</v>
      </c>
      <c r="L353">
        <v>5</v>
      </c>
      <c r="M353">
        <v>6</v>
      </c>
      <c r="N353">
        <v>4</v>
      </c>
    </row>
    <row r="354" spans="1:14">
      <c r="A354">
        <v>6</v>
      </c>
      <c r="B354">
        <v>1</v>
      </c>
      <c r="C354">
        <v>6459</v>
      </c>
      <c r="D354" s="131">
        <v>0.42622201476651883</v>
      </c>
      <c r="E354">
        <v>61</v>
      </c>
      <c r="F354">
        <v>0</v>
      </c>
      <c r="G354">
        <v>0.62328784970956408</v>
      </c>
      <c r="H354">
        <v>9.3847803759999806</v>
      </c>
      <c r="I354">
        <v>35</v>
      </c>
      <c r="J354">
        <v>8040</v>
      </c>
      <c r="K354">
        <v>14</v>
      </c>
      <c r="L354">
        <v>19</v>
      </c>
      <c r="M354">
        <v>16</v>
      </c>
      <c r="N354">
        <v>12</v>
      </c>
    </row>
    <row r="355" spans="1:14">
      <c r="A355">
        <v>6</v>
      </c>
      <c r="B355">
        <v>2</v>
      </c>
      <c r="C355">
        <v>2299</v>
      </c>
      <c r="D355" s="131">
        <v>0.33463340256289903</v>
      </c>
      <c r="E355">
        <v>21</v>
      </c>
      <c r="F355">
        <v>0</v>
      </c>
      <c r="G355">
        <v>0.22440379406601099</v>
      </c>
      <c r="H355">
        <v>11.953379338000019</v>
      </c>
      <c r="I355">
        <v>36</v>
      </c>
      <c r="J355">
        <v>8040</v>
      </c>
      <c r="K355">
        <v>5</v>
      </c>
      <c r="L355">
        <v>7</v>
      </c>
      <c r="M355">
        <v>5</v>
      </c>
      <c r="N355">
        <v>4</v>
      </c>
    </row>
    <row r="356" spans="1:14">
      <c r="A356">
        <v>7</v>
      </c>
      <c r="B356">
        <v>1</v>
      </c>
      <c r="C356">
        <v>1859</v>
      </c>
      <c r="D356" s="131">
        <v>0.42554774708065007</v>
      </c>
      <c r="E356">
        <v>153</v>
      </c>
      <c r="F356">
        <v>0</v>
      </c>
      <c r="G356">
        <v>1.5432948640730839</v>
      </c>
      <c r="H356">
        <v>9.3996502799999959</v>
      </c>
      <c r="I356">
        <v>35</v>
      </c>
      <c r="J356">
        <v>8040</v>
      </c>
      <c r="K356">
        <v>38</v>
      </c>
      <c r="L356">
        <v>31</v>
      </c>
      <c r="M356">
        <v>56</v>
      </c>
      <c r="N356">
        <v>28</v>
      </c>
    </row>
    <row r="357" spans="1:14">
      <c r="A357">
        <v>7</v>
      </c>
      <c r="B357">
        <v>2</v>
      </c>
      <c r="C357">
        <v>2256</v>
      </c>
      <c r="D357" s="131">
        <v>0.33486914621011538</v>
      </c>
      <c r="E357">
        <v>31</v>
      </c>
      <c r="F357">
        <v>0</v>
      </c>
      <c r="G357">
        <v>0.32440041324286695</v>
      </c>
      <c r="H357">
        <v>11.94496431</v>
      </c>
      <c r="I357">
        <v>35</v>
      </c>
      <c r="J357">
        <v>8040</v>
      </c>
      <c r="K357">
        <v>7</v>
      </c>
      <c r="L357">
        <v>8</v>
      </c>
      <c r="M357">
        <v>9</v>
      </c>
      <c r="N357">
        <v>7</v>
      </c>
    </row>
    <row r="358" spans="1:14">
      <c r="A358">
        <v>8</v>
      </c>
      <c r="B358">
        <v>1</v>
      </c>
      <c r="C358">
        <v>2801</v>
      </c>
      <c r="D358" s="131">
        <v>0.39245032339965075</v>
      </c>
      <c r="E358">
        <v>38</v>
      </c>
      <c r="F358">
        <v>0</v>
      </c>
      <c r="G358">
        <v>0.39365856591603021</v>
      </c>
      <c r="H358">
        <v>10.192372795999994</v>
      </c>
      <c r="I358">
        <v>35</v>
      </c>
      <c r="J358">
        <v>8040</v>
      </c>
      <c r="K358">
        <v>10</v>
      </c>
      <c r="L358">
        <v>9</v>
      </c>
      <c r="M358">
        <v>10</v>
      </c>
      <c r="N358">
        <v>9</v>
      </c>
    </row>
    <row r="359" spans="1:14">
      <c r="A359">
        <v>8</v>
      </c>
      <c r="B359">
        <v>2</v>
      </c>
      <c r="C359">
        <v>1645</v>
      </c>
      <c r="D359" s="131">
        <v>0.32343753939822972</v>
      </c>
      <c r="E359">
        <v>19</v>
      </c>
      <c r="F359">
        <v>0</v>
      </c>
      <c r="G359">
        <v>0.20456810932345867</v>
      </c>
      <c r="H359">
        <v>12.367148252000007</v>
      </c>
      <c r="I359">
        <v>35</v>
      </c>
      <c r="J359">
        <v>8040</v>
      </c>
      <c r="K359">
        <v>4</v>
      </c>
      <c r="L359">
        <v>5</v>
      </c>
      <c r="M359">
        <v>6</v>
      </c>
      <c r="N359">
        <v>4</v>
      </c>
    </row>
    <row r="360" spans="1:14">
      <c r="A360">
        <v>9</v>
      </c>
      <c r="B360">
        <v>1</v>
      </c>
      <c r="C360">
        <v>1936</v>
      </c>
      <c r="D360" s="131">
        <v>0.400647280297245</v>
      </c>
      <c r="E360">
        <v>62</v>
      </c>
      <c r="F360">
        <v>0</v>
      </c>
      <c r="G360">
        <v>0.63356477518304344</v>
      </c>
      <c r="H360">
        <v>9.9838441360000054</v>
      </c>
      <c r="I360">
        <v>35</v>
      </c>
      <c r="J360">
        <v>8040</v>
      </c>
      <c r="K360">
        <v>16</v>
      </c>
      <c r="L360">
        <v>18</v>
      </c>
      <c r="M360">
        <v>14</v>
      </c>
      <c r="N360">
        <v>14</v>
      </c>
    </row>
    <row r="361" spans="1:14">
      <c r="A361">
        <v>9</v>
      </c>
      <c r="B361">
        <v>2</v>
      </c>
      <c r="C361">
        <v>2147</v>
      </c>
      <c r="D361" s="131">
        <v>0.33375563183112189</v>
      </c>
      <c r="E361">
        <v>26</v>
      </c>
      <c r="F361">
        <v>0</v>
      </c>
      <c r="G361">
        <v>0.27441641024384184</v>
      </c>
      <c r="H361">
        <v>11.984816490000004</v>
      </c>
      <c r="I361">
        <v>35</v>
      </c>
      <c r="J361">
        <v>8040</v>
      </c>
      <c r="K361">
        <v>6</v>
      </c>
      <c r="L361">
        <v>7</v>
      </c>
      <c r="M361">
        <v>7</v>
      </c>
      <c r="N361">
        <v>6</v>
      </c>
    </row>
    <row r="362" spans="1:14">
      <c r="A362">
        <v>10</v>
      </c>
      <c r="B362">
        <v>1</v>
      </c>
      <c r="C362">
        <v>3115</v>
      </c>
      <c r="D362" s="131">
        <v>0.39250699938351952</v>
      </c>
      <c r="E362">
        <v>60</v>
      </c>
      <c r="F362">
        <v>0</v>
      </c>
      <c r="G362">
        <v>0.61365790847558965</v>
      </c>
      <c r="H362">
        <v>10.190901070000004</v>
      </c>
      <c r="I362">
        <v>35</v>
      </c>
      <c r="J362">
        <v>8040</v>
      </c>
      <c r="K362">
        <v>13</v>
      </c>
      <c r="L362">
        <v>10</v>
      </c>
      <c r="M362">
        <v>21</v>
      </c>
      <c r="N362">
        <v>16</v>
      </c>
    </row>
    <row r="363" spans="1:14">
      <c r="A363">
        <v>10</v>
      </c>
      <c r="B363">
        <v>2</v>
      </c>
      <c r="C363">
        <v>1545</v>
      </c>
      <c r="D363" s="131">
        <v>0.3129788558400256</v>
      </c>
      <c r="E363">
        <v>21</v>
      </c>
      <c r="F363">
        <v>0</v>
      </c>
      <c r="G363">
        <v>0.22472860676260342</v>
      </c>
      <c r="H363">
        <v>12.780416074000026</v>
      </c>
      <c r="I363">
        <v>36</v>
      </c>
      <c r="J363">
        <v>8040</v>
      </c>
      <c r="K363">
        <v>6</v>
      </c>
      <c r="L363">
        <v>5</v>
      </c>
      <c r="M363">
        <v>6</v>
      </c>
      <c r="N363">
        <v>4</v>
      </c>
    </row>
    <row r="364" spans="1:14">
      <c r="A364">
        <v>11</v>
      </c>
      <c r="B364">
        <v>1</v>
      </c>
      <c r="C364">
        <v>1421</v>
      </c>
      <c r="D364" s="131">
        <v>0.43855443395402866</v>
      </c>
      <c r="E364">
        <v>18</v>
      </c>
      <c r="F364">
        <v>0</v>
      </c>
      <c r="G364">
        <v>0.19316210945138834</v>
      </c>
      <c r="H364">
        <v>9.1208746059999903</v>
      </c>
      <c r="I364">
        <v>36</v>
      </c>
      <c r="J364">
        <v>8040</v>
      </c>
      <c r="K364">
        <v>4</v>
      </c>
      <c r="L364">
        <v>5</v>
      </c>
      <c r="M364">
        <v>5</v>
      </c>
      <c r="N364">
        <v>4</v>
      </c>
    </row>
    <row r="365" spans="1:14">
      <c r="A365">
        <v>11</v>
      </c>
      <c r="B365">
        <v>2</v>
      </c>
      <c r="C365">
        <v>1262</v>
      </c>
      <c r="D365" s="131">
        <v>0.35586390482813435</v>
      </c>
      <c r="E365">
        <v>9</v>
      </c>
      <c r="F365">
        <v>0</v>
      </c>
      <c r="G365">
        <v>0.10411146230644165</v>
      </c>
      <c r="H365">
        <v>11.240252090000006</v>
      </c>
      <c r="I365">
        <v>35</v>
      </c>
      <c r="J365">
        <v>8040</v>
      </c>
      <c r="K365">
        <v>2</v>
      </c>
      <c r="L365">
        <v>2</v>
      </c>
      <c r="M365">
        <v>3</v>
      </c>
      <c r="N365">
        <v>2</v>
      </c>
    </row>
    <row r="366" spans="1:14">
      <c r="A366">
        <v>12</v>
      </c>
      <c r="B366">
        <v>1</v>
      </c>
      <c r="C366">
        <v>1521</v>
      </c>
      <c r="D366" s="131">
        <v>0.43827706721241511</v>
      </c>
      <c r="E366">
        <v>18</v>
      </c>
      <c r="F366">
        <v>0</v>
      </c>
      <c r="G366">
        <v>0.19316488544388613</v>
      </c>
      <c r="H366">
        <v>9.126646815999985</v>
      </c>
      <c r="I366">
        <v>36</v>
      </c>
      <c r="J366">
        <v>8040</v>
      </c>
      <c r="K366">
        <v>4</v>
      </c>
      <c r="L366">
        <v>5</v>
      </c>
      <c r="M366">
        <v>4</v>
      </c>
      <c r="N366">
        <v>5</v>
      </c>
    </row>
    <row r="367" spans="1:14">
      <c r="A367">
        <v>12</v>
      </c>
      <c r="B367">
        <v>2</v>
      </c>
      <c r="C367">
        <v>1069</v>
      </c>
      <c r="D367" s="131">
        <v>0.35212431308295472</v>
      </c>
      <c r="E367">
        <v>9</v>
      </c>
      <c r="F367">
        <v>0</v>
      </c>
      <c r="G367">
        <v>0.1041612414981974</v>
      </c>
      <c r="H367">
        <v>11.359624573999994</v>
      </c>
      <c r="I367">
        <v>35</v>
      </c>
      <c r="J367">
        <v>8040</v>
      </c>
      <c r="K367">
        <v>2</v>
      </c>
      <c r="L367">
        <v>2</v>
      </c>
      <c r="M367">
        <v>3</v>
      </c>
      <c r="N367">
        <v>2</v>
      </c>
    </row>
    <row r="368" spans="1:14">
      <c r="A368">
        <v>13</v>
      </c>
      <c r="B368">
        <v>1</v>
      </c>
      <c r="C368">
        <v>1439</v>
      </c>
      <c r="D368" s="131">
        <v>0.43555677175201818</v>
      </c>
      <c r="E368">
        <v>17</v>
      </c>
      <c r="F368">
        <v>0</v>
      </c>
      <c r="G368">
        <v>0.18319223593865616</v>
      </c>
      <c r="H368">
        <v>9.1836478259999996</v>
      </c>
      <c r="I368">
        <v>36</v>
      </c>
      <c r="J368">
        <v>8040</v>
      </c>
      <c r="K368">
        <v>4</v>
      </c>
      <c r="L368">
        <v>5</v>
      </c>
      <c r="M368">
        <v>4</v>
      </c>
      <c r="N368">
        <v>4</v>
      </c>
    </row>
    <row r="369" spans="1:14">
      <c r="A369">
        <v>13</v>
      </c>
      <c r="B369">
        <v>2</v>
      </c>
      <c r="C369">
        <v>893</v>
      </c>
      <c r="D369" s="131">
        <v>0.35396976716007295</v>
      </c>
      <c r="E369">
        <v>9</v>
      </c>
      <c r="F369">
        <v>0</v>
      </c>
      <c r="G369">
        <v>0.1041365882909658</v>
      </c>
      <c r="H369">
        <v>11.300400122000001</v>
      </c>
      <c r="I369">
        <v>36</v>
      </c>
      <c r="J369">
        <v>8040</v>
      </c>
      <c r="K369">
        <v>2</v>
      </c>
      <c r="L369">
        <v>3</v>
      </c>
      <c r="M369">
        <v>2</v>
      </c>
      <c r="N369">
        <v>2</v>
      </c>
    </row>
    <row r="370" spans="1:14">
      <c r="A370">
        <v>14</v>
      </c>
      <c r="B370">
        <v>1</v>
      </c>
      <c r="C370">
        <v>1086</v>
      </c>
      <c r="D370" s="131">
        <v>0.4271842270368012</v>
      </c>
      <c r="E370">
        <v>16</v>
      </c>
      <c r="F370">
        <v>0</v>
      </c>
      <c r="G370">
        <v>0.17327786545842258</v>
      </c>
      <c r="H370">
        <v>9.3636416019999889</v>
      </c>
      <c r="I370">
        <v>36</v>
      </c>
      <c r="J370">
        <v>8040</v>
      </c>
      <c r="K370">
        <v>4</v>
      </c>
      <c r="L370">
        <v>4</v>
      </c>
      <c r="M370">
        <v>4</v>
      </c>
      <c r="N370">
        <v>4</v>
      </c>
    </row>
    <row r="371" spans="1:14">
      <c r="A371">
        <v>14</v>
      </c>
      <c r="B371">
        <v>2</v>
      </c>
      <c r="C371">
        <v>1118</v>
      </c>
      <c r="D371" s="131">
        <v>0.33591993192555702</v>
      </c>
      <c r="E371">
        <v>8</v>
      </c>
      <c r="F371">
        <v>0</v>
      </c>
      <c r="G371">
        <v>9.4385382325911704E-2</v>
      </c>
      <c r="H371">
        <v>11.907599460000002</v>
      </c>
      <c r="I371">
        <v>36</v>
      </c>
      <c r="J371">
        <v>8040</v>
      </c>
      <c r="K371">
        <v>2</v>
      </c>
      <c r="L371">
        <v>2</v>
      </c>
      <c r="M371">
        <v>2</v>
      </c>
      <c r="N371">
        <v>2</v>
      </c>
    </row>
    <row r="372" spans="1:14">
      <c r="A372">
        <v>15</v>
      </c>
      <c r="B372">
        <v>1</v>
      </c>
      <c r="C372">
        <v>1343</v>
      </c>
      <c r="D372" s="131">
        <v>0.43710680573622418</v>
      </c>
      <c r="E372">
        <v>17</v>
      </c>
      <c r="F372">
        <v>0</v>
      </c>
      <c r="G372">
        <v>0.18317662371120147</v>
      </c>
      <c r="H372">
        <v>9.1510814919999994</v>
      </c>
      <c r="I372">
        <v>36</v>
      </c>
      <c r="J372">
        <v>8040</v>
      </c>
      <c r="K372">
        <v>4</v>
      </c>
      <c r="L372">
        <v>5</v>
      </c>
      <c r="M372">
        <v>4</v>
      </c>
      <c r="N372">
        <v>4</v>
      </c>
    </row>
    <row r="373" spans="1:14">
      <c r="A373">
        <v>15</v>
      </c>
      <c r="B373">
        <v>2</v>
      </c>
      <c r="C373">
        <v>1121</v>
      </c>
      <c r="D373" s="131">
        <v>0.3538417704025863</v>
      </c>
      <c r="E373">
        <v>9</v>
      </c>
      <c r="F373">
        <v>0</v>
      </c>
      <c r="G373">
        <v>0.10413829264912784</v>
      </c>
      <c r="H373">
        <v>11.304487866000015</v>
      </c>
      <c r="I373">
        <v>37</v>
      </c>
      <c r="J373">
        <v>8040</v>
      </c>
      <c r="K373">
        <v>2</v>
      </c>
      <c r="L373">
        <v>3</v>
      </c>
      <c r="M373">
        <v>2</v>
      </c>
      <c r="N373">
        <v>2</v>
      </c>
    </row>
    <row r="374" spans="1:14">
      <c r="A374">
        <v>16</v>
      </c>
      <c r="B374">
        <v>1</v>
      </c>
      <c r="C374">
        <v>1529</v>
      </c>
      <c r="D374" s="131">
        <v>0.43521060038211756</v>
      </c>
      <c r="E374">
        <v>21</v>
      </c>
      <c r="F374">
        <v>0</v>
      </c>
      <c r="G374">
        <v>0.22319573276226032</v>
      </c>
      <c r="H374">
        <v>9.190952601999987</v>
      </c>
      <c r="I374">
        <v>35</v>
      </c>
      <c r="J374">
        <v>8040</v>
      </c>
      <c r="K374">
        <v>5</v>
      </c>
      <c r="L374">
        <v>6</v>
      </c>
      <c r="M374">
        <v>5</v>
      </c>
      <c r="N374">
        <v>5</v>
      </c>
    </row>
    <row r="375" spans="1:14">
      <c r="A375">
        <v>16</v>
      </c>
      <c r="B375">
        <v>2</v>
      </c>
      <c r="C375">
        <v>1430</v>
      </c>
      <c r="D375" s="131">
        <v>0.34770190434457238</v>
      </c>
      <c r="E375">
        <v>9</v>
      </c>
      <c r="F375">
        <v>0</v>
      </c>
      <c r="G375">
        <v>0.10422102752153795</v>
      </c>
      <c r="H375">
        <v>11.504107253999974</v>
      </c>
      <c r="I375">
        <v>37</v>
      </c>
      <c r="J375">
        <v>8040</v>
      </c>
      <c r="K375">
        <v>2</v>
      </c>
      <c r="L375">
        <v>3</v>
      </c>
      <c r="M375">
        <v>2</v>
      </c>
      <c r="N375">
        <v>2</v>
      </c>
    </row>
    <row r="376" spans="1:14">
      <c r="A376">
        <v>17</v>
      </c>
      <c r="B376">
        <v>1</v>
      </c>
      <c r="C376">
        <v>1384</v>
      </c>
      <c r="D376" s="131">
        <v>0.42963970532677065</v>
      </c>
      <c r="E376">
        <v>16</v>
      </c>
      <c r="F376">
        <v>0</v>
      </c>
      <c r="G376">
        <v>0.17325252188190987</v>
      </c>
      <c r="H376">
        <v>9.3101264859999944</v>
      </c>
      <c r="I376">
        <v>36</v>
      </c>
      <c r="J376">
        <v>8040</v>
      </c>
      <c r="K376">
        <v>4</v>
      </c>
      <c r="L376">
        <v>4</v>
      </c>
      <c r="M376">
        <v>4</v>
      </c>
      <c r="N376">
        <v>4</v>
      </c>
    </row>
    <row r="377" spans="1:14">
      <c r="A377">
        <v>17</v>
      </c>
      <c r="B377">
        <v>2</v>
      </c>
      <c r="C377">
        <v>1091</v>
      </c>
      <c r="D377" s="131">
        <v>0.33975999384613115</v>
      </c>
      <c r="E377">
        <v>8</v>
      </c>
      <c r="F377">
        <v>0</v>
      </c>
      <c r="G377">
        <v>9.4330980991583699E-2</v>
      </c>
      <c r="H377">
        <v>11.773016459999997</v>
      </c>
      <c r="I377">
        <v>36</v>
      </c>
      <c r="J377">
        <v>8040</v>
      </c>
      <c r="K377">
        <v>2</v>
      </c>
      <c r="L377">
        <v>2</v>
      </c>
      <c r="M377">
        <v>2</v>
      </c>
      <c r="N377">
        <v>2</v>
      </c>
    </row>
    <row r="378" spans="1:14">
      <c r="A378">
        <v>18</v>
      </c>
      <c r="B378">
        <v>1</v>
      </c>
      <c r="C378">
        <v>1450</v>
      </c>
      <c r="D378" s="131">
        <v>0.43766999203701956</v>
      </c>
      <c r="E378">
        <v>19</v>
      </c>
      <c r="F378">
        <v>0</v>
      </c>
      <c r="G378">
        <v>0.20317096946682853</v>
      </c>
      <c r="H378">
        <v>9.1393060359999883</v>
      </c>
      <c r="I378">
        <v>35</v>
      </c>
      <c r="J378">
        <v>8040</v>
      </c>
      <c r="K378">
        <v>5</v>
      </c>
      <c r="L378">
        <v>5</v>
      </c>
      <c r="M378">
        <v>5</v>
      </c>
      <c r="N378">
        <v>4</v>
      </c>
    </row>
    <row r="379" spans="1:14">
      <c r="A379">
        <v>18</v>
      </c>
      <c r="B379">
        <v>2</v>
      </c>
      <c r="C379">
        <v>1021</v>
      </c>
      <c r="D379" s="131">
        <v>0.34887840074630927</v>
      </c>
      <c r="E379">
        <v>9</v>
      </c>
      <c r="F379">
        <v>0</v>
      </c>
      <c r="G379">
        <v>0.10420502401824512</v>
      </c>
      <c r="H379">
        <v>11.465312817999999</v>
      </c>
      <c r="I379">
        <v>36</v>
      </c>
      <c r="J379">
        <v>8040</v>
      </c>
      <c r="K379">
        <v>2</v>
      </c>
      <c r="L379">
        <v>2</v>
      </c>
      <c r="M379">
        <v>3</v>
      </c>
      <c r="N379">
        <v>2</v>
      </c>
    </row>
    <row r="380" spans="1:14">
      <c r="A380">
        <v>19</v>
      </c>
      <c r="B380">
        <v>1</v>
      </c>
      <c r="C380">
        <v>1099</v>
      </c>
      <c r="D380" s="131">
        <v>0.43618421317713918</v>
      </c>
      <c r="E380">
        <v>17</v>
      </c>
      <c r="F380">
        <v>0</v>
      </c>
      <c r="G380">
        <v>0.18318590732246304</v>
      </c>
      <c r="H380">
        <v>9.170437350000002</v>
      </c>
      <c r="I380">
        <v>35</v>
      </c>
      <c r="J380">
        <v>8040</v>
      </c>
      <c r="K380">
        <v>4</v>
      </c>
      <c r="L380">
        <v>4</v>
      </c>
      <c r="M380">
        <v>5</v>
      </c>
      <c r="N380">
        <v>4</v>
      </c>
    </row>
    <row r="381" spans="1:14">
      <c r="A381">
        <v>19</v>
      </c>
      <c r="B381">
        <v>2</v>
      </c>
      <c r="C381">
        <v>1028</v>
      </c>
      <c r="D381" s="131">
        <v>0.35564741526805449</v>
      </c>
      <c r="E381">
        <v>9</v>
      </c>
      <c r="F381">
        <v>0</v>
      </c>
      <c r="G381">
        <v>0.10411432503365306</v>
      </c>
      <c r="H381">
        <v>11.24709425200002</v>
      </c>
      <c r="I381">
        <v>36</v>
      </c>
      <c r="J381">
        <v>8040</v>
      </c>
      <c r="K381">
        <v>2</v>
      </c>
      <c r="L381">
        <v>2</v>
      </c>
      <c r="M381">
        <v>3</v>
      </c>
      <c r="N381">
        <v>2</v>
      </c>
    </row>
    <row r="382" spans="1:14">
      <c r="A382">
        <v>20</v>
      </c>
      <c r="B382">
        <v>1</v>
      </c>
      <c r="C382">
        <v>999</v>
      </c>
      <c r="D382" s="131">
        <v>0.43867010382327537</v>
      </c>
      <c r="E382">
        <v>18</v>
      </c>
      <c r="F382">
        <v>0</v>
      </c>
      <c r="G382">
        <v>0.19316095247465256</v>
      </c>
      <c r="H382">
        <v>9.1184695860000033</v>
      </c>
      <c r="I382">
        <v>35</v>
      </c>
      <c r="J382">
        <v>8040</v>
      </c>
      <c r="K382">
        <v>4</v>
      </c>
      <c r="L382">
        <v>4</v>
      </c>
      <c r="M382">
        <v>5</v>
      </c>
      <c r="N382">
        <v>5</v>
      </c>
    </row>
    <row r="383" spans="1:14">
      <c r="A383">
        <v>20</v>
      </c>
      <c r="B383">
        <v>2</v>
      </c>
      <c r="C383">
        <v>1074</v>
      </c>
      <c r="D383" s="131">
        <v>0.35324743992307522</v>
      </c>
      <c r="E383">
        <v>9</v>
      </c>
      <c r="F383">
        <v>0</v>
      </c>
      <c r="G383">
        <v>0.10414621732098288</v>
      </c>
      <c r="H383">
        <v>11.323507400000006</v>
      </c>
      <c r="I383">
        <v>37</v>
      </c>
      <c r="J383">
        <v>8040</v>
      </c>
      <c r="K383">
        <v>2</v>
      </c>
      <c r="L383">
        <v>3</v>
      </c>
      <c r="M383">
        <v>2</v>
      </c>
      <c r="N383">
        <v>2</v>
      </c>
    </row>
    <row r="384" spans="1:14">
      <c r="A384">
        <v>21</v>
      </c>
      <c r="B384">
        <v>1</v>
      </c>
      <c r="C384">
        <v>1716</v>
      </c>
      <c r="D384" s="131">
        <v>0.23626968348128671</v>
      </c>
      <c r="E384">
        <v>15</v>
      </c>
      <c r="F384">
        <v>0</v>
      </c>
      <c r="G384">
        <v>0.16617573413293008</v>
      </c>
      <c r="H384">
        <v>16.929806401999993</v>
      </c>
      <c r="I384">
        <v>36</v>
      </c>
      <c r="J384">
        <v>8040</v>
      </c>
      <c r="K384">
        <v>5</v>
      </c>
      <c r="L384">
        <v>4</v>
      </c>
      <c r="M384">
        <v>4</v>
      </c>
      <c r="N384">
        <v>2</v>
      </c>
    </row>
    <row r="385" spans="1:14">
      <c r="A385">
        <v>21</v>
      </c>
      <c r="B385">
        <v>2</v>
      </c>
      <c r="C385">
        <v>484</v>
      </c>
      <c r="D385" s="131">
        <v>0.18230140606706396</v>
      </c>
      <c r="E385">
        <v>7</v>
      </c>
      <c r="F385">
        <v>0</v>
      </c>
      <c r="G385">
        <v>8.7636131452724697E-2</v>
      </c>
      <c r="H385">
        <v>21.941684852000009</v>
      </c>
      <c r="I385">
        <v>37</v>
      </c>
      <c r="J385">
        <v>8040</v>
      </c>
      <c r="K385">
        <v>2</v>
      </c>
      <c r="L385">
        <v>2</v>
      </c>
      <c r="M385">
        <v>2</v>
      </c>
      <c r="N385">
        <v>1</v>
      </c>
    </row>
    <row r="386" spans="1:14">
      <c r="A386">
        <v>22</v>
      </c>
      <c r="B386">
        <v>1</v>
      </c>
      <c r="C386">
        <v>1521</v>
      </c>
      <c r="D386" s="131">
        <v>0.21049087776686207</v>
      </c>
      <c r="E386">
        <v>13</v>
      </c>
      <c r="F386">
        <v>0</v>
      </c>
      <c r="G386">
        <v>0.14681082034545942</v>
      </c>
      <c r="H386">
        <v>19.003198820000012</v>
      </c>
      <c r="I386">
        <v>36</v>
      </c>
      <c r="J386">
        <v>8040</v>
      </c>
      <c r="K386">
        <v>5</v>
      </c>
      <c r="L386">
        <v>3</v>
      </c>
      <c r="M386">
        <v>3</v>
      </c>
      <c r="N386">
        <v>2</v>
      </c>
    </row>
    <row r="387" spans="1:14">
      <c r="A387">
        <v>22</v>
      </c>
      <c r="B387">
        <v>2</v>
      </c>
      <c r="C387">
        <v>760</v>
      </c>
      <c r="D387" s="131">
        <v>0.17071898768237401</v>
      </c>
      <c r="E387">
        <v>7</v>
      </c>
      <c r="F387">
        <v>0</v>
      </c>
      <c r="G387">
        <v>8.8026277721038187E-2</v>
      </c>
      <c r="H387">
        <v>23.430317004000035</v>
      </c>
      <c r="I387">
        <v>37</v>
      </c>
      <c r="J387">
        <v>8040</v>
      </c>
      <c r="K387">
        <v>2</v>
      </c>
      <c r="L387">
        <v>2</v>
      </c>
      <c r="M387">
        <v>2</v>
      </c>
      <c r="N387">
        <v>1</v>
      </c>
    </row>
    <row r="388" spans="1:14">
      <c r="A388">
        <v>23</v>
      </c>
      <c r="B388">
        <v>1</v>
      </c>
      <c r="C388">
        <v>1066</v>
      </c>
      <c r="D388" s="131">
        <v>0.230605536573252</v>
      </c>
      <c r="E388">
        <v>15</v>
      </c>
      <c r="F388">
        <v>0</v>
      </c>
      <c r="G388">
        <v>0.16630710083494946</v>
      </c>
      <c r="H388">
        <v>17.345637314000037</v>
      </c>
      <c r="I388">
        <v>35</v>
      </c>
      <c r="J388">
        <v>8040</v>
      </c>
      <c r="K388">
        <v>6</v>
      </c>
      <c r="L388">
        <v>3</v>
      </c>
      <c r="M388">
        <v>3</v>
      </c>
      <c r="N388">
        <v>3</v>
      </c>
    </row>
    <row r="389" spans="1:14">
      <c r="A389">
        <v>23</v>
      </c>
      <c r="B389">
        <v>2</v>
      </c>
      <c r="C389">
        <v>675</v>
      </c>
      <c r="D389" s="131">
        <v>0.17935153516004343</v>
      </c>
      <c r="E389">
        <v>8</v>
      </c>
      <c r="F389">
        <v>0</v>
      </c>
      <c r="G389">
        <v>9.7732295794674073E-2</v>
      </c>
      <c r="H389">
        <v>22.302569066000022</v>
      </c>
      <c r="I389">
        <v>38</v>
      </c>
      <c r="J389">
        <v>8040</v>
      </c>
      <c r="K389">
        <v>3</v>
      </c>
      <c r="L389">
        <v>1</v>
      </c>
      <c r="M389">
        <v>3</v>
      </c>
      <c r="N389">
        <v>1</v>
      </c>
    </row>
    <row r="390" spans="1:14">
      <c r="A390">
        <v>24</v>
      </c>
      <c r="B390">
        <v>1</v>
      </c>
      <c r="C390">
        <v>1259</v>
      </c>
      <c r="D390" s="131">
        <v>0.23036392003573639</v>
      </c>
      <c r="E390">
        <v>17</v>
      </c>
      <c r="F390">
        <v>0</v>
      </c>
      <c r="G390">
        <v>0.18631280006153758</v>
      </c>
      <c r="H390">
        <v>17.363830235999977</v>
      </c>
      <c r="I390">
        <v>37</v>
      </c>
      <c r="J390">
        <v>8040</v>
      </c>
      <c r="K390">
        <v>8</v>
      </c>
      <c r="L390">
        <v>3</v>
      </c>
      <c r="M390">
        <v>4</v>
      </c>
      <c r="N390">
        <v>2</v>
      </c>
    </row>
    <row r="391" spans="1:14">
      <c r="A391">
        <v>24</v>
      </c>
      <c r="B391">
        <v>2</v>
      </c>
      <c r="C391">
        <v>1144</v>
      </c>
      <c r="D391" s="131">
        <v>0.18093441313813799</v>
      </c>
      <c r="E391">
        <v>8</v>
      </c>
      <c r="F391">
        <v>0</v>
      </c>
      <c r="G391">
        <v>9.7680434810119593E-2</v>
      </c>
      <c r="H391">
        <v>22.107458336000018</v>
      </c>
      <c r="I391">
        <v>39</v>
      </c>
      <c r="J391">
        <v>8040</v>
      </c>
      <c r="K391">
        <v>3</v>
      </c>
      <c r="L391">
        <v>2</v>
      </c>
      <c r="M391">
        <v>2</v>
      </c>
      <c r="N391">
        <v>1</v>
      </c>
    </row>
    <row r="392" spans="1:14">
      <c r="A392">
        <v>25</v>
      </c>
      <c r="B392">
        <v>1</v>
      </c>
      <c r="C392">
        <v>879</v>
      </c>
      <c r="D392" s="131">
        <v>0.20114698421553065</v>
      </c>
      <c r="E392">
        <v>12</v>
      </c>
      <c r="F392">
        <v>0</v>
      </c>
      <c r="G392">
        <v>0.13706719529928338</v>
      </c>
      <c r="H392">
        <v>19.885955613999993</v>
      </c>
      <c r="I392">
        <v>37</v>
      </c>
      <c r="J392">
        <v>8040</v>
      </c>
      <c r="K392">
        <v>5</v>
      </c>
      <c r="L392">
        <v>3</v>
      </c>
      <c r="M392">
        <v>2</v>
      </c>
      <c r="N392">
        <v>2</v>
      </c>
    </row>
    <row r="393" spans="1:14">
      <c r="A393">
        <v>25</v>
      </c>
      <c r="B393">
        <v>2</v>
      </c>
      <c r="C393">
        <v>703</v>
      </c>
      <c r="D393" s="131">
        <v>0.16162244925838404</v>
      </c>
      <c r="E393">
        <v>7</v>
      </c>
      <c r="F393">
        <v>0</v>
      </c>
      <c r="G393">
        <v>8.8358313082796791E-2</v>
      </c>
      <c r="H393">
        <v>24.749037143999988</v>
      </c>
      <c r="I393">
        <v>38</v>
      </c>
      <c r="J393">
        <v>8040</v>
      </c>
      <c r="K393">
        <v>3</v>
      </c>
      <c r="L393">
        <v>1</v>
      </c>
      <c r="M393">
        <v>2</v>
      </c>
      <c r="N393">
        <v>1</v>
      </c>
    </row>
    <row r="394" spans="1:14">
      <c r="A394">
        <v>26</v>
      </c>
      <c r="B394">
        <v>1</v>
      </c>
      <c r="C394">
        <v>2379</v>
      </c>
      <c r="D394" s="131">
        <v>0.20429968080596841</v>
      </c>
      <c r="E394">
        <v>12</v>
      </c>
      <c r="F394">
        <v>0</v>
      </c>
      <c r="G394">
        <v>0.13697894770203997</v>
      </c>
      <c r="H394">
        <v>19.579081006000006</v>
      </c>
      <c r="I394">
        <v>35</v>
      </c>
      <c r="J394">
        <v>8040</v>
      </c>
      <c r="K394">
        <v>4</v>
      </c>
      <c r="L394">
        <v>3</v>
      </c>
      <c r="M394">
        <v>3</v>
      </c>
      <c r="N394">
        <v>2</v>
      </c>
    </row>
    <row r="395" spans="1:14">
      <c r="A395">
        <v>26</v>
      </c>
      <c r="B395">
        <v>2</v>
      </c>
      <c r="C395">
        <v>574</v>
      </c>
      <c r="D395" s="131">
        <v>0.16304524972535511</v>
      </c>
      <c r="E395">
        <v>7</v>
      </c>
      <c r="F395">
        <v>0</v>
      </c>
      <c r="G395">
        <v>8.8304756241804366E-2</v>
      </c>
      <c r="H395">
        <v>24.533066781999974</v>
      </c>
      <c r="I395">
        <v>37</v>
      </c>
      <c r="J395">
        <v>8040</v>
      </c>
      <c r="K395">
        <v>3</v>
      </c>
      <c r="L395">
        <v>1</v>
      </c>
      <c r="M395">
        <v>2</v>
      </c>
      <c r="N395">
        <v>1</v>
      </c>
    </row>
    <row r="396" spans="1:14">
      <c r="A396">
        <v>27</v>
      </c>
      <c r="B396">
        <v>1</v>
      </c>
      <c r="C396">
        <v>350</v>
      </c>
      <c r="D396" s="131">
        <v>0.21857826914338788</v>
      </c>
      <c r="E396">
        <v>13</v>
      </c>
      <c r="F396">
        <v>0</v>
      </c>
      <c r="G396">
        <v>0.14660087600677821</v>
      </c>
      <c r="H396">
        <v>18.300080862000012</v>
      </c>
      <c r="I396">
        <v>35</v>
      </c>
      <c r="J396">
        <v>8040</v>
      </c>
      <c r="K396">
        <v>5</v>
      </c>
      <c r="L396">
        <v>3</v>
      </c>
      <c r="M396">
        <v>3</v>
      </c>
      <c r="N396">
        <v>2</v>
      </c>
    </row>
    <row r="397" spans="1:14">
      <c r="A397">
        <v>27</v>
      </c>
      <c r="B397">
        <v>2</v>
      </c>
      <c r="C397">
        <v>1554</v>
      </c>
      <c r="D397" s="131">
        <v>0.1687264050263951</v>
      </c>
      <c r="E397">
        <v>7</v>
      </c>
      <c r="F397">
        <v>0</v>
      </c>
      <c r="G397">
        <v>8.8096960934767723E-2</v>
      </c>
      <c r="H397">
        <v>23.707018468000019</v>
      </c>
      <c r="I397">
        <v>38</v>
      </c>
      <c r="J397">
        <v>8040</v>
      </c>
      <c r="K397">
        <v>3</v>
      </c>
      <c r="L397">
        <v>1</v>
      </c>
      <c r="M397">
        <v>2</v>
      </c>
      <c r="N397">
        <v>1</v>
      </c>
    </row>
    <row r="398" spans="1:14">
      <c r="A398">
        <v>28</v>
      </c>
      <c r="B398">
        <v>1</v>
      </c>
      <c r="C398">
        <v>962</v>
      </c>
      <c r="D398" s="131">
        <v>0.22260986455295678</v>
      </c>
      <c r="E398">
        <v>17</v>
      </c>
      <c r="F398">
        <v>0</v>
      </c>
      <c r="G398">
        <v>0.1865000476423479</v>
      </c>
      <c r="H398">
        <v>17.968655647999991</v>
      </c>
      <c r="I398">
        <v>35</v>
      </c>
      <c r="J398">
        <v>8040</v>
      </c>
      <c r="K398">
        <v>7</v>
      </c>
      <c r="L398">
        <v>4</v>
      </c>
      <c r="M398">
        <v>3</v>
      </c>
      <c r="N398">
        <v>3</v>
      </c>
    </row>
    <row r="399" spans="1:14">
      <c r="A399">
        <v>28</v>
      </c>
      <c r="B399">
        <v>2</v>
      </c>
      <c r="C399">
        <v>427</v>
      </c>
      <c r="D399" s="131">
        <v>0.12747337937263933</v>
      </c>
      <c r="E399">
        <v>4</v>
      </c>
      <c r="F399">
        <v>0</v>
      </c>
      <c r="G399">
        <v>5.9869800206222609E-2</v>
      </c>
      <c r="H399">
        <v>31.379100637999976</v>
      </c>
      <c r="I399">
        <v>34</v>
      </c>
      <c r="J399">
        <v>8040</v>
      </c>
      <c r="K399">
        <v>1</v>
      </c>
      <c r="L399">
        <v>1</v>
      </c>
      <c r="M399">
        <v>1</v>
      </c>
      <c r="N399">
        <v>1</v>
      </c>
    </row>
    <row r="400" spans="1:14">
      <c r="A400">
        <v>29</v>
      </c>
      <c r="B400">
        <v>1</v>
      </c>
      <c r="C400">
        <v>2523</v>
      </c>
      <c r="D400" s="131">
        <v>0.22101488081931875</v>
      </c>
      <c r="E400">
        <v>14</v>
      </c>
      <c r="F400">
        <v>0</v>
      </c>
      <c r="G400">
        <v>0.15653964415070465</v>
      </c>
      <c r="H400">
        <v>18.098328877999979</v>
      </c>
      <c r="I400">
        <v>36</v>
      </c>
      <c r="J400">
        <v>8040</v>
      </c>
      <c r="K400">
        <v>5</v>
      </c>
      <c r="L400">
        <v>3</v>
      </c>
      <c r="M400">
        <v>4</v>
      </c>
      <c r="N400">
        <v>2</v>
      </c>
    </row>
    <row r="401" spans="1:14">
      <c r="A401">
        <v>29</v>
      </c>
      <c r="B401">
        <v>2</v>
      </c>
      <c r="C401">
        <v>619</v>
      </c>
      <c r="D401" s="131">
        <v>0.17399598962089632</v>
      </c>
      <c r="E401">
        <v>7</v>
      </c>
      <c r="F401">
        <v>0</v>
      </c>
      <c r="G401">
        <v>8.7912392093683067E-2</v>
      </c>
      <c r="H401">
        <v>22.989035601999955</v>
      </c>
      <c r="I401">
        <v>36</v>
      </c>
      <c r="J401">
        <v>8040</v>
      </c>
      <c r="K401">
        <v>2</v>
      </c>
      <c r="L401">
        <v>2</v>
      </c>
      <c r="M401">
        <v>2</v>
      </c>
      <c r="N401">
        <v>1</v>
      </c>
    </row>
    <row r="402" spans="1:14">
      <c r="A402">
        <v>30</v>
      </c>
      <c r="B402">
        <v>1</v>
      </c>
      <c r="C402">
        <v>1558</v>
      </c>
      <c r="D402" s="131">
        <v>0.20196646470093585</v>
      </c>
      <c r="E402">
        <v>12</v>
      </c>
      <c r="F402">
        <v>0</v>
      </c>
      <c r="G402">
        <v>0.13704408058288345</v>
      </c>
      <c r="H402">
        <v>19.805268195999993</v>
      </c>
      <c r="I402">
        <v>36</v>
      </c>
      <c r="J402">
        <v>8040</v>
      </c>
      <c r="K402">
        <v>4</v>
      </c>
      <c r="L402">
        <v>3</v>
      </c>
      <c r="M402">
        <v>3</v>
      </c>
      <c r="N402">
        <v>2</v>
      </c>
    </row>
    <row r="403" spans="1:14">
      <c r="A403">
        <v>30</v>
      </c>
      <c r="B403">
        <v>2</v>
      </c>
      <c r="C403">
        <v>690</v>
      </c>
      <c r="D403" s="131">
        <v>0.16352471446764788</v>
      </c>
      <c r="E403">
        <v>7</v>
      </c>
      <c r="F403">
        <v>0</v>
      </c>
      <c r="G403">
        <v>8.8286848496180875E-2</v>
      </c>
      <c r="H403">
        <v>24.461134288000054</v>
      </c>
      <c r="I403">
        <v>38</v>
      </c>
      <c r="J403">
        <v>8040</v>
      </c>
      <c r="K403">
        <v>2</v>
      </c>
      <c r="L403">
        <v>2</v>
      </c>
      <c r="M403">
        <v>2</v>
      </c>
      <c r="N403">
        <v>1</v>
      </c>
    </row>
    <row r="404" spans="1:14">
      <c r="A404">
        <v>31</v>
      </c>
      <c r="B404">
        <v>1</v>
      </c>
      <c r="C404">
        <v>240</v>
      </c>
      <c r="D404" s="131">
        <v>0.22789715213240713</v>
      </c>
      <c r="E404">
        <v>7</v>
      </c>
      <c r="F404">
        <v>0</v>
      </c>
      <c r="G404">
        <v>8.6371445773677044E-2</v>
      </c>
      <c r="H404">
        <v>17.551777030000004</v>
      </c>
      <c r="I404">
        <v>37</v>
      </c>
      <c r="J404">
        <v>8040</v>
      </c>
      <c r="K404">
        <v>2</v>
      </c>
      <c r="L404">
        <v>2</v>
      </c>
      <c r="M404">
        <v>2</v>
      </c>
      <c r="N404">
        <v>1</v>
      </c>
    </row>
    <row r="405" spans="1:14">
      <c r="A405">
        <v>31</v>
      </c>
      <c r="B405">
        <v>2</v>
      </c>
      <c r="C405">
        <v>225</v>
      </c>
      <c r="D405" s="131">
        <v>0.19611461011514986</v>
      </c>
      <c r="E405">
        <v>5</v>
      </c>
      <c r="F405">
        <v>0</v>
      </c>
      <c r="G405">
        <v>6.7211947671102987E-2</v>
      </c>
      <c r="H405">
        <v>20.396236658000014</v>
      </c>
      <c r="I405">
        <v>38</v>
      </c>
      <c r="J405">
        <v>8040</v>
      </c>
      <c r="K405">
        <v>2</v>
      </c>
      <c r="L405">
        <v>1</v>
      </c>
      <c r="M405">
        <v>1</v>
      </c>
      <c r="N405">
        <v>1</v>
      </c>
    </row>
    <row r="406" spans="1:14">
      <c r="A406">
        <v>32</v>
      </c>
      <c r="B406">
        <v>1</v>
      </c>
      <c r="C406">
        <v>73</v>
      </c>
      <c r="D406" s="131">
        <v>0.22974135789607322</v>
      </c>
      <c r="E406">
        <v>7</v>
      </c>
      <c r="F406">
        <v>0</v>
      </c>
      <c r="G406">
        <v>8.6327521793433434E-2</v>
      </c>
      <c r="H406">
        <v>17.41088342400003</v>
      </c>
      <c r="I406">
        <v>37</v>
      </c>
      <c r="J406">
        <v>8040</v>
      </c>
      <c r="K406">
        <v>2</v>
      </c>
      <c r="L406">
        <v>2</v>
      </c>
      <c r="M406">
        <v>2</v>
      </c>
      <c r="N406">
        <v>1</v>
      </c>
    </row>
    <row r="407" spans="1:14">
      <c r="A407">
        <v>32</v>
      </c>
      <c r="B407">
        <v>2</v>
      </c>
      <c r="C407">
        <v>223</v>
      </c>
      <c r="D407" s="131">
        <v>0.19676080670443652</v>
      </c>
      <c r="E407">
        <v>5</v>
      </c>
      <c r="F407">
        <v>0</v>
      </c>
      <c r="G407">
        <v>6.7193084666513317E-2</v>
      </c>
      <c r="H407">
        <v>20.329251881999976</v>
      </c>
      <c r="I407">
        <v>38</v>
      </c>
      <c r="J407">
        <v>8040</v>
      </c>
      <c r="K407">
        <v>2</v>
      </c>
      <c r="L407">
        <v>1</v>
      </c>
      <c r="M407">
        <v>1</v>
      </c>
      <c r="N407">
        <v>1</v>
      </c>
    </row>
    <row r="408" spans="1:14">
      <c r="A408">
        <v>33</v>
      </c>
      <c r="B408">
        <v>1</v>
      </c>
      <c r="C408">
        <v>227</v>
      </c>
      <c r="D408" s="131">
        <v>0.23247996574050636</v>
      </c>
      <c r="E408">
        <v>7</v>
      </c>
      <c r="F408">
        <v>0</v>
      </c>
      <c r="G408">
        <v>8.6263155793069327E-2</v>
      </c>
      <c r="H408">
        <v>17.205783677999985</v>
      </c>
      <c r="I408">
        <v>37</v>
      </c>
      <c r="J408">
        <v>8040</v>
      </c>
      <c r="K408">
        <v>2</v>
      </c>
      <c r="L408">
        <v>2</v>
      </c>
      <c r="M408">
        <v>2</v>
      </c>
      <c r="N408">
        <v>1</v>
      </c>
    </row>
    <row r="409" spans="1:14">
      <c r="A409">
        <v>33</v>
      </c>
      <c r="B409">
        <v>2</v>
      </c>
      <c r="C409">
        <v>94</v>
      </c>
      <c r="D409" s="131">
        <v>0.19944760468852724</v>
      </c>
      <c r="E409">
        <v>5</v>
      </c>
      <c r="F409">
        <v>0</v>
      </c>
      <c r="G409">
        <v>6.7115531562057948E-2</v>
      </c>
      <c r="H409">
        <v>20.055392524000016</v>
      </c>
      <c r="I409">
        <v>38</v>
      </c>
      <c r="J409">
        <v>8040</v>
      </c>
      <c r="K409">
        <v>2</v>
      </c>
      <c r="L409">
        <v>1</v>
      </c>
      <c r="M409">
        <v>1</v>
      </c>
      <c r="N409">
        <v>1</v>
      </c>
    </row>
    <row r="410" spans="1:14">
      <c r="A410">
        <v>34</v>
      </c>
      <c r="B410">
        <v>1</v>
      </c>
      <c r="C410">
        <v>61</v>
      </c>
      <c r="D410" s="131">
        <v>0.22679830897212255</v>
      </c>
      <c r="E410">
        <v>7</v>
      </c>
      <c r="F410">
        <v>0</v>
      </c>
      <c r="G410">
        <v>8.6397843201148114E-2</v>
      </c>
      <c r="H410">
        <v>17.636815803999973</v>
      </c>
      <c r="I410">
        <v>37</v>
      </c>
      <c r="J410">
        <v>8040</v>
      </c>
      <c r="K410">
        <v>2</v>
      </c>
      <c r="L410">
        <v>2</v>
      </c>
      <c r="M410">
        <v>2</v>
      </c>
      <c r="N410">
        <v>1</v>
      </c>
    </row>
    <row r="411" spans="1:14">
      <c r="A411">
        <v>34</v>
      </c>
      <c r="B411">
        <v>2</v>
      </c>
      <c r="C411">
        <v>124</v>
      </c>
      <c r="D411" s="131">
        <v>0.1967365447989749</v>
      </c>
      <c r="E411">
        <v>5</v>
      </c>
      <c r="F411">
        <v>0</v>
      </c>
      <c r="G411">
        <v>6.7193791398196895E-2</v>
      </c>
      <c r="H411">
        <v>20.331758921999945</v>
      </c>
      <c r="I411">
        <v>38</v>
      </c>
      <c r="J411">
        <v>8040</v>
      </c>
      <c r="K411">
        <v>2</v>
      </c>
      <c r="L411">
        <v>1</v>
      </c>
      <c r="M411">
        <v>1</v>
      </c>
      <c r="N411">
        <v>1</v>
      </c>
    </row>
    <row r="412" spans="1:14">
      <c r="A412">
        <v>35</v>
      </c>
      <c r="B412">
        <v>1</v>
      </c>
      <c r="C412">
        <v>360</v>
      </c>
      <c r="D412" s="131">
        <v>0.23152862853506134</v>
      </c>
      <c r="E412">
        <v>7</v>
      </c>
      <c r="F412">
        <v>0</v>
      </c>
      <c r="G412">
        <v>8.6285400130194284E-2</v>
      </c>
      <c r="H412">
        <v>17.276481208</v>
      </c>
      <c r="I412">
        <v>38</v>
      </c>
      <c r="J412">
        <v>8040</v>
      </c>
      <c r="K412">
        <v>2</v>
      </c>
      <c r="L412">
        <v>2</v>
      </c>
      <c r="M412">
        <v>2</v>
      </c>
      <c r="N412">
        <v>1</v>
      </c>
    </row>
    <row r="413" spans="1:14">
      <c r="A413">
        <v>35</v>
      </c>
      <c r="B413">
        <v>2</v>
      </c>
      <c r="C413">
        <v>134</v>
      </c>
      <c r="D413" s="131">
        <v>0.19876609609187842</v>
      </c>
      <c r="E413">
        <v>5</v>
      </c>
      <c r="F413">
        <v>0</v>
      </c>
      <c r="G413">
        <v>6.7135070568378433E-2</v>
      </c>
      <c r="H413">
        <v>20.124156375999981</v>
      </c>
      <c r="I413">
        <v>38</v>
      </c>
      <c r="J413">
        <v>8040</v>
      </c>
      <c r="K413">
        <v>2</v>
      </c>
      <c r="L413">
        <v>1</v>
      </c>
      <c r="M413">
        <v>1</v>
      </c>
      <c r="N413">
        <v>1</v>
      </c>
    </row>
    <row r="414" spans="1:14">
      <c r="A414">
        <v>36</v>
      </c>
      <c r="B414">
        <v>1</v>
      </c>
      <c r="C414">
        <v>247</v>
      </c>
      <c r="D414" s="131">
        <v>0.23147507230108855</v>
      </c>
      <c r="E414">
        <v>7</v>
      </c>
      <c r="F414">
        <v>0</v>
      </c>
      <c r="G414">
        <v>8.6286656014084334E-2</v>
      </c>
      <c r="H414">
        <v>17.280478455999987</v>
      </c>
      <c r="I414">
        <v>37</v>
      </c>
      <c r="J414">
        <v>8040</v>
      </c>
      <c r="K414">
        <v>2</v>
      </c>
      <c r="L414">
        <v>2</v>
      </c>
      <c r="M414">
        <v>2</v>
      </c>
      <c r="N414">
        <v>1</v>
      </c>
    </row>
    <row r="415" spans="1:14">
      <c r="A415">
        <v>36</v>
      </c>
      <c r="B415">
        <v>2</v>
      </c>
      <c r="C415">
        <v>201</v>
      </c>
      <c r="D415" s="131">
        <v>0.19754102268365309</v>
      </c>
      <c r="E415">
        <v>5</v>
      </c>
      <c r="F415">
        <v>0</v>
      </c>
      <c r="G415">
        <v>6.7170419300371431E-2</v>
      </c>
      <c r="H415">
        <v>20.248958649999981</v>
      </c>
      <c r="I415">
        <v>37</v>
      </c>
      <c r="J415">
        <v>8040</v>
      </c>
      <c r="K415">
        <v>2</v>
      </c>
      <c r="L415">
        <v>1</v>
      </c>
      <c r="M415">
        <v>1</v>
      </c>
      <c r="N415">
        <v>1</v>
      </c>
    </row>
    <row r="416" spans="1:14">
      <c r="A416">
        <v>37</v>
      </c>
      <c r="B416">
        <v>1</v>
      </c>
      <c r="C416">
        <v>250</v>
      </c>
      <c r="D416" s="131">
        <v>0.23274032674119607</v>
      </c>
      <c r="E416">
        <v>7</v>
      </c>
      <c r="F416">
        <v>0</v>
      </c>
      <c r="G416">
        <v>8.6257089130004239E-2</v>
      </c>
      <c r="H416">
        <v>17.186535981999988</v>
      </c>
      <c r="I416">
        <v>37</v>
      </c>
      <c r="J416">
        <v>8040</v>
      </c>
      <c r="K416">
        <v>2</v>
      </c>
      <c r="L416">
        <v>2</v>
      </c>
      <c r="M416">
        <v>2</v>
      </c>
      <c r="N416">
        <v>1</v>
      </c>
    </row>
    <row r="417" spans="1:14">
      <c r="A417">
        <v>37</v>
      </c>
      <c r="B417">
        <v>2</v>
      </c>
      <c r="C417">
        <v>238</v>
      </c>
      <c r="D417" s="131">
        <v>0.20126735227949458</v>
      </c>
      <c r="E417">
        <v>5</v>
      </c>
      <c r="F417">
        <v>0</v>
      </c>
      <c r="G417">
        <v>6.7063792271912961E-2</v>
      </c>
      <c r="H417">
        <v>19.874062805999987</v>
      </c>
      <c r="I417">
        <v>38</v>
      </c>
      <c r="J417">
        <v>8040</v>
      </c>
      <c r="K417">
        <v>2</v>
      </c>
      <c r="L417">
        <v>1</v>
      </c>
      <c r="M417">
        <v>1</v>
      </c>
      <c r="N417">
        <v>1</v>
      </c>
    </row>
    <row r="418" spans="1:14">
      <c r="A418">
        <v>38</v>
      </c>
      <c r="B418">
        <v>1</v>
      </c>
      <c r="C418">
        <v>110</v>
      </c>
      <c r="D418" s="131">
        <v>0.23239101472597712</v>
      </c>
      <c r="E418">
        <v>7</v>
      </c>
      <c r="F418">
        <v>0</v>
      </c>
      <c r="G418">
        <v>8.6265230514239996E-2</v>
      </c>
      <c r="H418">
        <v>17.212369440000007</v>
      </c>
      <c r="I418">
        <v>37</v>
      </c>
      <c r="J418">
        <v>8040</v>
      </c>
      <c r="K418">
        <v>2</v>
      </c>
      <c r="L418">
        <v>2</v>
      </c>
      <c r="M418">
        <v>2</v>
      </c>
      <c r="N418">
        <v>1</v>
      </c>
    </row>
    <row r="419" spans="1:14">
      <c r="A419">
        <v>38</v>
      </c>
      <c r="B419">
        <v>2</v>
      </c>
      <c r="C419">
        <v>119</v>
      </c>
      <c r="D419" s="131">
        <v>0.20021384101569864</v>
      </c>
      <c r="E419">
        <v>5</v>
      </c>
      <c r="F419">
        <v>0</v>
      </c>
      <c r="G419">
        <v>6.709366942403365E-2</v>
      </c>
      <c r="H419">
        <v>19.978638737999951</v>
      </c>
      <c r="I419">
        <v>37</v>
      </c>
      <c r="J419">
        <v>8040</v>
      </c>
      <c r="K419">
        <v>2</v>
      </c>
      <c r="L419">
        <v>1</v>
      </c>
      <c r="M419">
        <v>1</v>
      </c>
      <c r="N419">
        <v>1</v>
      </c>
    </row>
    <row r="420" spans="1:14">
      <c r="A420">
        <v>39</v>
      </c>
      <c r="B420">
        <v>1</v>
      </c>
      <c r="C420">
        <v>218</v>
      </c>
      <c r="D420" s="131">
        <v>0.22994178482319289</v>
      </c>
      <c r="E420">
        <v>7</v>
      </c>
      <c r="F420">
        <v>0</v>
      </c>
      <c r="G420">
        <v>8.6322776496281103E-2</v>
      </c>
      <c r="H420">
        <v>17.395707365999986</v>
      </c>
      <c r="I420">
        <v>37</v>
      </c>
      <c r="J420">
        <v>8040</v>
      </c>
      <c r="K420">
        <v>2</v>
      </c>
      <c r="L420">
        <v>2</v>
      </c>
      <c r="M420">
        <v>2</v>
      </c>
      <c r="N420">
        <v>1</v>
      </c>
    </row>
    <row r="421" spans="1:14">
      <c r="A421">
        <v>39</v>
      </c>
      <c r="B421">
        <v>2</v>
      </c>
      <c r="C421">
        <v>169</v>
      </c>
      <c r="D421" s="131">
        <v>0.19840560781355676</v>
      </c>
      <c r="E421">
        <v>5</v>
      </c>
      <c r="F421">
        <v>0</v>
      </c>
      <c r="G421">
        <v>6.7145442007106509E-2</v>
      </c>
      <c r="H421">
        <v>20.160720476000002</v>
      </c>
      <c r="I421">
        <v>38</v>
      </c>
      <c r="J421">
        <v>8040</v>
      </c>
      <c r="K421">
        <v>2</v>
      </c>
      <c r="L421">
        <v>1</v>
      </c>
      <c r="M421">
        <v>1</v>
      </c>
      <c r="N421">
        <v>1</v>
      </c>
    </row>
    <row r="422" spans="1:14">
      <c r="A422">
        <v>40</v>
      </c>
      <c r="B422">
        <v>1</v>
      </c>
      <c r="C422">
        <v>187</v>
      </c>
      <c r="D422" s="131">
        <v>0.23187691489847448</v>
      </c>
      <c r="E422">
        <v>7</v>
      </c>
      <c r="F422">
        <v>0</v>
      </c>
      <c r="G422">
        <v>8.6277242317971084E-2</v>
      </c>
      <c r="H422">
        <v>17.250531393999999</v>
      </c>
      <c r="I422">
        <v>38</v>
      </c>
      <c r="J422">
        <v>8040</v>
      </c>
      <c r="K422">
        <v>2</v>
      </c>
      <c r="L422">
        <v>2</v>
      </c>
      <c r="M422">
        <v>2</v>
      </c>
      <c r="N422">
        <v>1</v>
      </c>
    </row>
    <row r="423" spans="1:14">
      <c r="A423">
        <v>40</v>
      </c>
      <c r="B423">
        <v>2</v>
      </c>
      <c r="C423">
        <v>181</v>
      </c>
      <c r="D423" s="131">
        <v>0.19907952751533251</v>
      </c>
      <c r="E423">
        <v>5</v>
      </c>
      <c r="F423">
        <v>0</v>
      </c>
      <c r="G423">
        <v>6.7126073342283099E-2</v>
      </c>
      <c r="H423">
        <v>20.09247284199995</v>
      </c>
      <c r="I423">
        <v>37</v>
      </c>
      <c r="J423">
        <v>8040</v>
      </c>
      <c r="K423">
        <v>2</v>
      </c>
      <c r="L423">
        <v>1</v>
      </c>
      <c r="M423">
        <v>1</v>
      </c>
      <c r="N423">
        <v>1</v>
      </c>
    </row>
    <row r="424" spans="1:14">
      <c r="A424">
        <v>41</v>
      </c>
      <c r="B424">
        <v>1</v>
      </c>
      <c r="C424">
        <v>2882</v>
      </c>
      <c r="D424" s="131">
        <v>0.22470285056294773</v>
      </c>
      <c r="E424">
        <v>17</v>
      </c>
      <c r="F424">
        <v>0</v>
      </c>
      <c r="G424">
        <v>0.18644865806996624</v>
      </c>
      <c r="H424">
        <v>17.801287300000002</v>
      </c>
      <c r="I424">
        <v>36</v>
      </c>
      <c r="J424">
        <v>8040</v>
      </c>
      <c r="K424">
        <v>3</v>
      </c>
      <c r="L424">
        <v>5</v>
      </c>
      <c r="M424">
        <v>6</v>
      </c>
      <c r="N424">
        <v>3</v>
      </c>
    </row>
    <row r="425" spans="1:14">
      <c r="A425">
        <v>41</v>
      </c>
      <c r="B425">
        <v>2</v>
      </c>
      <c r="C425">
        <v>1655</v>
      </c>
      <c r="D425" s="131">
        <v>0.17670574736035205</v>
      </c>
      <c r="E425">
        <v>9</v>
      </c>
      <c r="F425">
        <v>0</v>
      </c>
      <c r="G425">
        <v>0.10782035870208237</v>
      </c>
      <c r="H425">
        <v>22.636501980000062</v>
      </c>
      <c r="I425">
        <v>36</v>
      </c>
      <c r="J425">
        <v>8040</v>
      </c>
      <c r="K425">
        <v>1</v>
      </c>
      <c r="L425">
        <v>3</v>
      </c>
      <c r="M425">
        <v>4</v>
      </c>
      <c r="N425">
        <v>1</v>
      </c>
    </row>
    <row r="426" spans="1:14">
      <c r="A426">
        <v>42</v>
      </c>
      <c r="B426">
        <v>1</v>
      </c>
      <c r="C426">
        <v>3522</v>
      </c>
      <c r="D426" s="131">
        <v>0.20883682174678883</v>
      </c>
      <c r="E426">
        <v>20</v>
      </c>
      <c r="F426">
        <v>0</v>
      </c>
      <c r="G426">
        <v>0.21685508608479187</v>
      </c>
      <c r="H426">
        <v>19.153710377999975</v>
      </c>
      <c r="I426">
        <v>38</v>
      </c>
      <c r="J426">
        <v>8040</v>
      </c>
      <c r="K426">
        <v>3</v>
      </c>
      <c r="L426">
        <v>5</v>
      </c>
      <c r="M426">
        <v>11</v>
      </c>
      <c r="N426">
        <v>1</v>
      </c>
    </row>
    <row r="427" spans="1:14">
      <c r="A427">
        <v>42</v>
      </c>
      <c r="B427">
        <v>2</v>
      </c>
      <c r="C427">
        <v>1842</v>
      </c>
      <c r="D427" s="131">
        <v>0.17040193327673053</v>
      </c>
      <c r="E427">
        <v>9</v>
      </c>
      <c r="F427">
        <v>0</v>
      </c>
      <c r="G427">
        <v>0.108037450852766</v>
      </c>
      <c r="H427">
        <v>23.473912080000005</v>
      </c>
      <c r="I427">
        <v>36</v>
      </c>
      <c r="J427">
        <v>8040</v>
      </c>
      <c r="K427">
        <v>1</v>
      </c>
      <c r="L427">
        <v>3</v>
      </c>
      <c r="M427">
        <v>4</v>
      </c>
      <c r="N427">
        <v>1</v>
      </c>
    </row>
    <row r="428" spans="1:14">
      <c r="A428">
        <v>43</v>
      </c>
      <c r="B428">
        <v>1</v>
      </c>
      <c r="C428">
        <v>3464</v>
      </c>
      <c r="D428" s="131">
        <v>0.23845502866585308</v>
      </c>
      <c r="E428">
        <v>20</v>
      </c>
      <c r="F428">
        <v>0</v>
      </c>
      <c r="G428">
        <v>0.2161261676880499</v>
      </c>
      <c r="H428">
        <v>16.774651481999978</v>
      </c>
      <c r="I428">
        <v>36</v>
      </c>
      <c r="J428">
        <v>8040</v>
      </c>
      <c r="K428">
        <v>4</v>
      </c>
      <c r="L428">
        <v>6</v>
      </c>
      <c r="M428">
        <v>7</v>
      </c>
      <c r="N428">
        <v>3</v>
      </c>
    </row>
    <row r="429" spans="1:14">
      <c r="A429">
        <v>43</v>
      </c>
      <c r="B429">
        <v>2</v>
      </c>
      <c r="C429">
        <v>1616</v>
      </c>
      <c r="D429" s="131">
        <v>0.18873299886257522</v>
      </c>
      <c r="E429">
        <v>10</v>
      </c>
      <c r="F429">
        <v>0</v>
      </c>
      <c r="G429">
        <v>0.11743347860552664</v>
      </c>
      <c r="H429">
        <v>21.193961967999964</v>
      </c>
      <c r="I429">
        <v>36</v>
      </c>
      <c r="J429">
        <v>8040</v>
      </c>
      <c r="K429">
        <v>1</v>
      </c>
      <c r="L429">
        <v>4</v>
      </c>
      <c r="M429">
        <v>4</v>
      </c>
      <c r="N429">
        <v>1</v>
      </c>
    </row>
    <row r="430" spans="1:14">
      <c r="A430">
        <v>44</v>
      </c>
      <c r="B430">
        <v>1</v>
      </c>
      <c r="C430">
        <v>3948</v>
      </c>
      <c r="D430" s="131">
        <v>0.22116802311982575</v>
      </c>
      <c r="E430">
        <v>16</v>
      </c>
      <c r="F430">
        <v>0</v>
      </c>
      <c r="G430">
        <v>0.17653582578075672</v>
      </c>
      <c r="H430">
        <v>18.085797140000007</v>
      </c>
      <c r="I430">
        <v>36</v>
      </c>
      <c r="J430">
        <v>8040</v>
      </c>
      <c r="K430">
        <v>3</v>
      </c>
      <c r="L430">
        <v>5</v>
      </c>
      <c r="M430">
        <v>6</v>
      </c>
      <c r="N430">
        <v>2</v>
      </c>
    </row>
    <row r="431" spans="1:14">
      <c r="A431">
        <v>44</v>
      </c>
      <c r="B431">
        <v>2</v>
      </c>
      <c r="C431">
        <v>1823</v>
      </c>
      <c r="D431" s="131">
        <v>0.1720642245176264</v>
      </c>
      <c r="E431">
        <v>8</v>
      </c>
      <c r="F431">
        <v>0</v>
      </c>
      <c r="G431">
        <v>9.7979176926551392E-2</v>
      </c>
      <c r="H431">
        <v>23.247133511999973</v>
      </c>
      <c r="I431">
        <v>35</v>
      </c>
      <c r="J431">
        <v>8040</v>
      </c>
      <c r="K431">
        <v>1</v>
      </c>
      <c r="L431">
        <v>3</v>
      </c>
      <c r="M431">
        <v>2</v>
      </c>
      <c r="N431">
        <v>2</v>
      </c>
    </row>
    <row r="432" spans="1:14">
      <c r="A432">
        <v>45</v>
      </c>
      <c r="B432">
        <v>1</v>
      </c>
      <c r="C432">
        <v>1948</v>
      </c>
      <c r="D432" s="131">
        <v>0.23315890441343876</v>
      </c>
      <c r="E432">
        <v>35</v>
      </c>
      <c r="F432">
        <v>0</v>
      </c>
      <c r="G432">
        <v>0.36624735480919995</v>
      </c>
      <c r="H432">
        <v>17.155681915999985</v>
      </c>
      <c r="I432">
        <v>38</v>
      </c>
      <c r="J432">
        <v>8040</v>
      </c>
      <c r="K432">
        <v>3</v>
      </c>
      <c r="L432">
        <v>8</v>
      </c>
      <c r="M432">
        <v>23</v>
      </c>
      <c r="N432">
        <v>1</v>
      </c>
    </row>
    <row r="433" spans="1:14">
      <c r="A433">
        <v>45</v>
      </c>
      <c r="B433">
        <v>2</v>
      </c>
      <c r="C433">
        <v>2577</v>
      </c>
      <c r="D433" s="131">
        <v>0.18020943934192388</v>
      </c>
      <c r="E433">
        <v>9</v>
      </c>
      <c r="F433">
        <v>0</v>
      </c>
      <c r="G433">
        <v>0.10770411226336807</v>
      </c>
      <c r="H433">
        <v>22.196395563999964</v>
      </c>
      <c r="I433">
        <v>34</v>
      </c>
      <c r="J433">
        <v>8040</v>
      </c>
      <c r="K433">
        <v>1</v>
      </c>
      <c r="L433">
        <v>3</v>
      </c>
      <c r="M433">
        <v>3</v>
      </c>
      <c r="N433">
        <v>2</v>
      </c>
    </row>
    <row r="434" spans="1:14">
      <c r="A434">
        <v>46</v>
      </c>
      <c r="B434">
        <v>1</v>
      </c>
      <c r="C434">
        <v>3768</v>
      </c>
      <c r="D434" s="131">
        <v>0.22358589582897323</v>
      </c>
      <c r="E434">
        <v>24</v>
      </c>
      <c r="F434">
        <v>0</v>
      </c>
      <c r="G434">
        <v>0.25647600311198315</v>
      </c>
      <c r="H434">
        <v>17.890216130000017</v>
      </c>
      <c r="I434">
        <v>35</v>
      </c>
      <c r="J434">
        <v>8040</v>
      </c>
      <c r="K434">
        <v>3</v>
      </c>
      <c r="L434">
        <v>8</v>
      </c>
      <c r="M434">
        <v>9</v>
      </c>
      <c r="N434">
        <v>4</v>
      </c>
    </row>
    <row r="435" spans="1:14">
      <c r="A435">
        <v>46</v>
      </c>
      <c r="B435">
        <v>2</v>
      </c>
      <c r="C435">
        <v>2104</v>
      </c>
      <c r="D435" s="131">
        <v>0.1697958680412377</v>
      </c>
      <c r="E435">
        <v>9</v>
      </c>
      <c r="F435">
        <v>0</v>
      </c>
      <c r="G435">
        <v>0.108058886181951</v>
      </c>
      <c r="H435">
        <v>23.557699290000006</v>
      </c>
      <c r="I435">
        <v>36</v>
      </c>
      <c r="J435">
        <v>8040</v>
      </c>
      <c r="K435">
        <v>1</v>
      </c>
      <c r="L435">
        <v>3</v>
      </c>
      <c r="M435">
        <v>4</v>
      </c>
      <c r="N435">
        <v>1</v>
      </c>
    </row>
    <row r="436" spans="1:14">
      <c r="A436">
        <v>47</v>
      </c>
      <c r="B436">
        <v>1</v>
      </c>
      <c r="C436">
        <v>1931</v>
      </c>
      <c r="D436" s="131">
        <v>0.22405849767295344</v>
      </c>
      <c r="E436">
        <v>18</v>
      </c>
      <c r="F436">
        <v>0</v>
      </c>
      <c r="G436">
        <v>0.19646441079620616</v>
      </c>
      <c r="H436">
        <v>17.852480676000035</v>
      </c>
      <c r="I436">
        <v>38</v>
      </c>
      <c r="J436">
        <v>8040</v>
      </c>
      <c r="K436">
        <v>2</v>
      </c>
      <c r="L436">
        <v>7</v>
      </c>
      <c r="M436">
        <v>8</v>
      </c>
      <c r="N436">
        <v>1</v>
      </c>
    </row>
    <row r="437" spans="1:14">
      <c r="A437">
        <v>47</v>
      </c>
      <c r="B437">
        <v>2</v>
      </c>
      <c r="C437">
        <v>1653</v>
      </c>
      <c r="D437" s="131">
        <v>0.17884914456498824</v>
      </c>
      <c r="E437">
        <v>8</v>
      </c>
      <c r="F437">
        <v>0</v>
      </c>
      <c r="G437">
        <v>9.7748883722698313E-2</v>
      </c>
      <c r="H437">
        <v>22.365217400000052</v>
      </c>
      <c r="I437">
        <v>36</v>
      </c>
      <c r="J437">
        <v>8040</v>
      </c>
      <c r="K437">
        <v>1</v>
      </c>
      <c r="L437">
        <v>3</v>
      </c>
      <c r="M437">
        <v>3</v>
      </c>
      <c r="N437">
        <v>1</v>
      </c>
    </row>
    <row r="438" spans="1:14">
      <c r="A438">
        <v>48</v>
      </c>
      <c r="B438">
        <v>1</v>
      </c>
      <c r="C438">
        <v>1864</v>
      </c>
      <c r="D438" s="131">
        <v>0.21864973118264033</v>
      </c>
      <c r="E438">
        <v>19</v>
      </c>
      <c r="F438">
        <v>0</v>
      </c>
      <c r="G438">
        <v>0.20659906723601926</v>
      </c>
      <c r="H438">
        <v>18.294099784000007</v>
      </c>
      <c r="I438">
        <v>37</v>
      </c>
      <c r="J438">
        <v>8040</v>
      </c>
      <c r="K438">
        <v>2</v>
      </c>
      <c r="L438">
        <v>6</v>
      </c>
      <c r="M438">
        <v>10</v>
      </c>
      <c r="N438">
        <v>1</v>
      </c>
    </row>
    <row r="439" spans="1:14">
      <c r="A439">
        <v>48</v>
      </c>
      <c r="B439">
        <v>2</v>
      </c>
      <c r="C439">
        <v>1926</v>
      </c>
      <c r="D439" s="131">
        <v>0.17903053372081337</v>
      </c>
      <c r="E439">
        <v>8</v>
      </c>
      <c r="F439">
        <v>0</v>
      </c>
      <c r="G439">
        <v>9.7742887458875577E-2</v>
      </c>
      <c r="H439">
        <v>22.342557534000001</v>
      </c>
      <c r="I439">
        <v>35</v>
      </c>
      <c r="J439">
        <v>8040</v>
      </c>
      <c r="K439">
        <v>1</v>
      </c>
      <c r="L439">
        <v>3</v>
      </c>
      <c r="M439">
        <v>2</v>
      </c>
      <c r="N439">
        <v>2</v>
      </c>
    </row>
    <row r="440" spans="1:14">
      <c r="A440">
        <v>49</v>
      </c>
      <c r="B440">
        <v>1</v>
      </c>
      <c r="C440">
        <v>2805</v>
      </c>
      <c r="D440" s="131">
        <v>0.22785225547679683</v>
      </c>
      <c r="E440">
        <v>20</v>
      </c>
      <c r="F440">
        <v>0</v>
      </c>
      <c r="G440">
        <v>0.21637252099511747</v>
      </c>
      <c r="H440">
        <v>17.555235482000032</v>
      </c>
      <c r="I440">
        <v>38</v>
      </c>
      <c r="J440">
        <v>8040</v>
      </c>
      <c r="K440">
        <v>3</v>
      </c>
      <c r="L440">
        <v>5</v>
      </c>
      <c r="M440">
        <v>11</v>
      </c>
      <c r="N440">
        <v>1</v>
      </c>
    </row>
    <row r="441" spans="1:14">
      <c r="A441">
        <v>49</v>
      </c>
      <c r="B441">
        <v>2</v>
      </c>
      <c r="C441">
        <v>1757</v>
      </c>
      <c r="D441" s="131">
        <v>0.18399148197745191</v>
      </c>
      <c r="E441">
        <v>9</v>
      </c>
      <c r="F441">
        <v>0</v>
      </c>
      <c r="G441">
        <v>0.10758196566086795</v>
      </c>
      <c r="H441">
        <v>21.740136864000032</v>
      </c>
      <c r="I441">
        <v>36</v>
      </c>
      <c r="J441">
        <v>8040</v>
      </c>
      <c r="K441">
        <v>1</v>
      </c>
      <c r="L441">
        <v>3</v>
      </c>
      <c r="M441">
        <v>4</v>
      </c>
      <c r="N441">
        <v>1</v>
      </c>
    </row>
    <row r="442" spans="1:14">
      <c r="A442">
        <v>50</v>
      </c>
      <c r="B442">
        <v>1</v>
      </c>
      <c r="C442">
        <v>2037</v>
      </c>
      <c r="D442" s="131">
        <v>0.23912773549053548</v>
      </c>
      <c r="E442">
        <v>25</v>
      </c>
      <c r="F442">
        <v>0</v>
      </c>
      <c r="G442">
        <v>0.26611103160529487</v>
      </c>
      <c r="H442">
        <v>16.727461546000036</v>
      </c>
      <c r="I442">
        <v>37</v>
      </c>
      <c r="J442">
        <v>8040</v>
      </c>
      <c r="K442">
        <v>5</v>
      </c>
      <c r="L442">
        <v>8</v>
      </c>
      <c r="M442">
        <v>9</v>
      </c>
      <c r="N442">
        <v>3</v>
      </c>
    </row>
    <row r="443" spans="1:14">
      <c r="A443">
        <v>50</v>
      </c>
      <c r="B443">
        <v>2</v>
      </c>
      <c r="C443">
        <v>2147</v>
      </c>
      <c r="D443" s="131">
        <v>0.18087165743125744</v>
      </c>
      <c r="E443">
        <v>9</v>
      </c>
      <c r="F443">
        <v>0</v>
      </c>
      <c r="G443">
        <v>0.10768247939042409</v>
      </c>
      <c r="H443">
        <v>22.115128798000043</v>
      </c>
      <c r="I443">
        <v>37</v>
      </c>
      <c r="J443">
        <v>8040</v>
      </c>
      <c r="K443">
        <v>1</v>
      </c>
      <c r="L443">
        <v>3</v>
      </c>
      <c r="M443">
        <v>4</v>
      </c>
      <c r="N443">
        <v>1</v>
      </c>
    </row>
    <row r="444" spans="1:14">
      <c r="A444">
        <v>51</v>
      </c>
      <c r="B444">
        <v>1</v>
      </c>
      <c r="C444">
        <v>1513</v>
      </c>
      <c r="D444" s="131">
        <v>0.22932260905785165</v>
      </c>
      <c r="E444">
        <v>9</v>
      </c>
      <c r="F444">
        <v>0</v>
      </c>
      <c r="G444">
        <v>0.10633745390528226</v>
      </c>
      <c r="H444">
        <v>17.442676133999996</v>
      </c>
      <c r="I444">
        <v>36</v>
      </c>
      <c r="J444">
        <v>8040</v>
      </c>
      <c r="K444">
        <v>1</v>
      </c>
      <c r="L444">
        <v>3</v>
      </c>
      <c r="M444">
        <v>4</v>
      </c>
      <c r="N444">
        <v>1</v>
      </c>
    </row>
    <row r="445" spans="1:14">
      <c r="A445">
        <v>51</v>
      </c>
      <c r="B445">
        <v>2</v>
      </c>
      <c r="C445">
        <v>1834</v>
      </c>
      <c r="D445" s="131">
        <v>0.20955195349072714</v>
      </c>
      <c r="E445">
        <v>6</v>
      </c>
      <c r="F445">
        <v>0</v>
      </c>
      <c r="G445">
        <v>7.6835890614610089E-2</v>
      </c>
      <c r="H445">
        <v>19.088345077999971</v>
      </c>
      <c r="I445">
        <v>36</v>
      </c>
      <c r="J445">
        <v>8040</v>
      </c>
      <c r="K445">
        <v>1</v>
      </c>
      <c r="L445">
        <v>2</v>
      </c>
      <c r="M445">
        <v>2</v>
      </c>
      <c r="N445">
        <v>1</v>
      </c>
    </row>
    <row r="446" spans="1:14">
      <c r="A446">
        <v>52</v>
      </c>
      <c r="B446">
        <v>1</v>
      </c>
      <c r="C446">
        <v>1563</v>
      </c>
      <c r="D446" s="131">
        <v>0.22755757564867984</v>
      </c>
      <c r="E446">
        <v>8</v>
      </c>
      <c r="F446">
        <v>0</v>
      </c>
      <c r="G446">
        <v>9.6379585244777827E-2</v>
      </c>
      <c r="H446">
        <v>17.577968953999996</v>
      </c>
      <c r="I446">
        <v>36</v>
      </c>
      <c r="J446">
        <v>8040</v>
      </c>
      <c r="K446">
        <v>1</v>
      </c>
      <c r="L446">
        <v>3</v>
      </c>
      <c r="M446">
        <v>3</v>
      </c>
      <c r="N446">
        <v>1</v>
      </c>
    </row>
    <row r="447" spans="1:14">
      <c r="A447">
        <v>52</v>
      </c>
      <c r="B447">
        <v>2</v>
      </c>
      <c r="C447">
        <v>1550</v>
      </c>
      <c r="D447" s="131">
        <v>0.21021181598860336</v>
      </c>
      <c r="E447">
        <v>6</v>
      </c>
      <c r="F447">
        <v>0</v>
      </c>
      <c r="G447">
        <v>7.6818255993172199E-2</v>
      </c>
      <c r="H447">
        <v>19.028426071999966</v>
      </c>
      <c r="I447">
        <v>36</v>
      </c>
      <c r="J447">
        <v>8040</v>
      </c>
      <c r="K447">
        <v>1</v>
      </c>
      <c r="L447">
        <v>2</v>
      </c>
      <c r="M447">
        <v>2</v>
      </c>
      <c r="N447">
        <v>1</v>
      </c>
    </row>
    <row r="448" spans="1:14">
      <c r="A448">
        <v>53</v>
      </c>
      <c r="B448">
        <v>1</v>
      </c>
      <c r="C448">
        <v>1496</v>
      </c>
      <c r="D448" s="131">
        <v>0.22756676297710812</v>
      </c>
      <c r="E448">
        <v>8</v>
      </c>
      <c r="F448">
        <v>0</v>
      </c>
      <c r="G448">
        <v>9.6379364816199187E-2</v>
      </c>
      <c r="H448">
        <v>17.57725929599999</v>
      </c>
      <c r="I448">
        <v>36</v>
      </c>
      <c r="J448">
        <v>8040</v>
      </c>
      <c r="K448">
        <v>1</v>
      </c>
      <c r="L448">
        <v>3</v>
      </c>
      <c r="M448">
        <v>3</v>
      </c>
      <c r="N448">
        <v>1</v>
      </c>
    </row>
    <row r="449" spans="1:14">
      <c r="A449">
        <v>53</v>
      </c>
      <c r="B449">
        <v>2</v>
      </c>
      <c r="C449">
        <v>1643</v>
      </c>
      <c r="D449" s="131">
        <v>0.21034698988798295</v>
      </c>
      <c r="E449">
        <v>6</v>
      </c>
      <c r="F449">
        <v>0</v>
      </c>
      <c r="G449">
        <v>7.6814652619533519E-2</v>
      </c>
      <c r="H449">
        <v>19.016197959999989</v>
      </c>
      <c r="I449">
        <v>36</v>
      </c>
      <c r="J449">
        <v>8040</v>
      </c>
      <c r="K449">
        <v>1</v>
      </c>
      <c r="L449">
        <v>2</v>
      </c>
      <c r="M449">
        <v>2</v>
      </c>
      <c r="N449">
        <v>1</v>
      </c>
    </row>
    <row r="450" spans="1:14">
      <c r="A450">
        <v>54</v>
      </c>
      <c r="B450">
        <v>1</v>
      </c>
      <c r="C450">
        <v>1919</v>
      </c>
      <c r="D450" s="131">
        <v>0.22657012191891099</v>
      </c>
      <c r="E450">
        <v>8</v>
      </c>
      <c r="F450">
        <v>0</v>
      </c>
      <c r="G450">
        <v>9.6403346309898941E-2</v>
      </c>
      <c r="H450">
        <v>17.654578485999988</v>
      </c>
      <c r="I450">
        <v>39</v>
      </c>
      <c r="J450">
        <v>8040</v>
      </c>
      <c r="K450">
        <v>2</v>
      </c>
      <c r="L450">
        <v>2</v>
      </c>
      <c r="M450">
        <v>3</v>
      </c>
      <c r="N450">
        <v>1</v>
      </c>
    </row>
    <row r="451" spans="1:14">
      <c r="A451">
        <v>54</v>
      </c>
      <c r="B451">
        <v>2</v>
      </c>
      <c r="C451">
        <v>1749</v>
      </c>
      <c r="D451" s="131">
        <v>0.20729752852015443</v>
      </c>
      <c r="E451">
        <v>6</v>
      </c>
      <c r="F451">
        <v>0</v>
      </c>
      <c r="G451">
        <v>7.6896702540483655E-2</v>
      </c>
      <c r="H451">
        <v>19.295936755999971</v>
      </c>
      <c r="I451">
        <v>37</v>
      </c>
      <c r="J451">
        <v>8040</v>
      </c>
      <c r="K451">
        <v>1</v>
      </c>
      <c r="L451">
        <v>2</v>
      </c>
      <c r="M451">
        <v>2</v>
      </c>
      <c r="N451">
        <v>1</v>
      </c>
    </row>
    <row r="452" spans="1:14">
      <c r="A452">
        <v>55</v>
      </c>
      <c r="B452">
        <v>1</v>
      </c>
      <c r="C452">
        <v>1368</v>
      </c>
      <c r="D452" s="131">
        <v>0.23264774427347623</v>
      </c>
      <c r="E452">
        <v>9</v>
      </c>
      <c r="F452">
        <v>0</v>
      </c>
      <c r="G452">
        <v>0.10625924535381723</v>
      </c>
      <c r="H452">
        <v>17.193375385999964</v>
      </c>
      <c r="I452">
        <v>37</v>
      </c>
      <c r="J452">
        <v>8040</v>
      </c>
      <c r="K452">
        <v>1</v>
      </c>
      <c r="L452">
        <v>4</v>
      </c>
      <c r="M452">
        <v>3</v>
      </c>
      <c r="N452">
        <v>1</v>
      </c>
    </row>
    <row r="453" spans="1:14">
      <c r="A453">
        <v>55</v>
      </c>
      <c r="B453">
        <v>2</v>
      </c>
      <c r="C453">
        <v>1778</v>
      </c>
      <c r="D453" s="131">
        <v>0.21236227066419056</v>
      </c>
      <c r="E453">
        <v>6</v>
      </c>
      <c r="F453">
        <v>0</v>
      </c>
      <c r="G453">
        <v>7.6761294104202182E-2</v>
      </c>
      <c r="H453">
        <v>18.835737569999985</v>
      </c>
      <c r="I453">
        <v>36</v>
      </c>
      <c r="J453">
        <v>8040</v>
      </c>
      <c r="K453">
        <v>1</v>
      </c>
      <c r="L453">
        <v>2</v>
      </c>
      <c r="M453">
        <v>2</v>
      </c>
      <c r="N453">
        <v>1</v>
      </c>
    </row>
    <row r="454" spans="1:14">
      <c r="A454">
        <v>56</v>
      </c>
      <c r="B454">
        <v>1</v>
      </c>
      <c r="C454">
        <v>1572</v>
      </c>
      <c r="D454" s="131">
        <v>0.22988730603335553</v>
      </c>
      <c r="E454">
        <v>8</v>
      </c>
      <c r="F454">
        <v>0</v>
      </c>
      <c r="G454">
        <v>9.6324065787238969E-2</v>
      </c>
      <c r="H454">
        <v>17.39982980800001</v>
      </c>
      <c r="I454">
        <v>39</v>
      </c>
      <c r="J454">
        <v>8040</v>
      </c>
      <c r="K454">
        <v>2</v>
      </c>
      <c r="L454">
        <v>2</v>
      </c>
      <c r="M454">
        <v>3</v>
      </c>
      <c r="N454">
        <v>1</v>
      </c>
    </row>
    <row r="455" spans="1:14">
      <c r="A455">
        <v>56</v>
      </c>
      <c r="B455">
        <v>2</v>
      </c>
      <c r="C455">
        <v>1492</v>
      </c>
      <c r="D455" s="131">
        <v>0.20939637341567077</v>
      </c>
      <c r="E455">
        <v>6</v>
      </c>
      <c r="F455">
        <v>0</v>
      </c>
      <c r="G455">
        <v>7.6840059232935604E-2</v>
      </c>
      <c r="H455">
        <v>19.102527587999997</v>
      </c>
      <c r="I455">
        <v>37</v>
      </c>
      <c r="J455">
        <v>8040</v>
      </c>
      <c r="K455">
        <v>1</v>
      </c>
      <c r="L455">
        <v>2</v>
      </c>
      <c r="M455">
        <v>2</v>
      </c>
      <c r="N455">
        <v>1</v>
      </c>
    </row>
    <row r="456" spans="1:14">
      <c r="A456">
        <v>57</v>
      </c>
      <c r="B456">
        <v>1</v>
      </c>
      <c r="C456">
        <v>1554</v>
      </c>
      <c r="D456" s="131">
        <v>0.22847535857375692</v>
      </c>
      <c r="E456">
        <v>9</v>
      </c>
      <c r="F456">
        <v>0</v>
      </c>
      <c r="G456">
        <v>0.10635762360918555</v>
      </c>
      <c r="H456">
        <v>17.507358452000027</v>
      </c>
      <c r="I456">
        <v>37</v>
      </c>
      <c r="J456">
        <v>8040</v>
      </c>
      <c r="K456">
        <v>1</v>
      </c>
      <c r="L456">
        <v>3</v>
      </c>
      <c r="M456">
        <v>4</v>
      </c>
      <c r="N456">
        <v>1</v>
      </c>
    </row>
    <row r="457" spans="1:14">
      <c r="A457">
        <v>57</v>
      </c>
      <c r="B457">
        <v>2</v>
      </c>
      <c r="C457">
        <v>1882</v>
      </c>
      <c r="D457" s="131">
        <v>0.20974601169993243</v>
      </c>
      <c r="E457">
        <v>6</v>
      </c>
      <c r="F457">
        <v>0</v>
      </c>
      <c r="G457">
        <v>7.683069679174491E-2</v>
      </c>
      <c r="H457">
        <v>19.070684432000043</v>
      </c>
      <c r="I457">
        <v>37</v>
      </c>
      <c r="J457">
        <v>8040</v>
      </c>
      <c r="K457">
        <v>1</v>
      </c>
      <c r="L457">
        <v>2</v>
      </c>
      <c r="M457">
        <v>2</v>
      </c>
      <c r="N457">
        <v>1</v>
      </c>
    </row>
    <row r="458" spans="1:14">
      <c r="A458">
        <v>58</v>
      </c>
      <c r="B458">
        <v>1</v>
      </c>
      <c r="C458">
        <v>2321</v>
      </c>
      <c r="D458" s="131">
        <v>0.22809885576036068</v>
      </c>
      <c r="E458">
        <v>8</v>
      </c>
      <c r="F458">
        <v>0</v>
      </c>
      <c r="G458">
        <v>9.6366618694313858E-2</v>
      </c>
      <c r="H458">
        <v>17.53625631600001</v>
      </c>
      <c r="I458">
        <v>33</v>
      </c>
      <c r="J458">
        <v>8040</v>
      </c>
      <c r="K458">
        <v>1</v>
      </c>
      <c r="L458">
        <v>3</v>
      </c>
      <c r="M458">
        <v>2</v>
      </c>
      <c r="N458">
        <v>2</v>
      </c>
    </row>
    <row r="459" spans="1:14">
      <c r="A459">
        <v>58</v>
      </c>
      <c r="B459">
        <v>2</v>
      </c>
      <c r="C459">
        <v>1596</v>
      </c>
      <c r="D459" s="131">
        <v>0.20973055507977548</v>
      </c>
      <c r="E459">
        <v>6</v>
      </c>
      <c r="F459">
        <v>0</v>
      </c>
      <c r="G459">
        <v>7.6831110241749462E-2</v>
      </c>
      <c r="H459">
        <v>19.072089894000019</v>
      </c>
      <c r="I459">
        <v>36</v>
      </c>
      <c r="J459">
        <v>8040</v>
      </c>
      <c r="K459">
        <v>1</v>
      </c>
      <c r="L459">
        <v>2</v>
      </c>
      <c r="M459">
        <v>2</v>
      </c>
      <c r="N459">
        <v>1</v>
      </c>
    </row>
    <row r="460" spans="1:14">
      <c r="A460">
        <v>59</v>
      </c>
      <c r="B460">
        <v>1</v>
      </c>
      <c r="C460">
        <v>1487</v>
      </c>
      <c r="D460" s="131">
        <v>0.22771179587876755</v>
      </c>
      <c r="E460">
        <v>8</v>
      </c>
      <c r="F460">
        <v>0</v>
      </c>
      <c r="G460">
        <v>9.6375886660378121E-2</v>
      </c>
      <c r="H460">
        <v>17.566064087999976</v>
      </c>
      <c r="I460">
        <v>37</v>
      </c>
      <c r="J460">
        <v>8040</v>
      </c>
      <c r="K460">
        <v>1</v>
      </c>
      <c r="L460">
        <v>3</v>
      </c>
      <c r="M460">
        <v>3</v>
      </c>
      <c r="N460">
        <v>1</v>
      </c>
    </row>
    <row r="461" spans="1:14">
      <c r="A461">
        <v>59</v>
      </c>
      <c r="B461">
        <v>2</v>
      </c>
      <c r="C461">
        <v>1896</v>
      </c>
      <c r="D461" s="131">
        <v>0.21122829244133617</v>
      </c>
      <c r="E461">
        <v>6</v>
      </c>
      <c r="F461">
        <v>0</v>
      </c>
      <c r="G461">
        <v>7.6791234901851052E-2</v>
      </c>
      <c r="H461">
        <v>18.936857149999963</v>
      </c>
      <c r="I461">
        <v>37</v>
      </c>
      <c r="J461">
        <v>8040</v>
      </c>
      <c r="K461">
        <v>1</v>
      </c>
      <c r="L461">
        <v>2</v>
      </c>
      <c r="M461">
        <v>2</v>
      </c>
      <c r="N461">
        <v>1</v>
      </c>
    </row>
    <row r="462" spans="1:14">
      <c r="A462">
        <v>60</v>
      </c>
      <c r="B462">
        <v>1</v>
      </c>
      <c r="C462">
        <v>2501</v>
      </c>
      <c r="D462" s="131">
        <v>0.23146675331090621</v>
      </c>
      <c r="E462">
        <v>9</v>
      </c>
      <c r="F462">
        <v>0</v>
      </c>
      <c r="G462">
        <v>0.1062868511276466</v>
      </c>
      <c r="H462">
        <v>17.28109952200003</v>
      </c>
      <c r="I462">
        <v>38</v>
      </c>
      <c r="J462">
        <v>8040</v>
      </c>
      <c r="K462">
        <v>2</v>
      </c>
      <c r="L462">
        <v>2</v>
      </c>
      <c r="M462">
        <v>4</v>
      </c>
      <c r="N462">
        <v>1</v>
      </c>
    </row>
    <row r="463" spans="1:14">
      <c r="A463">
        <v>60</v>
      </c>
      <c r="B463">
        <v>2</v>
      </c>
      <c r="C463">
        <v>1753</v>
      </c>
      <c r="D463" s="131">
        <v>0.20748587250272651</v>
      </c>
      <c r="E463">
        <v>6</v>
      </c>
      <c r="F463">
        <v>0</v>
      </c>
      <c r="G463">
        <v>7.6891588367924299E-2</v>
      </c>
      <c r="H463">
        <v>19.278420992000008</v>
      </c>
      <c r="I463">
        <v>37</v>
      </c>
      <c r="J463">
        <v>8040</v>
      </c>
      <c r="K463">
        <v>1</v>
      </c>
      <c r="L463">
        <v>2</v>
      </c>
      <c r="M463">
        <v>2</v>
      </c>
      <c r="N463">
        <v>1</v>
      </c>
    </row>
    <row r="464" spans="1:14">
      <c r="A464">
        <v>61</v>
      </c>
      <c r="B464">
        <v>1</v>
      </c>
      <c r="C464">
        <v>2752</v>
      </c>
      <c r="D464" s="131">
        <v>0.22730537209536344</v>
      </c>
      <c r="E464">
        <v>23</v>
      </c>
      <c r="F464">
        <v>0</v>
      </c>
      <c r="G464">
        <v>0.24638564092027143</v>
      </c>
      <c r="H464">
        <v>17.597472347999961</v>
      </c>
      <c r="I464">
        <v>37</v>
      </c>
      <c r="J464">
        <v>8040</v>
      </c>
      <c r="K464">
        <v>2</v>
      </c>
      <c r="L464">
        <v>6</v>
      </c>
      <c r="M464">
        <v>1</v>
      </c>
      <c r="N464">
        <v>14</v>
      </c>
    </row>
    <row r="465" spans="1:14">
      <c r="A465">
        <v>61</v>
      </c>
      <c r="B465">
        <v>2</v>
      </c>
      <c r="C465">
        <v>1838</v>
      </c>
      <c r="D465" s="131">
        <v>0.17576242594888325</v>
      </c>
      <c r="E465">
        <v>7</v>
      </c>
      <c r="F465">
        <v>0</v>
      </c>
      <c r="G465">
        <v>8.7852182609398255E-2</v>
      </c>
      <c r="H465">
        <v>22.757992661999982</v>
      </c>
      <c r="I465">
        <v>36</v>
      </c>
      <c r="J465">
        <v>8040</v>
      </c>
      <c r="K465">
        <v>1</v>
      </c>
      <c r="L465">
        <v>2</v>
      </c>
      <c r="M465">
        <v>1</v>
      </c>
      <c r="N465">
        <v>3</v>
      </c>
    </row>
    <row r="466" spans="1:14">
      <c r="A466">
        <v>62</v>
      </c>
      <c r="B466">
        <v>1</v>
      </c>
      <c r="C466">
        <v>2447</v>
      </c>
      <c r="D466" s="131">
        <v>0.20999940577203169</v>
      </c>
      <c r="E466">
        <v>17</v>
      </c>
      <c r="F466">
        <v>0</v>
      </c>
      <c r="G466">
        <v>0.18682392452605992</v>
      </c>
      <c r="H466">
        <v>19.047672945999981</v>
      </c>
      <c r="I466">
        <v>36</v>
      </c>
      <c r="J466">
        <v>8040</v>
      </c>
      <c r="K466">
        <v>2</v>
      </c>
      <c r="L466">
        <v>4</v>
      </c>
      <c r="M466">
        <v>1</v>
      </c>
      <c r="N466">
        <v>10</v>
      </c>
    </row>
    <row r="467" spans="1:14">
      <c r="A467">
        <v>62</v>
      </c>
      <c r="B467">
        <v>2</v>
      </c>
      <c r="C467">
        <v>2593</v>
      </c>
      <c r="D467" s="131">
        <v>0.16698968975522188</v>
      </c>
      <c r="E467">
        <v>7</v>
      </c>
      <c r="F467">
        <v>0</v>
      </c>
      <c r="G467">
        <v>8.8159481635807502E-2</v>
      </c>
      <c r="H467">
        <v>23.953574653999961</v>
      </c>
      <c r="I467">
        <v>35</v>
      </c>
      <c r="J467">
        <v>8040</v>
      </c>
      <c r="K467">
        <v>1</v>
      </c>
      <c r="L467">
        <v>1</v>
      </c>
      <c r="M467">
        <v>2</v>
      </c>
      <c r="N467">
        <v>3</v>
      </c>
    </row>
    <row r="468" spans="1:14">
      <c r="A468">
        <v>63</v>
      </c>
      <c r="B468">
        <v>1</v>
      </c>
      <c r="C468">
        <v>3176</v>
      </c>
      <c r="D468" s="131">
        <v>0.20844880991361689</v>
      </c>
      <c r="E468">
        <v>15</v>
      </c>
      <c r="F468">
        <v>0</v>
      </c>
      <c r="G468">
        <v>0.16686553776219917</v>
      </c>
      <c r="H468">
        <v>19.189363573999952</v>
      </c>
      <c r="I468">
        <v>37</v>
      </c>
      <c r="J468">
        <v>8040</v>
      </c>
      <c r="K468">
        <v>2</v>
      </c>
      <c r="L468">
        <v>5</v>
      </c>
      <c r="M468">
        <v>1</v>
      </c>
      <c r="N468">
        <v>7</v>
      </c>
    </row>
    <row r="469" spans="1:14">
      <c r="A469">
        <v>63</v>
      </c>
      <c r="B469">
        <v>2</v>
      </c>
      <c r="C469">
        <v>1823</v>
      </c>
      <c r="D469" s="131">
        <v>0.16531765447869606</v>
      </c>
      <c r="E469">
        <v>7</v>
      </c>
      <c r="F469">
        <v>0</v>
      </c>
      <c r="G469">
        <v>8.8220498510215822E-2</v>
      </c>
      <c r="H469">
        <v>24.195842922000001</v>
      </c>
      <c r="I469">
        <v>35</v>
      </c>
      <c r="J469">
        <v>8040</v>
      </c>
      <c r="K469">
        <v>1</v>
      </c>
      <c r="L469">
        <v>1</v>
      </c>
      <c r="M469">
        <v>2</v>
      </c>
      <c r="N469">
        <v>3</v>
      </c>
    </row>
    <row r="470" spans="1:14">
      <c r="A470">
        <v>64</v>
      </c>
      <c r="B470">
        <v>1</v>
      </c>
      <c r="C470">
        <v>2211</v>
      </c>
      <c r="D470" s="131">
        <v>0.22932439012486755</v>
      </c>
      <c r="E470">
        <v>20</v>
      </c>
      <c r="F470">
        <v>0</v>
      </c>
      <c r="G470">
        <v>0.21633741160977299</v>
      </c>
      <c r="H470">
        <v>17.442540663999988</v>
      </c>
      <c r="I470">
        <v>34</v>
      </c>
      <c r="J470">
        <v>8040</v>
      </c>
      <c r="K470">
        <v>1</v>
      </c>
      <c r="L470">
        <v>7</v>
      </c>
      <c r="M470">
        <v>4</v>
      </c>
      <c r="N470">
        <v>8</v>
      </c>
    </row>
    <row r="471" spans="1:14">
      <c r="A471">
        <v>64</v>
      </c>
      <c r="B471">
        <v>2</v>
      </c>
      <c r="C471">
        <v>1977</v>
      </c>
      <c r="D471" s="131">
        <v>0.18373662978792699</v>
      </c>
      <c r="E471">
        <v>8</v>
      </c>
      <c r="F471">
        <v>0</v>
      </c>
      <c r="G471">
        <v>9.7590090936601856E-2</v>
      </c>
      <c r="H471">
        <v>21.770291555999972</v>
      </c>
      <c r="I471">
        <v>35</v>
      </c>
      <c r="J471">
        <v>8040</v>
      </c>
      <c r="K471">
        <v>1</v>
      </c>
      <c r="L471">
        <v>2</v>
      </c>
      <c r="M471">
        <v>2</v>
      </c>
      <c r="N471">
        <v>3</v>
      </c>
    </row>
    <row r="472" spans="1:14">
      <c r="A472">
        <v>65</v>
      </c>
      <c r="B472">
        <v>1</v>
      </c>
      <c r="C472">
        <v>3093</v>
      </c>
      <c r="D472" s="131">
        <v>0.21607257597969973</v>
      </c>
      <c r="E472">
        <v>14</v>
      </c>
      <c r="F472">
        <v>0</v>
      </c>
      <c r="G472">
        <v>0.15666480041854597</v>
      </c>
      <c r="H472">
        <v>18.512298387999987</v>
      </c>
      <c r="I472">
        <v>36</v>
      </c>
      <c r="J472">
        <v>8040</v>
      </c>
      <c r="K472">
        <v>2</v>
      </c>
      <c r="L472">
        <v>3</v>
      </c>
      <c r="M472">
        <v>3</v>
      </c>
      <c r="N472">
        <v>6</v>
      </c>
    </row>
    <row r="473" spans="1:14">
      <c r="A473">
        <v>65</v>
      </c>
      <c r="B473">
        <v>2</v>
      </c>
      <c r="C473">
        <v>2261</v>
      </c>
      <c r="D473" s="131">
        <v>0.16813854999202685</v>
      </c>
      <c r="E473">
        <v>7</v>
      </c>
      <c r="F473">
        <v>0</v>
      </c>
      <c r="G473">
        <v>8.8118026925580517E-2</v>
      </c>
      <c r="H473">
        <v>23.789904219999997</v>
      </c>
      <c r="I473">
        <v>36</v>
      </c>
      <c r="J473">
        <v>8040</v>
      </c>
      <c r="K473">
        <v>1</v>
      </c>
      <c r="L473">
        <v>2</v>
      </c>
      <c r="M473">
        <v>2</v>
      </c>
      <c r="N473">
        <v>2</v>
      </c>
    </row>
    <row r="474" spans="1:14">
      <c r="A474">
        <v>66</v>
      </c>
      <c r="B474">
        <v>1</v>
      </c>
      <c r="C474">
        <v>3903</v>
      </c>
      <c r="D474" s="131">
        <v>0.22895914809748402</v>
      </c>
      <c r="E474">
        <v>17</v>
      </c>
      <c r="F474">
        <v>0</v>
      </c>
      <c r="G474">
        <v>0.18634609429287846</v>
      </c>
      <c r="H474">
        <v>17.470365491999988</v>
      </c>
      <c r="I474">
        <v>37</v>
      </c>
      <c r="J474">
        <v>8040</v>
      </c>
      <c r="K474">
        <v>3</v>
      </c>
      <c r="L474">
        <v>3</v>
      </c>
      <c r="M474">
        <v>4</v>
      </c>
      <c r="N474">
        <v>7</v>
      </c>
    </row>
    <row r="475" spans="1:14">
      <c r="A475">
        <v>66</v>
      </c>
      <c r="B475">
        <v>2</v>
      </c>
      <c r="C475">
        <v>2281</v>
      </c>
      <c r="D475" s="131">
        <v>0.18283083378851125</v>
      </c>
      <c r="E475">
        <v>8</v>
      </c>
      <c r="F475">
        <v>0</v>
      </c>
      <c r="G475">
        <v>9.7619091868941063E-2</v>
      </c>
      <c r="H475">
        <v>21.878147777999974</v>
      </c>
      <c r="I475">
        <v>35</v>
      </c>
      <c r="J475">
        <v>8040</v>
      </c>
      <c r="K475">
        <v>1</v>
      </c>
      <c r="L475">
        <v>2</v>
      </c>
      <c r="M475">
        <v>2</v>
      </c>
      <c r="N475">
        <v>3</v>
      </c>
    </row>
    <row r="476" spans="1:14">
      <c r="A476">
        <v>67</v>
      </c>
      <c r="B476">
        <v>1</v>
      </c>
      <c r="C476">
        <v>1587</v>
      </c>
      <c r="D476" s="131">
        <v>0.21144770083745459</v>
      </c>
      <c r="E476">
        <v>13</v>
      </c>
      <c r="F476">
        <v>0</v>
      </c>
      <c r="G476">
        <v>0.14678542509179832</v>
      </c>
      <c r="H476">
        <v>18.917207347999991</v>
      </c>
      <c r="I476">
        <v>37</v>
      </c>
      <c r="J476">
        <v>8040</v>
      </c>
      <c r="K476">
        <v>2</v>
      </c>
      <c r="L476">
        <v>3</v>
      </c>
      <c r="M476">
        <v>3</v>
      </c>
      <c r="N476">
        <v>5</v>
      </c>
    </row>
    <row r="477" spans="1:14">
      <c r="A477">
        <v>67</v>
      </c>
      <c r="B477">
        <v>2</v>
      </c>
      <c r="C477">
        <v>2435</v>
      </c>
      <c r="D477" s="131">
        <v>0.16639489174071936</v>
      </c>
      <c r="E477">
        <v>7</v>
      </c>
      <c r="F477">
        <v>0</v>
      </c>
      <c r="G477">
        <v>8.8181093635485125E-2</v>
      </c>
      <c r="H477">
        <v>24.039199509999975</v>
      </c>
      <c r="I477">
        <v>37</v>
      </c>
      <c r="J477">
        <v>8040</v>
      </c>
      <c r="K477">
        <v>2</v>
      </c>
      <c r="L477">
        <v>1</v>
      </c>
      <c r="M477">
        <v>2</v>
      </c>
      <c r="N477">
        <v>2</v>
      </c>
    </row>
    <row r="478" spans="1:14">
      <c r="A478">
        <v>68</v>
      </c>
      <c r="B478">
        <v>1</v>
      </c>
      <c r="C478">
        <v>2681</v>
      </c>
      <c r="D478" s="131">
        <v>0.22452530886423586</v>
      </c>
      <c r="E478">
        <v>14</v>
      </c>
      <c r="F478">
        <v>0</v>
      </c>
      <c r="G478">
        <v>0.15645299247857097</v>
      </c>
      <c r="H478">
        <v>17.815363534000024</v>
      </c>
      <c r="I478">
        <v>36</v>
      </c>
      <c r="J478">
        <v>8040</v>
      </c>
      <c r="K478">
        <v>2</v>
      </c>
      <c r="L478">
        <v>3</v>
      </c>
      <c r="M478">
        <v>4</v>
      </c>
      <c r="N478">
        <v>5</v>
      </c>
    </row>
    <row r="479" spans="1:14">
      <c r="A479">
        <v>68</v>
      </c>
      <c r="B479">
        <v>2</v>
      </c>
      <c r="C479">
        <v>2703</v>
      </c>
      <c r="D479" s="131">
        <v>0.17471339231098912</v>
      </c>
      <c r="E479">
        <v>10</v>
      </c>
      <c r="F479">
        <v>0</v>
      </c>
      <c r="G479">
        <v>0.1178878413576227</v>
      </c>
      <c r="H479">
        <v>22.894638740000058</v>
      </c>
      <c r="I479">
        <v>37</v>
      </c>
      <c r="J479">
        <v>8040</v>
      </c>
      <c r="K479">
        <v>3</v>
      </c>
      <c r="L479">
        <v>1</v>
      </c>
      <c r="M479">
        <v>1</v>
      </c>
      <c r="N479">
        <v>5</v>
      </c>
    </row>
    <row r="480" spans="1:14">
      <c r="A480">
        <v>69</v>
      </c>
      <c r="B480">
        <v>1</v>
      </c>
      <c r="C480">
        <v>2502</v>
      </c>
      <c r="D480" s="131">
        <v>0.22229815270103959</v>
      </c>
      <c r="E480">
        <v>20</v>
      </c>
      <c r="F480">
        <v>0</v>
      </c>
      <c r="G480">
        <v>0.2165077562958154</v>
      </c>
      <c r="H480">
        <v>17.993851731999992</v>
      </c>
      <c r="I480">
        <v>34</v>
      </c>
      <c r="J480">
        <v>8040</v>
      </c>
      <c r="K480">
        <v>1</v>
      </c>
      <c r="L480">
        <v>7</v>
      </c>
      <c r="M480">
        <v>5</v>
      </c>
      <c r="N480">
        <v>7</v>
      </c>
    </row>
    <row r="481" spans="1:14">
      <c r="A481">
        <v>69</v>
      </c>
      <c r="B481">
        <v>2</v>
      </c>
      <c r="C481">
        <v>2037</v>
      </c>
      <c r="D481" s="131">
        <v>0.1727759197838353</v>
      </c>
      <c r="E481">
        <v>15</v>
      </c>
      <c r="F481">
        <v>0</v>
      </c>
      <c r="G481">
        <v>0.1679544564587479</v>
      </c>
      <c r="H481">
        <v>23.15137436399997</v>
      </c>
      <c r="I481">
        <v>35</v>
      </c>
      <c r="J481">
        <v>8040</v>
      </c>
      <c r="K481">
        <v>1</v>
      </c>
      <c r="L481">
        <v>1</v>
      </c>
      <c r="M481">
        <v>1</v>
      </c>
      <c r="N481">
        <v>12</v>
      </c>
    </row>
    <row r="482" spans="1:14">
      <c r="A482">
        <v>70</v>
      </c>
      <c r="B482">
        <v>1</v>
      </c>
      <c r="C482">
        <v>3061</v>
      </c>
      <c r="D482" s="131">
        <v>0.23315981051350756</v>
      </c>
      <c r="E482">
        <v>16</v>
      </c>
      <c r="F482">
        <v>0</v>
      </c>
      <c r="G482">
        <v>0.17624733376247903</v>
      </c>
      <c r="H482">
        <v>17.155615245999993</v>
      </c>
      <c r="I482">
        <v>37</v>
      </c>
      <c r="J482">
        <v>8040</v>
      </c>
      <c r="K482">
        <v>3</v>
      </c>
      <c r="L482">
        <v>3</v>
      </c>
      <c r="M482">
        <v>4</v>
      </c>
      <c r="N482">
        <v>6</v>
      </c>
    </row>
    <row r="483" spans="1:14">
      <c r="A483">
        <v>70</v>
      </c>
      <c r="B483">
        <v>2</v>
      </c>
      <c r="C483">
        <v>2003</v>
      </c>
      <c r="D483" s="131">
        <v>0.18531982200918781</v>
      </c>
      <c r="E483">
        <v>9</v>
      </c>
      <c r="F483">
        <v>0</v>
      </c>
      <c r="G483">
        <v>0.10753985673991842</v>
      </c>
      <c r="H483">
        <v>21.584307369999998</v>
      </c>
      <c r="I483">
        <v>38</v>
      </c>
      <c r="J483">
        <v>8040</v>
      </c>
      <c r="K483">
        <v>2</v>
      </c>
      <c r="L483">
        <v>2</v>
      </c>
      <c r="M483">
        <v>1</v>
      </c>
      <c r="N483">
        <v>4</v>
      </c>
    </row>
    <row r="484" spans="1:14">
      <c r="A484">
        <v>71</v>
      </c>
      <c r="B484">
        <v>1</v>
      </c>
      <c r="C484">
        <v>2709</v>
      </c>
      <c r="D484" s="131">
        <v>0.22989020999789853</v>
      </c>
      <c r="E484">
        <v>7</v>
      </c>
      <c r="F484">
        <v>0</v>
      </c>
      <c r="G484">
        <v>8.6323997051953191E-2</v>
      </c>
      <c r="H484">
        <v>17.399610014000007</v>
      </c>
      <c r="I484">
        <v>35</v>
      </c>
      <c r="J484">
        <v>8040</v>
      </c>
      <c r="K484">
        <v>1</v>
      </c>
      <c r="L484">
        <v>2</v>
      </c>
      <c r="M484">
        <v>2</v>
      </c>
      <c r="N484">
        <v>2</v>
      </c>
    </row>
    <row r="485" spans="1:14">
      <c r="A485">
        <v>71</v>
      </c>
      <c r="B485">
        <v>2</v>
      </c>
      <c r="C485">
        <v>1531</v>
      </c>
      <c r="D485" s="131">
        <v>0.19778012759600211</v>
      </c>
      <c r="E485">
        <v>5</v>
      </c>
      <c r="F485">
        <v>0</v>
      </c>
      <c r="G485">
        <v>6.7163497157054775E-2</v>
      </c>
      <c r="H485">
        <v>20.224478811999994</v>
      </c>
      <c r="I485">
        <v>36</v>
      </c>
      <c r="J485">
        <v>8040</v>
      </c>
      <c r="K485">
        <v>1</v>
      </c>
      <c r="L485">
        <v>1</v>
      </c>
      <c r="M485">
        <v>1</v>
      </c>
      <c r="N485">
        <v>2</v>
      </c>
    </row>
    <row r="486" spans="1:14">
      <c r="A486">
        <v>72</v>
      </c>
      <c r="B486">
        <v>1</v>
      </c>
      <c r="C486">
        <v>2357</v>
      </c>
      <c r="D486" s="131">
        <v>0.23345399998630331</v>
      </c>
      <c r="E486">
        <v>7</v>
      </c>
      <c r="F486">
        <v>0</v>
      </c>
      <c r="G486">
        <v>8.6240506145146584E-2</v>
      </c>
      <c r="H486">
        <v>17.133996419999995</v>
      </c>
      <c r="I486">
        <v>36</v>
      </c>
      <c r="J486">
        <v>8040</v>
      </c>
      <c r="K486">
        <v>1</v>
      </c>
      <c r="L486">
        <v>2</v>
      </c>
      <c r="M486">
        <v>2</v>
      </c>
      <c r="N486">
        <v>2</v>
      </c>
    </row>
    <row r="487" spans="1:14">
      <c r="A487">
        <v>72</v>
      </c>
      <c r="B487">
        <v>2</v>
      </c>
      <c r="C487">
        <v>1320</v>
      </c>
      <c r="D487" s="131">
        <v>0.19986146979958963</v>
      </c>
      <c r="E487">
        <v>5</v>
      </c>
      <c r="F487">
        <v>0</v>
      </c>
      <c r="G487">
        <v>6.7103709346009094E-2</v>
      </c>
      <c r="H487">
        <v>20.013862622000055</v>
      </c>
      <c r="I487">
        <v>36</v>
      </c>
      <c r="J487">
        <v>8040</v>
      </c>
      <c r="K487">
        <v>1</v>
      </c>
      <c r="L487">
        <v>1</v>
      </c>
      <c r="M487">
        <v>1</v>
      </c>
      <c r="N487">
        <v>2</v>
      </c>
    </row>
    <row r="488" spans="1:14">
      <c r="A488">
        <v>73</v>
      </c>
      <c r="B488">
        <v>1</v>
      </c>
      <c r="C488">
        <v>1445</v>
      </c>
      <c r="D488" s="131">
        <v>0.22488452302023826</v>
      </c>
      <c r="E488">
        <v>8</v>
      </c>
      <c r="F488">
        <v>0</v>
      </c>
      <c r="G488">
        <v>9.6444227539516703E-2</v>
      </c>
      <c r="H488">
        <v>17.786906570000035</v>
      </c>
      <c r="I488">
        <v>35</v>
      </c>
      <c r="J488">
        <v>8040</v>
      </c>
      <c r="K488">
        <v>1</v>
      </c>
      <c r="L488">
        <v>2</v>
      </c>
      <c r="M488">
        <v>1</v>
      </c>
      <c r="N488">
        <v>4</v>
      </c>
    </row>
    <row r="489" spans="1:14">
      <c r="A489">
        <v>73</v>
      </c>
      <c r="B489">
        <v>2</v>
      </c>
      <c r="C489">
        <v>1164</v>
      </c>
      <c r="D489" s="131">
        <v>0.19728840423107552</v>
      </c>
      <c r="E489">
        <v>5</v>
      </c>
      <c r="F489">
        <v>0</v>
      </c>
      <c r="G489">
        <v>6.7177744810686835E-2</v>
      </c>
      <c r="H489">
        <v>20.274886482000078</v>
      </c>
      <c r="I489">
        <v>36</v>
      </c>
      <c r="J489">
        <v>8040</v>
      </c>
      <c r="K489">
        <v>1</v>
      </c>
      <c r="L489">
        <v>1</v>
      </c>
      <c r="M489">
        <v>1</v>
      </c>
      <c r="N489">
        <v>2</v>
      </c>
    </row>
    <row r="490" spans="1:14">
      <c r="A490">
        <v>74</v>
      </c>
      <c r="B490">
        <v>1</v>
      </c>
      <c r="C490">
        <v>1578</v>
      </c>
      <c r="D490" s="131">
        <v>0.22326005257985446</v>
      </c>
      <c r="E490">
        <v>7</v>
      </c>
      <c r="F490">
        <v>0</v>
      </c>
      <c r="G490">
        <v>8.6484014673175874E-2</v>
      </c>
      <c r="H490">
        <v>17.916326515999998</v>
      </c>
      <c r="I490">
        <v>35</v>
      </c>
      <c r="J490">
        <v>8040</v>
      </c>
      <c r="K490">
        <v>1</v>
      </c>
      <c r="L490">
        <v>2</v>
      </c>
      <c r="M490">
        <v>1</v>
      </c>
      <c r="N490">
        <v>3</v>
      </c>
    </row>
    <row r="491" spans="1:14">
      <c r="A491">
        <v>74</v>
      </c>
      <c r="B491">
        <v>2</v>
      </c>
      <c r="C491">
        <v>1404</v>
      </c>
      <c r="D491" s="131">
        <v>0.19793621698454861</v>
      </c>
      <c r="E491">
        <v>5</v>
      </c>
      <c r="F491">
        <v>0</v>
      </c>
      <c r="G491">
        <v>6.7158984349272088E-2</v>
      </c>
      <c r="H491">
        <v>20.208530106000005</v>
      </c>
      <c r="I491">
        <v>36</v>
      </c>
      <c r="J491">
        <v>8040</v>
      </c>
      <c r="K491">
        <v>1</v>
      </c>
      <c r="L491">
        <v>1</v>
      </c>
      <c r="M491">
        <v>1</v>
      </c>
      <c r="N491">
        <v>2</v>
      </c>
    </row>
    <row r="492" spans="1:14">
      <c r="A492">
        <v>75</v>
      </c>
      <c r="B492">
        <v>1</v>
      </c>
      <c r="C492">
        <v>2386</v>
      </c>
      <c r="D492" s="131">
        <v>0.23315406864642521</v>
      </c>
      <c r="E492">
        <v>7</v>
      </c>
      <c r="F492">
        <v>0</v>
      </c>
      <c r="G492">
        <v>8.6247467135325065E-2</v>
      </c>
      <c r="H492">
        <v>17.156037735999977</v>
      </c>
      <c r="I492">
        <v>36</v>
      </c>
      <c r="J492">
        <v>8040</v>
      </c>
      <c r="K492">
        <v>1</v>
      </c>
      <c r="L492">
        <v>2</v>
      </c>
      <c r="M492">
        <v>2</v>
      </c>
      <c r="N492">
        <v>2</v>
      </c>
    </row>
    <row r="493" spans="1:14">
      <c r="A493">
        <v>75</v>
      </c>
      <c r="B493">
        <v>2</v>
      </c>
      <c r="C493">
        <v>1747</v>
      </c>
      <c r="D493" s="131">
        <v>0.1999626168488064</v>
      </c>
      <c r="E493">
        <v>5</v>
      </c>
      <c r="F493">
        <v>0</v>
      </c>
      <c r="G493">
        <v>6.7100825004369438E-2</v>
      </c>
      <c r="H493">
        <v>20.00373901399999</v>
      </c>
      <c r="I493">
        <v>36</v>
      </c>
      <c r="J493">
        <v>8040</v>
      </c>
      <c r="K493">
        <v>1</v>
      </c>
      <c r="L493">
        <v>1</v>
      </c>
      <c r="M493">
        <v>1</v>
      </c>
      <c r="N493">
        <v>2</v>
      </c>
    </row>
    <row r="494" spans="1:14">
      <c r="A494">
        <v>76</v>
      </c>
      <c r="B494">
        <v>1</v>
      </c>
      <c r="C494">
        <v>1591</v>
      </c>
      <c r="D494" s="131">
        <v>0.23149328238741482</v>
      </c>
      <c r="E494">
        <v>9</v>
      </c>
      <c r="F494">
        <v>0</v>
      </c>
      <c r="G494">
        <v>0.10628622894742394</v>
      </c>
      <c r="H494">
        <v>17.279119112000032</v>
      </c>
      <c r="I494">
        <v>36</v>
      </c>
      <c r="J494">
        <v>8040</v>
      </c>
      <c r="K494">
        <v>1</v>
      </c>
      <c r="L494">
        <v>3</v>
      </c>
      <c r="M494">
        <v>1</v>
      </c>
      <c r="N494">
        <v>4</v>
      </c>
    </row>
    <row r="495" spans="1:14">
      <c r="A495">
        <v>76</v>
      </c>
      <c r="B495">
        <v>2</v>
      </c>
      <c r="C495">
        <v>1769</v>
      </c>
      <c r="D495" s="131">
        <v>0.19806233490572267</v>
      </c>
      <c r="E495">
        <v>5</v>
      </c>
      <c r="F495">
        <v>0</v>
      </c>
      <c r="G495">
        <v>6.7155341531593429E-2</v>
      </c>
      <c r="H495">
        <v>20.195662147999986</v>
      </c>
      <c r="I495">
        <v>37</v>
      </c>
      <c r="J495">
        <v>8040</v>
      </c>
      <c r="K495">
        <v>1</v>
      </c>
      <c r="L495">
        <v>1</v>
      </c>
      <c r="M495">
        <v>1</v>
      </c>
      <c r="N495">
        <v>2</v>
      </c>
    </row>
    <row r="496" spans="1:14">
      <c r="A496">
        <v>77</v>
      </c>
      <c r="B496">
        <v>1</v>
      </c>
      <c r="C496">
        <v>2169</v>
      </c>
      <c r="D496" s="131">
        <v>0.22408787667035504</v>
      </c>
      <c r="E496">
        <v>7</v>
      </c>
      <c r="F496">
        <v>0</v>
      </c>
      <c r="G496">
        <v>8.6463691243636662E-2</v>
      </c>
      <c r="H496">
        <v>17.850140130000021</v>
      </c>
      <c r="I496">
        <v>37</v>
      </c>
      <c r="J496">
        <v>8040</v>
      </c>
      <c r="K496">
        <v>1</v>
      </c>
      <c r="L496">
        <v>2</v>
      </c>
      <c r="M496">
        <v>1</v>
      </c>
      <c r="N496">
        <v>3</v>
      </c>
    </row>
    <row r="497" spans="1:14">
      <c r="A497">
        <v>77</v>
      </c>
      <c r="B497">
        <v>2</v>
      </c>
      <c r="C497">
        <v>1328</v>
      </c>
      <c r="D497" s="131">
        <v>0.19900480051499173</v>
      </c>
      <c r="E497">
        <v>5</v>
      </c>
      <c r="F497">
        <v>0</v>
      </c>
      <c r="G497">
        <v>6.7128216707554159E-2</v>
      </c>
      <c r="H497">
        <v>20.100017636000022</v>
      </c>
      <c r="I497">
        <v>37</v>
      </c>
      <c r="J497">
        <v>8040</v>
      </c>
      <c r="K497">
        <v>1</v>
      </c>
      <c r="L497">
        <v>1</v>
      </c>
      <c r="M497">
        <v>1</v>
      </c>
      <c r="N497">
        <v>2</v>
      </c>
    </row>
    <row r="498" spans="1:14">
      <c r="A498">
        <v>78</v>
      </c>
      <c r="B498">
        <v>1</v>
      </c>
      <c r="C498">
        <v>1612</v>
      </c>
      <c r="D498" s="131">
        <v>0.22698487140407164</v>
      </c>
      <c r="E498">
        <v>7</v>
      </c>
      <c r="F498">
        <v>0</v>
      </c>
      <c r="G498">
        <v>8.6393349421436338E-2</v>
      </c>
      <c r="H498">
        <v>17.622319827999991</v>
      </c>
      <c r="I498">
        <v>38</v>
      </c>
      <c r="J498">
        <v>8040</v>
      </c>
      <c r="K498">
        <v>2</v>
      </c>
      <c r="L498">
        <v>1</v>
      </c>
      <c r="M498">
        <v>2</v>
      </c>
      <c r="N498">
        <v>2</v>
      </c>
    </row>
    <row r="499" spans="1:14">
      <c r="A499">
        <v>78</v>
      </c>
      <c r="B499">
        <v>2</v>
      </c>
      <c r="C499">
        <v>1404</v>
      </c>
      <c r="D499" s="131">
        <v>0.19913207996198365</v>
      </c>
      <c r="E499">
        <v>5</v>
      </c>
      <c r="F499">
        <v>0</v>
      </c>
      <c r="G499">
        <v>6.7124566643410682E-2</v>
      </c>
      <c r="H499">
        <v>20.08717028800001</v>
      </c>
      <c r="I499">
        <v>36</v>
      </c>
      <c r="J499">
        <v>8040</v>
      </c>
      <c r="K499">
        <v>1</v>
      </c>
      <c r="L499">
        <v>1</v>
      </c>
      <c r="M499">
        <v>1</v>
      </c>
      <c r="N499">
        <v>2</v>
      </c>
    </row>
    <row r="500" spans="1:14">
      <c r="A500">
        <v>79</v>
      </c>
      <c r="B500">
        <v>1</v>
      </c>
      <c r="C500">
        <v>1803</v>
      </c>
      <c r="D500" s="131">
        <v>0.22375961754539847</v>
      </c>
      <c r="E500">
        <v>7</v>
      </c>
      <c r="F500">
        <v>0</v>
      </c>
      <c r="G500">
        <v>8.647173814732044E-2</v>
      </c>
      <c r="H500">
        <v>17.876326586000005</v>
      </c>
      <c r="I500">
        <v>36</v>
      </c>
      <c r="J500">
        <v>8040</v>
      </c>
      <c r="K500">
        <v>1</v>
      </c>
      <c r="L500">
        <v>2</v>
      </c>
      <c r="M500">
        <v>1</v>
      </c>
      <c r="N500">
        <v>3</v>
      </c>
    </row>
    <row r="501" spans="1:14">
      <c r="A501">
        <v>79</v>
      </c>
      <c r="B501">
        <v>2</v>
      </c>
      <c r="C501">
        <v>1599</v>
      </c>
      <c r="D501" s="131">
        <v>0.19911811395747844</v>
      </c>
      <c r="E501">
        <v>5</v>
      </c>
      <c r="F501">
        <v>0</v>
      </c>
      <c r="G501">
        <v>6.7124967002405014E-2</v>
      </c>
      <c r="H501">
        <v>20.08857918799993</v>
      </c>
      <c r="I501">
        <v>35</v>
      </c>
      <c r="J501">
        <v>8040</v>
      </c>
      <c r="K501">
        <v>1</v>
      </c>
      <c r="L501">
        <v>1</v>
      </c>
      <c r="M501">
        <v>1</v>
      </c>
      <c r="N501">
        <v>2</v>
      </c>
    </row>
    <row r="502" spans="1:14">
      <c r="A502">
        <v>80</v>
      </c>
      <c r="B502">
        <v>1</v>
      </c>
      <c r="C502">
        <v>1862</v>
      </c>
      <c r="D502" s="131">
        <v>0.22430734358579618</v>
      </c>
      <c r="E502">
        <v>7</v>
      </c>
      <c r="F502">
        <v>0</v>
      </c>
      <c r="G502">
        <v>8.6458320020179724E-2</v>
      </c>
      <c r="H502">
        <v>17.832675185999982</v>
      </c>
      <c r="I502">
        <v>36</v>
      </c>
      <c r="J502">
        <v>8040</v>
      </c>
      <c r="K502">
        <v>1</v>
      </c>
      <c r="L502">
        <v>2</v>
      </c>
      <c r="M502">
        <v>1</v>
      </c>
      <c r="N502">
        <v>3</v>
      </c>
    </row>
    <row r="503" spans="1:14">
      <c r="A503">
        <v>80</v>
      </c>
      <c r="B503">
        <v>2</v>
      </c>
      <c r="C503">
        <v>1422</v>
      </c>
      <c r="D503" s="131">
        <v>0.19945357260451421</v>
      </c>
      <c r="E503">
        <v>5</v>
      </c>
      <c r="F503">
        <v>0</v>
      </c>
      <c r="G503">
        <v>6.7115360853871098E-2</v>
      </c>
      <c r="H503">
        <v>20.054792439999986</v>
      </c>
      <c r="I503">
        <v>36</v>
      </c>
      <c r="J503">
        <v>8040</v>
      </c>
      <c r="K503">
        <v>1</v>
      </c>
      <c r="L503">
        <v>1</v>
      </c>
      <c r="M503">
        <v>1</v>
      </c>
      <c r="N503">
        <v>2</v>
      </c>
    </row>
    <row r="514" spans="1:14">
      <c r="A514">
        <v>1</v>
      </c>
      <c r="B514">
        <v>1</v>
      </c>
      <c r="C514">
        <v>3183</v>
      </c>
      <c r="D514" s="131">
        <v>0.38492230945105993</v>
      </c>
      <c r="E514">
        <v>61</v>
      </c>
      <c r="F514">
        <v>0</v>
      </c>
      <c r="G514">
        <v>0.62374703291129829</v>
      </c>
      <c r="H514">
        <v>10.391707369999999</v>
      </c>
      <c r="I514">
        <v>35</v>
      </c>
      <c r="J514">
        <v>8040</v>
      </c>
      <c r="K514">
        <v>14</v>
      </c>
      <c r="L514">
        <v>19</v>
      </c>
      <c r="M514">
        <v>13</v>
      </c>
      <c r="N514">
        <v>15</v>
      </c>
    </row>
    <row r="515" spans="1:14">
      <c r="A515">
        <v>1</v>
      </c>
      <c r="B515">
        <v>2</v>
      </c>
      <c r="C515">
        <v>3059</v>
      </c>
      <c r="D515" s="131">
        <v>0.32438839382009033</v>
      </c>
      <c r="E515">
        <v>28</v>
      </c>
      <c r="F515">
        <v>0</v>
      </c>
      <c r="G515">
        <v>0.29455386127174732</v>
      </c>
      <c r="H515">
        <v>12.330897394000008</v>
      </c>
      <c r="I515">
        <v>36</v>
      </c>
      <c r="J515">
        <v>8040</v>
      </c>
      <c r="K515">
        <v>7</v>
      </c>
      <c r="L515">
        <v>7</v>
      </c>
      <c r="M515">
        <v>8</v>
      </c>
      <c r="N515">
        <v>6</v>
      </c>
    </row>
    <row r="516" spans="1:14">
      <c r="A516">
        <v>2</v>
      </c>
      <c r="B516">
        <v>1</v>
      </c>
      <c r="C516">
        <v>2985</v>
      </c>
      <c r="D516" s="131">
        <v>0.37062734305417494</v>
      </c>
      <c r="E516">
        <v>40</v>
      </c>
      <c r="F516">
        <v>0</v>
      </c>
      <c r="G516">
        <v>0.41392154753350247</v>
      </c>
      <c r="H516">
        <v>10.792511872</v>
      </c>
      <c r="I516">
        <v>35</v>
      </c>
      <c r="J516">
        <v>8040</v>
      </c>
      <c r="K516">
        <v>11</v>
      </c>
      <c r="L516">
        <v>10</v>
      </c>
      <c r="M516">
        <v>11</v>
      </c>
      <c r="N516">
        <v>8</v>
      </c>
    </row>
    <row r="517" spans="1:14">
      <c r="A517">
        <v>2</v>
      </c>
      <c r="B517">
        <v>2</v>
      </c>
      <c r="C517">
        <v>1657</v>
      </c>
      <c r="D517" s="131">
        <v>0.31583053998236077</v>
      </c>
      <c r="E517">
        <v>21</v>
      </c>
      <c r="F517">
        <v>0</v>
      </c>
      <c r="G517">
        <v>0.22468414369438286</v>
      </c>
      <c r="H517">
        <v>12.665019666000005</v>
      </c>
      <c r="I517">
        <v>35</v>
      </c>
      <c r="J517">
        <v>8040</v>
      </c>
      <c r="K517">
        <v>5</v>
      </c>
      <c r="L517">
        <v>6</v>
      </c>
      <c r="M517">
        <v>5</v>
      </c>
      <c r="N517">
        <v>5</v>
      </c>
    </row>
    <row r="518" spans="1:14">
      <c r="A518">
        <v>3</v>
      </c>
      <c r="B518">
        <v>1</v>
      </c>
      <c r="C518">
        <v>3655</v>
      </c>
      <c r="D518" s="131">
        <v>0.40838763072007378</v>
      </c>
      <c r="E518">
        <v>66</v>
      </c>
      <c r="F518">
        <v>0</v>
      </c>
      <c r="G518">
        <v>0.67347852825688392</v>
      </c>
      <c r="H518">
        <v>9.7946159460000146</v>
      </c>
      <c r="I518">
        <v>36</v>
      </c>
      <c r="J518">
        <v>8040</v>
      </c>
      <c r="K518">
        <v>14</v>
      </c>
      <c r="L518">
        <v>17</v>
      </c>
      <c r="M518">
        <v>24</v>
      </c>
      <c r="N518">
        <v>11</v>
      </c>
    </row>
    <row r="519" spans="1:14">
      <c r="A519">
        <v>3</v>
      </c>
      <c r="B519">
        <v>2</v>
      </c>
      <c r="C519">
        <v>5632</v>
      </c>
      <c r="D519" s="131">
        <v>0.3355229111148807</v>
      </c>
      <c r="E519">
        <v>23</v>
      </c>
      <c r="F519">
        <v>0</v>
      </c>
      <c r="G519">
        <v>0.24439105411437237</v>
      </c>
      <c r="H519">
        <v>11.921689600000008</v>
      </c>
      <c r="I519">
        <v>36</v>
      </c>
      <c r="J519">
        <v>8040</v>
      </c>
      <c r="K519">
        <v>4</v>
      </c>
      <c r="L519">
        <v>6</v>
      </c>
      <c r="M519">
        <v>8</v>
      </c>
      <c r="N519">
        <v>5</v>
      </c>
    </row>
    <row r="520" spans="1:14">
      <c r="A520">
        <v>4</v>
      </c>
      <c r="B520">
        <v>1</v>
      </c>
      <c r="C520">
        <v>5483</v>
      </c>
      <c r="D520" s="131">
        <v>0.41671891071650291</v>
      </c>
      <c r="E520">
        <v>89</v>
      </c>
      <c r="F520">
        <v>0</v>
      </c>
      <c r="G520">
        <v>0.90338809946620002</v>
      </c>
      <c r="H520">
        <v>9.598796448000007</v>
      </c>
      <c r="I520">
        <v>35</v>
      </c>
      <c r="J520">
        <v>8040</v>
      </c>
      <c r="K520">
        <v>34</v>
      </c>
      <c r="L520">
        <v>19</v>
      </c>
      <c r="M520">
        <v>22</v>
      </c>
      <c r="N520">
        <v>14</v>
      </c>
    </row>
    <row r="521" spans="1:14">
      <c r="A521">
        <v>4</v>
      </c>
      <c r="B521">
        <v>2</v>
      </c>
      <c r="C521">
        <v>1895</v>
      </c>
      <c r="D521" s="131">
        <v>0.34531488606030697</v>
      </c>
      <c r="E521">
        <v>29</v>
      </c>
      <c r="F521">
        <v>0</v>
      </c>
      <c r="G521">
        <v>0.30425372032379838</v>
      </c>
      <c r="H521">
        <v>11.583630365999994</v>
      </c>
      <c r="I521">
        <v>35</v>
      </c>
      <c r="J521">
        <v>8040</v>
      </c>
      <c r="K521">
        <v>7</v>
      </c>
      <c r="L521">
        <v>7</v>
      </c>
      <c r="M521">
        <v>8</v>
      </c>
      <c r="N521">
        <v>7</v>
      </c>
    </row>
    <row r="522" spans="1:14">
      <c r="A522">
        <v>5</v>
      </c>
      <c r="B522">
        <v>1</v>
      </c>
      <c r="C522">
        <v>3589</v>
      </c>
      <c r="D522" s="131">
        <v>0.40077957767801442</v>
      </c>
      <c r="E522">
        <v>66</v>
      </c>
      <c r="F522">
        <v>0</v>
      </c>
      <c r="G522">
        <v>0.67356328244087482</v>
      </c>
      <c r="H522">
        <v>9.9805484680000163</v>
      </c>
      <c r="I522">
        <v>35</v>
      </c>
      <c r="J522">
        <v>8040</v>
      </c>
      <c r="K522">
        <v>20</v>
      </c>
      <c r="L522">
        <v>16</v>
      </c>
      <c r="M522">
        <v>16</v>
      </c>
      <c r="N522">
        <v>14</v>
      </c>
    </row>
    <row r="523" spans="1:14">
      <c r="A523">
        <v>5</v>
      </c>
      <c r="B523">
        <v>2</v>
      </c>
      <c r="C523">
        <v>1761</v>
      </c>
      <c r="D523" s="131">
        <v>0.31383591150313989</v>
      </c>
      <c r="E523">
        <v>20</v>
      </c>
      <c r="F523">
        <v>0</v>
      </c>
      <c r="G523">
        <v>0.21471518707014062</v>
      </c>
      <c r="H523">
        <v>12.745513988000001</v>
      </c>
      <c r="I523">
        <v>36</v>
      </c>
      <c r="J523">
        <v>8040</v>
      </c>
      <c r="K523">
        <v>5</v>
      </c>
      <c r="L523">
        <v>5</v>
      </c>
      <c r="M523">
        <v>6</v>
      </c>
      <c r="N523">
        <v>4</v>
      </c>
    </row>
    <row r="524" spans="1:14">
      <c r="A524">
        <v>6</v>
      </c>
      <c r="B524">
        <v>1</v>
      </c>
      <c r="C524">
        <v>3225</v>
      </c>
      <c r="D524" s="131">
        <v>0.42622201476651883</v>
      </c>
      <c r="E524">
        <v>61</v>
      </c>
      <c r="F524">
        <v>0</v>
      </c>
      <c r="G524">
        <v>0.62328784970956408</v>
      </c>
      <c r="H524">
        <v>9.3847803759999806</v>
      </c>
      <c r="I524">
        <v>35</v>
      </c>
      <c r="J524">
        <v>8040</v>
      </c>
      <c r="K524">
        <v>14</v>
      </c>
      <c r="L524">
        <v>19</v>
      </c>
      <c r="M524">
        <v>16</v>
      </c>
      <c r="N524">
        <v>12</v>
      </c>
    </row>
    <row r="525" spans="1:14">
      <c r="A525">
        <v>6</v>
      </c>
      <c r="B525">
        <v>2</v>
      </c>
      <c r="C525">
        <v>1741</v>
      </c>
      <c r="D525" s="131">
        <v>0.33463340256289903</v>
      </c>
      <c r="E525">
        <v>21</v>
      </c>
      <c r="F525">
        <v>0</v>
      </c>
      <c r="G525">
        <v>0.22440379406601099</v>
      </c>
      <c r="H525">
        <v>11.953379338000019</v>
      </c>
      <c r="I525">
        <v>36</v>
      </c>
      <c r="J525">
        <v>8040</v>
      </c>
      <c r="K525">
        <v>5</v>
      </c>
      <c r="L525">
        <v>7</v>
      </c>
      <c r="M525">
        <v>5</v>
      </c>
      <c r="N525">
        <v>4</v>
      </c>
    </row>
    <row r="526" spans="1:14">
      <c r="A526">
        <v>7</v>
      </c>
      <c r="B526">
        <v>1</v>
      </c>
      <c r="C526">
        <v>2047</v>
      </c>
      <c r="D526" s="131">
        <v>0.42554774708065007</v>
      </c>
      <c r="E526">
        <v>153</v>
      </c>
      <c r="F526">
        <v>0</v>
      </c>
      <c r="G526">
        <v>1.5432948640730839</v>
      </c>
      <c r="H526">
        <v>9.3996502799999959</v>
      </c>
      <c r="I526">
        <v>34</v>
      </c>
      <c r="J526">
        <v>8040</v>
      </c>
      <c r="K526">
        <v>38</v>
      </c>
      <c r="L526">
        <v>31</v>
      </c>
      <c r="M526">
        <v>56</v>
      </c>
      <c r="N526">
        <v>28</v>
      </c>
    </row>
    <row r="527" spans="1:14">
      <c r="A527">
        <v>7</v>
      </c>
      <c r="B527">
        <v>2</v>
      </c>
      <c r="C527">
        <v>2241</v>
      </c>
      <c r="D527" s="131">
        <v>0.33486914621011538</v>
      </c>
      <c r="E527">
        <v>31</v>
      </c>
      <c r="F527">
        <v>0</v>
      </c>
      <c r="G527">
        <v>0.32440041324286695</v>
      </c>
      <c r="H527">
        <v>11.94496431</v>
      </c>
      <c r="I527">
        <v>36</v>
      </c>
      <c r="J527">
        <v>8040</v>
      </c>
      <c r="K527">
        <v>7</v>
      </c>
      <c r="L527">
        <v>8</v>
      </c>
      <c r="M527">
        <v>9</v>
      </c>
      <c r="N527">
        <v>7</v>
      </c>
    </row>
    <row r="528" spans="1:14">
      <c r="A528">
        <v>8</v>
      </c>
      <c r="B528">
        <v>1</v>
      </c>
      <c r="C528">
        <v>1440</v>
      </c>
      <c r="D528" s="131">
        <v>0.39245032339965075</v>
      </c>
      <c r="E528">
        <v>38</v>
      </c>
      <c r="F528">
        <v>0</v>
      </c>
      <c r="G528">
        <v>0.39365856591603021</v>
      </c>
      <c r="H528">
        <v>10.192372795999994</v>
      </c>
      <c r="I528">
        <v>35</v>
      </c>
      <c r="J528">
        <v>8040</v>
      </c>
      <c r="K528">
        <v>10</v>
      </c>
      <c r="L528">
        <v>9</v>
      </c>
      <c r="M528">
        <v>10</v>
      </c>
      <c r="N528">
        <v>9</v>
      </c>
    </row>
    <row r="529" spans="1:14">
      <c r="A529">
        <v>8</v>
      </c>
      <c r="B529">
        <v>2</v>
      </c>
      <c r="C529">
        <v>2370</v>
      </c>
      <c r="D529" s="131">
        <v>0.32343753939822972</v>
      </c>
      <c r="E529">
        <v>19</v>
      </c>
      <c r="F529">
        <v>0</v>
      </c>
      <c r="G529">
        <v>0.20456810932345867</v>
      </c>
      <c r="H529">
        <v>12.367148252000007</v>
      </c>
      <c r="I529">
        <v>35</v>
      </c>
      <c r="J529">
        <v>8040</v>
      </c>
      <c r="K529">
        <v>4</v>
      </c>
      <c r="L529">
        <v>5</v>
      </c>
      <c r="M529">
        <v>6</v>
      </c>
      <c r="N529">
        <v>4</v>
      </c>
    </row>
    <row r="530" spans="1:14">
      <c r="A530">
        <v>9</v>
      </c>
      <c r="B530">
        <v>1</v>
      </c>
      <c r="C530">
        <v>2732</v>
      </c>
      <c r="D530" s="131">
        <v>0.400647280297245</v>
      </c>
      <c r="E530">
        <v>62</v>
      </c>
      <c r="F530">
        <v>0</v>
      </c>
      <c r="G530">
        <v>0.63356477518304344</v>
      </c>
      <c r="H530">
        <v>9.9838441360000054</v>
      </c>
      <c r="I530">
        <v>35</v>
      </c>
      <c r="J530">
        <v>8040</v>
      </c>
      <c r="K530">
        <v>16</v>
      </c>
      <c r="L530">
        <v>18</v>
      </c>
      <c r="M530">
        <v>14</v>
      </c>
      <c r="N530">
        <v>14</v>
      </c>
    </row>
    <row r="531" spans="1:14">
      <c r="A531">
        <v>9</v>
      </c>
      <c r="B531">
        <v>2</v>
      </c>
      <c r="C531">
        <v>2600</v>
      </c>
      <c r="D531" s="131">
        <v>0.33375563183112189</v>
      </c>
      <c r="E531">
        <v>26</v>
      </c>
      <c r="F531">
        <v>0</v>
      </c>
      <c r="G531">
        <v>0.27441641024384184</v>
      </c>
      <c r="H531">
        <v>11.984816490000004</v>
      </c>
      <c r="I531">
        <v>35</v>
      </c>
      <c r="J531">
        <v>8040</v>
      </c>
      <c r="K531">
        <v>6</v>
      </c>
      <c r="L531">
        <v>7</v>
      </c>
      <c r="M531">
        <v>7</v>
      </c>
      <c r="N531">
        <v>6</v>
      </c>
    </row>
    <row r="532" spans="1:14">
      <c r="A532">
        <v>10</v>
      </c>
      <c r="B532">
        <v>1</v>
      </c>
      <c r="C532">
        <v>4110</v>
      </c>
      <c r="D532" s="131">
        <v>0.39252624649072121</v>
      </c>
      <c r="E532">
        <v>60</v>
      </c>
      <c r="F532">
        <v>0</v>
      </c>
      <c r="G532">
        <v>0.61365768523826669</v>
      </c>
      <c r="H532">
        <v>10.190401369999993</v>
      </c>
      <c r="I532">
        <v>35</v>
      </c>
      <c r="J532">
        <v>8040</v>
      </c>
      <c r="K532">
        <v>15</v>
      </c>
      <c r="L532">
        <v>10</v>
      </c>
      <c r="M532">
        <v>22</v>
      </c>
      <c r="N532">
        <v>13</v>
      </c>
    </row>
    <row r="533" spans="1:14">
      <c r="A533">
        <v>10</v>
      </c>
      <c r="B533">
        <v>2</v>
      </c>
      <c r="C533">
        <v>2263</v>
      </c>
      <c r="D533" s="131">
        <v>0.3129788558400256</v>
      </c>
      <c r="E533">
        <v>21</v>
      </c>
      <c r="F533">
        <v>0</v>
      </c>
      <c r="G533">
        <v>0.22472860676260342</v>
      </c>
      <c r="H533">
        <v>12.780416074000026</v>
      </c>
      <c r="I533">
        <v>36</v>
      </c>
      <c r="J533">
        <v>8040</v>
      </c>
      <c r="K533">
        <v>6</v>
      </c>
      <c r="L533">
        <v>5</v>
      </c>
      <c r="M533">
        <v>6</v>
      </c>
      <c r="N533">
        <v>4</v>
      </c>
    </row>
    <row r="534" spans="1:14">
      <c r="A534">
        <v>11</v>
      </c>
      <c r="B534">
        <v>1</v>
      </c>
      <c r="C534">
        <v>1583</v>
      </c>
      <c r="D534" s="131">
        <v>0.43855443395402866</v>
      </c>
      <c r="E534">
        <v>18</v>
      </c>
      <c r="F534">
        <v>0</v>
      </c>
      <c r="G534">
        <v>0.19316210945138834</v>
      </c>
      <c r="H534">
        <v>9.1208746059999903</v>
      </c>
      <c r="I534">
        <v>36</v>
      </c>
      <c r="J534">
        <v>8040</v>
      </c>
      <c r="K534">
        <v>4</v>
      </c>
      <c r="L534">
        <v>5</v>
      </c>
      <c r="M534">
        <v>5</v>
      </c>
      <c r="N534">
        <v>4</v>
      </c>
    </row>
    <row r="535" spans="1:14">
      <c r="A535">
        <v>11</v>
      </c>
      <c r="B535">
        <v>2</v>
      </c>
      <c r="C535">
        <v>1108</v>
      </c>
      <c r="D535" s="131">
        <v>0.35586390482813435</v>
      </c>
      <c r="E535">
        <v>9</v>
      </c>
      <c r="F535">
        <v>0</v>
      </c>
      <c r="G535">
        <v>0.10411146230644165</v>
      </c>
      <c r="H535">
        <v>11.240252090000006</v>
      </c>
      <c r="I535">
        <v>36</v>
      </c>
      <c r="J535">
        <v>8040</v>
      </c>
      <c r="K535">
        <v>2</v>
      </c>
      <c r="L535">
        <v>2</v>
      </c>
      <c r="M535">
        <v>3</v>
      </c>
      <c r="N535">
        <v>2</v>
      </c>
    </row>
    <row r="536" spans="1:14">
      <c r="A536">
        <v>12</v>
      </c>
      <c r="B536">
        <v>1</v>
      </c>
      <c r="C536">
        <v>1625</v>
      </c>
      <c r="D536" s="131">
        <v>0.43827706721241511</v>
      </c>
      <c r="E536">
        <v>18</v>
      </c>
      <c r="F536">
        <v>0</v>
      </c>
      <c r="G536">
        <v>0.19316488544388613</v>
      </c>
      <c r="H536">
        <v>9.126646815999985</v>
      </c>
      <c r="I536">
        <v>36</v>
      </c>
      <c r="J536">
        <v>8040</v>
      </c>
      <c r="K536">
        <v>4</v>
      </c>
      <c r="L536">
        <v>5</v>
      </c>
      <c r="M536">
        <v>4</v>
      </c>
      <c r="N536">
        <v>5</v>
      </c>
    </row>
    <row r="537" spans="1:14">
      <c r="A537">
        <v>12</v>
      </c>
      <c r="B537">
        <v>2</v>
      </c>
      <c r="C537">
        <v>1085</v>
      </c>
      <c r="D537" s="131">
        <v>0.35212431308295472</v>
      </c>
      <c r="E537">
        <v>9</v>
      </c>
      <c r="F537">
        <v>0</v>
      </c>
      <c r="G537">
        <v>0.1041612414981974</v>
      </c>
      <c r="H537">
        <v>11.359624573999994</v>
      </c>
      <c r="I537">
        <v>36</v>
      </c>
      <c r="J537">
        <v>8040</v>
      </c>
      <c r="K537">
        <v>2</v>
      </c>
      <c r="L537">
        <v>2</v>
      </c>
      <c r="M537">
        <v>3</v>
      </c>
      <c r="N537">
        <v>2</v>
      </c>
    </row>
    <row r="538" spans="1:14">
      <c r="A538">
        <v>13</v>
      </c>
      <c r="B538">
        <v>1</v>
      </c>
      <c r="C538">
        <v>1268</v>
      </c>
      <c r="D538" s="131">
        <v>0.43555677175201818</v>
      </c>
      <c r="E538">
        <v>17</v>
      </c>
      <c r="F538">
        <v>0</v>
      </c>
      <c r="G538">
        <v>0.18319223593865616</v>
      </c>
      <c r="H538">
        <v>9.1836478259999996</v>
      </c>
      <c r="I538">
        <v>35</v>
      </c>
      <c r="J538">
        <v>8040</v>
      </c>
      <c r="K538">
        <v>4</v>
      </c>
      <c r="L538">
        <v>5</v>
      </c>
      <c r="M538">
        <v>4</v>
      </c>
      <c r="N538">
        <v>4</v>
      </c>
    </row>
    <row r="539" spans="1:14">
      <c r="A539">
        <v>13</v>
      </c>
      <c r="B539">
        <v>2</v>
      </c>
      <c r="C539">
        <v>1057</v>
      </c>
      <c r="D539" s="131">
        <v>0.3520650789650932</v>
      </c>
      <c r="E539">
        <v>9</v>
      </c>
      <c r="F539">
        <v>0</v>
      </c>
      <c r="G539">
        <v>0.10416203565213733</v>
      </c>
      <c r="H539">
        <v>11.361535804000019</v>
      </c>
      <c r="I539">
        <v>36</v>
      </c>
      <c r="J539">
        <v>8040</v>
      </c>
      <c r="K539">
        <v>2</v>
      </c>
      <c r="L539">
        <v>2</v>
      </c>
      <c r="M539">
        <v>3</v>
      </c>
      <c r="N539">
        <v>2</v>
      </c>
    </row>
    <row r="540" spans="1:14">
      <c r="A540">
        <v>14</v>
      </c>
      <c r="B540">
        <v>1</v>
      </c>
      <c r="C540">
        <v>1154</v>
      </c>
      <c r="D540" s="131">
        <v>0.4271842270368012</v>
      </c>
      <c r="E540">
        <v>16</v>
      </c>
      <c r="F540">
        <v>0</v>
      </c>
      <c r="G540">
        <v>0.17327786545842258</v>
      </c>
      <c r="H540">
        <v>9.3636416019999889</v>
      </c>
      <c r="I540">
        <v>36</v>
      </c>
      <c r="J540">
        <v>8040</v>
      </c>
      <c r="K540">
        <v>4</v>
      </c>
      <c r="L540">
        <v>4</v>
      </c>
      <c r="M540">
        <v>4</v>
      </c>
      <c r="N540">
        <v>4</v>
      </c>
    </row>
    <row r="541" spans="1:14">
      <c r="A541">
        <v>14</v>
      </c>
      <c r="B541">
        <v>2</v>
      </c>
      <c r="C541">
        <v>1223</v>
      </c>
      <c r="D541" s="131">
        <v>0.33591993192555702</v>
      </c>
      <c r="E541">
        <v>8</v>
      </c>
      <c r="F541">
        <v>0</v>
      </c>
      <c r="G541">
        <v>9.4385382325911704E-2</v>
      </c>
      <c r="H541">
        <v>11.907599460000002</v>
      </c>
      <c r="I541">
        <v>37</v>
      </c>
      <c r="J541">
        <v>8040</v>
      </c>
      <c r="K541">
        <v>2</v>
      </c>
      <c r="L541">
        <v>2</v>
      </c>
      <c r="M541">
        <v>2</v>
      </c>
      <c r="N541">
        <v>2</v>
      </c>
    </row>
    <row r="542" spans="1:14">
      <c r="A542">
        <v>15</v>
      </c>
      <c r="B542">
        <v>1</v>
      </c>
      <c r="C542">
        <v>982</v>
      </c>
      <c r="D542" s="131">
        <v>0.43710680573622418</v>
      </c>
      <c r="E542">
        <v>17</v>
      </c>
      <c r="F542">
        <v>0</v>
      </c>
      <c r="G542">
        <v>0.18317662371120147</v>
      </c>
      <c r="H542">
        <v>9.1510814919999994</v>
      </c>
      <c r="I542">
        <v>36</v>
      </c>
      <c r="J542">
        <v>8040</v>
      </c>
      <c r="K542">
        <v>4</v>
      </c>
      <c r="L542">
        <v>5</v>
      </c>
      <c r="M542">
        <v>4</v>
      </c>
      <c r="N542">
        <v>4</v>
      </c>
    </row>
    <row r="543" spans="1:14">
      <c r="A543">
        <v>15</v>
      </c>
      <c r="B543">
        <v>2</v>
      </c>
      <c r="C543">
        <v>1108</v>
      </c>
      <c r="D543" s="131">
        <v>0.3538417704025863</v>
      </c>
      <c r="E543">
        <v>9</v>
      </c>
      <c r="F543">
        <v>0</v>
      </c>
      <c r="G543">
        <v>0.10413829264912784</v>
      </c>
      <c r="H543">
        <v>11.304487866000015</v>
      </c>
      <c r="I543">
        <v>36</v>
      </c>
      <c r="J543">
        <v>8040</v>
      </c>
      <c r="K543">
        <v>2</v>
      </c>
      <c r="L543">
        <v>3</v>
      </c>
      <c r="M543">
        <v>2</v>
      </c>
      <c r="N543">
        <v>2</v>
      </c>
    </row>
    <row r="544" spans="1:14">
      <c r="A544">
        <v>16</v>
      </c>
      <c r="B544">
        <v>1</v>
      </c>
      <c r="C544">
        <v>1385</v>
      </c>
      <c r="D544" s="131">
        <v>0.43521060038211756</v>
      </c>
      <c r="E544">
        <v>21</v>
      </c>
      <c r="F544">
        <v>0</v>
      </c>
      <c r="G544">
        <v>0.22319573276226032</v>
      </c>
      <c r="H544">
        <v>9.190952601999987</v>
      </c>
      <c r="I544">
        <v>36</v>
      </c>
      <c r="J544">
        <v>8040</v>
      </c>
      <c r="K544">
        <v>5</v>
      </c>
      <c r="L544">
        <v>6</v>
      </c>
      <c r="M544">
        <v>5</v>
      </c>
      <c r="N544">
        <v>5</v>
      </c>
    </row>
    <row r="545" spans="1:14">
      <c r="A545">
        <v>16</v>
      </c>
      <c r="B545">
        <v>2</v>
      </c>
      <c r="C545">
        <v>1487</v>
      </c>
      <c r="D545" s="131">
        <v>0.34770190434457238</v>
      </c>
      <c r="E545">
        <v>9</v>
      </c>
      <c r="F545">
        <v>0</v>
      </c>
      <c r="G545">
        <v>0.10422102752153795</v>
      </c>
      <c r="H545">
        <v>11.504107253999974</v>
      </c>
      <c r="I545">
        <v>37</v>
      </c>
      <c r="J545">
        <v>8040</v>
      </c>
      <c r="K545">
        <v>2</v>
      </c>
      <c r="L545">
        <v>3</v>
      </c>
      <c r="M545">
        <v>2</v>
      </c>
      <c r="N545">
        <v>2</v>
      </c>
    </row>
    <row r="546" spans="1:14">
      <c r="A546">
        <v>17</v>
      </c>
      <c r="B546">
        <v>1</v>
      </c>
      <c r="C546">
        <v>1951</v>
      </c>
      <c r="D546" s="131">
        <v>0.42963970532677065</v>
      </c>
      <c r="E546">
        <v>16</v>
      </c>
      <c r="F546">
        <v>0</v>
      </c>
      <c r="G546">
        <v>0.17325252188190987</v>
      </c>
      <c r="H546">
        <v>9.3101264859999944</v>
      </c>
      <c r="I546">
        <v>35</v>
      </c>
      <c r="J546">
        <v>8040</v>
      </c>
      <c r="K546">
        <v>4</v>
      </c>
      <c r="L546">
        <v>4</v>
      </c>
      <c r="M546">
        <v>4</v>
      </c>
      <c r="N546">
        <v>4</v>
      </c>
    </row>
    <row r="547" spans="1:14">
      <c r="A547">
        <v>17</v>
      </c>
      <c r="B547">
        <v>2</v>
      </c>
      <c r="C547">
        <v>1002</v>
      </c>
      <c r="D547" s="131">
        <v>0.33975999384613115</v>
      </c>
      <c r="E547">
        <v>8</v>
      </c>
      <c r="F547">
        <v>0</v>
      </c>
      <c r="G547">
        <v>9.4330980991583699E-2</v>
      </c>
      <c r="H547">
        <v>11.773016459999997</v>
      </c>
      <c r="I547">
        <v>36</v>
      </c>
      <c r="J547">
        <v>8040</v>
      </c>
      <c r="K547">
        <v>2</v>
      </c>
      <c r="L547">
        <v>2</v>
      </c>
      <c r="M547">
        <v>2</v>
      </c>
      <c r="N547">
        <v>2</v>
      </c>
    </row>
    <row r="548" spans="1:14">
      <c r="A548">
        <v>18</v>
      </c>
      <c r="B548">
        <v>1</v>
      </c>
      <c r="C548">
        <v>1083</v>
      </c>
      <c r="D548" s="131">
        <v>0.43766999203701956</v>
      </c>
      <c r="E548">
        <v>19</v>
      </c>
      <c r="F548">
        <v>0</v>
      </c>
      <c r="G548">
        <v>0.20317096946682853</v>
      </c>
      <c r="H548">
        <v>9.1393060359999883</v>
      </c>
      <c r="I548">
        <v>36</v>
      </c>
      <c r="J548">
        <v>8040</v>
      </c>
      <c r="K548">
        <v>5</v>
      </c>
      <c r="L548">
        <v>5</v>
      </c>
      <c r="M548">
        <v>5</v>
      </c>
      <c r="N548">
        <v>4</v>
      </c>
    </row>
    <row r="549" spans="1:14">
      <c r="A549">
        <v>18</v>
      </c>
      <c r="B549">
        <v>2</v>
      </c>
      <c r="C549">
        <v>824</v>
      </c>
      <c r="D549" s="131">
        <v>0.34887840074630927</v>
      </c>
      <c r="E549">
        <v>9</v>
      </c>
      <c r="F549">
        <v>0</v>
      </c>
      <c r="G549">
        <v>0.10420502401824512</v>
      </c>
      <c r="H549">
        <v>11.465312817999999</v>
      </c>
      <c r="I549">
        <v>36</v>
      </c>
      <c r="J549">
        <v>8040</v>
      </c>
      <c r="K549">
        <v>2</v>
      </c>
      <c r="L549">
        <v>2</v>
      </c>
      <c r="M549">
        <v>3</v>
      </c>
      <c r="N549">
        <v>2</v>
      </c>
    </row>
    <row r="550" spans="1:14">
      <c r="A550">
        <v>19</v>
      </c>
      <c r="B550">
        <v>1</v>
      </c>
      <c r="C550">
        <v>1347</v>
      </c>
      <c r="D550" s="131">
        <v>0.43618421317713918</v>
      </c>
      <c r="E550">
        <v>17</v>
      </c>
      <c r="F550">
        <v>0</v>
      </c>
      <c r="G550">
        <v>0.18318590732246304</v>
      </c>
      <c r="H550">
        <v>9.170437350000002</v>
      </c>
      <c r="I550">
        <v>36</v>
      </c>
      <c r="J550">
        <v>8040</v>
      </c>
      <c r="K550">
        <v>4</v>
      </c>
      <c r="L550">
        <v>4</v>
      </c>
      <c r="M550">
        <v>5</v>
      </c>
      <c r="N550">
        <v>4</v>
      </c>
    </row>
    <row r="551" spans="1:14">
      <c r="A551">
        <v>19</v>
      </c>
      <c r="B551">
        <v>2</v>
      </c>
      <c r="C551">
        <v>1159</v>
      </c>
      <c r="D551" s="131">
        <v>0.35564741526805449</v>
      </c>
      <c r="E551">
        <v>9</v>
      </c>
      <c r="F551">
        <v>0</v>
      </c>
      <c r="G551">
        <v>0.10411432503365306</v>
      </c>
      <c r="H551">
        <v>11.24709425200002</v>
      </c>
      <c r="I551">
        <v>36</v>
      </c>
      <c r="J551">
        <v>8040</v>
      </c>
      <c r="K551">
        <v>2</v>
      </c>
      <c r="L551">
        <v>2</v>
      </c>
      <c r="M551">
        <v>3</v>
      </c>
      <c r="N551">
        <v>2</v>
      </c>
    </row>
    <row r="552" spans="1:14">
      <c r="A552">
        <v>20</v>
      </c>
      <c r="B552">
        <v>1</v>
      </c>
      <c r="C552">
        <v>1202</v>
      </c>
      <c r="D552" s="131">
        <v>0.43867010382327537</v>
      </c>
      <c r="E552">
        <v>18</v>
      </c>
      <c r="F552">
        <v>0</v>
      </c>
      <c r="G552">
        <v>0.19316095247465256</v>
      </c>
      <c r="H552">
        <v>9.1184695860000033</v>
      </c>
      <c r="I552">
        <v>35</v>
      </c>
      <c r="J552">
        <v>8040</v>
      </c>
      <c r="K552">
        <v>4</v>
      </c>
      <c r="L552">
        <v>4</v>
      </c>
      <c r="M552">
        <v>5</v>
      </c>
      <c r="N552">
        <v>5</v>
      </c>
    </row>
    <row r="553" spans="1:14">
      <c r="A553">
        <v>20</v>
      </c>
      <c r="B553">
        <v>2</v>
      </c>
      <c r="C553">
        <v>1005</v>
      </c>
      <c r="D553" s="131">
        <v>0.35324743992307522</v>
      </c>
      <c r="E553">
        <v>9</v>
      </c>
      <c r="F553">
        <v>0</v>
      </c>
      <c r="G553">
        <v>0.10414621732098288</v>
      </c>
      <c r="H553">
        <v>11.323507400000006</v>
      </c>
      <c r="I553">
        <v>37</v>
      </c>
      <c r="J553">
        <v>8040</v>
      </c>
      <c r="K553">
        <v>2</v>
      </c>
      <c r="L553">
        <v>3</v>
      </c>
      <c r="M553">
        <v>2</v>
      </c>
      <c r="N553">
        <v>2</v>
      </c>
    </row>
    <row r="554" spans="1:14">
      <c r="A554">
        <v>21</v>
      </c>
      <c r="B554">
        <v>1</v>
      </c>
      <c r="C554">
        <v>1937</v>
      </c>
      <c r="D554" s="131">
        <v>0.23626968348128671</v>
      </c>
      <c r="E554">
        <v>15</v>
      </c>
      <c r="F554">
        <v>0</v>
      </c>
      <c r="G554">
        <v>0.16617573413293008</v>
      </c>
      <c r="H554">
        <v>16.929806401999993</v>
      </c>
      <c r="I554">
        <v>35</v>
      </c>
      <c r="J554">
        <v>8040</v>
      </c>
      <c r="K554">
        <v>5</v>
      </c>
      <c r="L554">
        <v>4</v>
      </c>
      <c r="M554">
        <v>4</v>
      </c>
      <c r="N554">
        <v>2</v>
      </c>
    </row>
    <row r="555" spans="1:14">
      <c r="A555">
        <v>21</v>
      </c>
      <c r="B555">
        <v>2</v>
      </c>
      <c r="C555">
        <v>756</v>
      </c>
      <c r="D555" s="131">
        <v>0.18230140606706396</v>
      </c>
      <c r="E555">
        <v>7</v>
      </c>
      <c r="F555">
        <v>0</v>
      </c>
      <c r="G555">
        <v>8.7636131452724697E-2</v>
      </c>
      <c r="H555">
        <v>21.941684852000009</v>
      </c>
      <c r="I555">
        <v>38</v>
      </c>
      <c r="J555">
        <v>8040</v>
      </c>
      <c r="K555">
        <v>2</v>
      </c>
      <c r="L555">
        <v>2</v>
      </c>
      <c r="M555">
        <v>2</v>
      </c>
      <c r="N555">
        <v>1</v>
      </c>
    </row>
    <row r="556" spans="1:14">
      <c r="A556">
        <v>22</v>
      </c>
      <c r="B556">
        <v>1</v>
      </c>
      <c r="C556">
        <v>2283</v>
      </c>
      <c r="D556" s="131">
        <v>0.21049087776686207</v>
      </c>
      <c r="E556">
        <v>13</v>
      </c>
      <c r="F556">
        <v>0</v>
      </c>
      <c r="G556">
        <v>0.14681082034545942</v>
      </c>
      <c r="H556">
        <v>19.003198820000012</v>
      </c>
      <c r="I556">
        <v>36</v>
      </c>
      <c r="J556">
        <v>8040</v>
      </c>
      <c r="K556">
        <v>5</v>
      </c>
      <c r="L556">
        <v>3</v>
      </c>
      <c r="M556">
        <v>3</v>
      </c>
      <c r="N556">
        <v>2</v>
      </c>
    </row>
    <row r="557" spans="1:14">
      <c r="A557">
        <v>22</v>
      </c>
      <c r="B557">
        <v>2</v>
      </c>
      <c r="C557">
        <v>1121</v>
      </c>
      <c r="D557" s="131">
        <v>0.17071898768237401</v>
      </c>
      <c r="E557">
        <v>7</v>
      </c>
      <c r="F557">
        <v>0</v>
      </c>
      <c r="G557">
        <v>8.8026277721038187E-2</v>
      </c>
      <c r="H557">
        <v>23.430317004000035</v>
      </c>
      <c r="I557">
        <v>37</v>
      </c>
      <c r="J557">
        <v>8040</v>
      </c>
      <c r="K557">
        <v>2</v>
      </c>
      <c r="L557">
        <v>2</v>
      </c>
      <c r="M557">
        <v>2</v>
      </c>
      <c r="N557">
        <v>1</v>
      </c>
    </row>
    <row r="558" spans="1:14">
      <c r="A558">
        <v>23</v>
      </c>
      <c r="B558">
        <v>1</v>
      </c>
      <c r="C558">
        <v>2195</v>
      </c>
      <c r="D558" s="131">
        <v>0.23043817971731964</v>
      </c>
      <c r="E558">
        <v>15</v>
      </c>
      <c r="F558">
        <v>0</v>
      </c>
      <c r="G558">
        <v>0.16631104758358803</v>
      </c>
      <c r="H558">
        <v>17.358234668000033</v>
      </c>
      <c r="I558">
        <v>35</v>
      </c>
      <c r="J558">
        <v>8040</v>
      </c>
      <c r="K558">
        <v>6</v>
      </c>
      <c r="L558">
        <v>3</v>
      </c>
      <c r="M558">
        <v>4</v>
      </c>
      <c r="N558">
        <v>2</v>
      </c>
    </row>
    <row r="559" spans="1:14">
      <c r="A559">
        <v>23</v>
      </c>
      <c r="B559">
        <v>2</v>
      </c>
      <c r="C559">
        <v>844</v>
      </c>
      <c r="D559" s="131">
        <v>0.18734886333009063</v>
      </c>
      <c r="E559">
        <v>8</v>
      </c>
      <c r="F559">
        <v>0</v>
      </c>
      <c r="G559">
        <v>9.7476306220467143E-2</v>
      </c>
      <c r="H559">
        <v>21.350543200000022</v>
      </c>
      <c r="I559">
        <v>38</v>
      </c>
      <c r="J559">
        <v>8040</v>
      </c>
      <c r="K559">
        <v>3</v>
      </c>
      <c r="L559">
        <v>2</v>
      </c>
      <c r="M559">
        <v>2</v>
      </c>
      <c r="N559">
        <v>1</v>
      </c>
    </row>
    <row r="560" spans="1:14">
      <c r="A560">
        <v>24</v>
      </c>
      <c r="B560">
        <v>1</v>
      </c>
      <c r="C560">
        <v>1362</v>
      </c>
      <c r="D560" s="131">
        <v>0.23095618009685998</v>
      </c>
      <c r="E560">
        <v>17</v>
      </c>
      <c r="F560">
        <v>0</v>
      </c>
      <c r="G560">
        <v>0.18629884403710953</v>
      </c>
      <c r="H560">
        <v>17.319302727999972</v>
      </c>
      <c r="I560">
        <v>36</v>
      </c>
      <c r="J560">
        <v>8040</v>
      </c>
      <c r="K560">
        <v>7</v>
      </c>
      <c r="L560">
        <v>4</v>
      </c>
      <c r="M560">
        <v>3</v>
      </c>
      <c r="N560">
        <v>3</v>
      </c>
    </row>
    <row r="561" spans="1:14">
      <c r="A561">
        <v>24</v>
      </c>
      <c r="B561">
        <v>2</v>
      </c>
      <c r="C561">
        <v>1542</v>
      </c>
      <c r="D561" s="131">
        <v>0.18093441313813799</v>
      </c>
      <c r="E561">
        <v>8</v>
      </c>
      <c r="F561">
        <v>0</v>
      </c>
      <c r="G561">
        <v>9.7680434810119593E-2</v>
      </c>
      <c r="H561">
        <v>22.107458336000018</v>
      </c>
      <c r="I561">
        <v>38</v>
      </c>
      <c r="J561">
        <v>8040</v>
      </c>
      <c r="K561">
        <v>3</v>
      </c>
      <c r="L561">
        <v>2</v>
      </c>
      <c r="M561">
        <v>2</v>
      </c>
      <c r="N561">
        <v>1</v>
      </c>
    </row>
    <row r="562" spans="1:14">
      <c r="A562">
        <v>25</v>
      </c>
      <c r="B562">
        <v>1</v>
      </c>
      <c r="C562">
        <v>920</v>
      </c>
      <c r="D562" s="131">
        <v>0.20114698421553065</v>
      </c>
      <c r="E562">
        <v>12</v>
      </c>
      <c r="F562">
        <v>0</v>
      </c>
      <c r="G562">
        <v>0.13706719529928338</v>
      </c>
      <c r="H562">
        <v>19.885955613999993</v>
      </c>
      <c r="I562">
        <v>36</v>
      </c>
      <c r="J562">
        <v>8040</v>
      </c>
      <c r="K562">
        <v>5</v>
      </c>
      <c r="L562">
        <v>3</v>
      </c>
      <c r="M562">
        <v>2</v>
      </c>
      <c r="N562">
        <v>2</v>
      </c>
    </row>
    <row r="563" spans="1:14">
      <c r="A563">
        <v>25</v>
      </c>
      <c r="B563">
        <v>2</v>
      </c>
      <c r="C563">
        <v>562</v>
      </c>
      <c r="D563" s="131">
        <v>0.16237016834454815</v>
      </c>
      <c r="E563">
        <v>8</v>
      </c>
      <c r="F563">
        <v>0</v>
      </c>
      <c r="G563">
        <v>9.8330089536250706E-2</v>
      </c>
      <c r="H563">
        <v>24.635067147999951</v>
      </c>
      <c r="I563">
        <v>37</v>
      </c>
      <c r="J563">
        <v>8040</v>
      </c>
      <c r="K563">
        <v>4</v>
      </c>
      <c r="L563">
        <v>1</v>
      </c>
      <c r="M563">
        <v>1</v>
      </c>
      <c r="N563">
        <v>2</v>
      </c>
    </row>
    <row r="564" spans="1:14">
      <c r="A564">
        <v>26</v>
      </c>
      <c r="B564">
        <v>1</v>
      </c>
      <c r="C564">
        <v>1742</v>
      </c>
      <c r="D564" s="131">
        <v>0.20429968080596841</v>
      </c>
      <c r="E564">
        <v>12</v>
      </c>
      <c r="F564">
        <v>0</v>
      </c>
      <c r="G564">
        <v>0.13697894770203997</v>
      </c>
      <c r="H564">
        <v>19.579081006000006</v>
      </c>
      <c r="I564">
        <v>35</v>
      </c>
      <c r="J564">
        <v>8040</v>
      </c>
      <c r="K564">
        <v>4</v>
      </c>
      <c r="L564">
        <v>3</v>
      </c>
      <c r="M564">
        <v>3</v>
      </c>
      <c r="N564">
        <v>2</v>
      </c>
    </row>
    <row r="565" spans="1:14">
      <c r="A565">
        <v>26</v>
      </c>
      <c r="B565">
        <v>2</v>
      </c>
      <c r="C565">
        <v>1211</v>
      </c>
      <c r="D565" s="131">
        <v>0.16818477541371255</v>
      </c>
      <c r="E565">
        <v>7</v>
      </c>
      <c r="F565">
        <v>0</v>
      </c>
      <c r="G565">
        <v>8.8116366866132362E-2</v>
      </c>
      <c r="H565">
        <v>23.783365588000002</v>
      </c>
      <c r="I565">
        <v>38</v>
      </c>
      <c r="J565">
        <v>8040</v>
      </c>
      <c r="K565">
        <v>2</v>
      </c>
      <c r="L565">
        <v>2</v>
      </c>
      <c r="M565">
        <v>2</v>
      </c>
      <c r="N565">
        <v>1</v>
      </c>
    </row>
    <row r="566" spans="1:14">
      <c r="A566">
        <v>27</v>
      </c>
      <c r="B566">
        <v>1</v>
      </c>
      <c r="C566">
        <v>838</v>
      </c>
      <c r="D566" s="131">
        <v>0.21857826914338788</v>
      </c>
      <c r="E566">
        <v>13</v>
      </c>
      <c r="F566">
        <v>0</v>
      </c>
      <c r="G566">
        <v>0.14660087600677821</v>
      </c>
      <c r="H566">
        <v>18.300080862000012</v>
      </c>
      <c r="I566">
        <v>35</v>
      </c>
      <c r="J566">
        <v>8040</v>
      </c>
      <c r="K566">
        <v>5</v>
      </c>
      <c r="L566">
        <v>3</v>
      </c>
      <c r="M566">
        <v>3</v>
      </c>
      <c r="N566">
        <v>2</v>
      </c>
    </row>
    <row r="567" spans="1:14">
      <c r="A567">
        <v>27</v>
      </c>
      <c r="B567">
        <v>2</v>
      </c>
      <c r="C567">
        <v>543</v>
      </c>
      <c r="D567" s="131">
        <v>0.17277017661722488</v>
      </c>
      <c r="E567">
        <v>7</v>
      </c>
      <c r="F567">
        <v>0</v>
      </c>
      <c r="G567">
        <v>8.7954655401826135E-2</v>
      </c>
      <c r="H567">
        <v>23.152143954000028</v>
      </c>
      <c r="I567">
        <v>37</v>
      </c>
      <c r="J567">
        <v>8040</v>
      </c>
      <c r="K567">
        <v>2</v>
      </c>
      <c r="L567">
        <v>2</v>
      </c>
      <c r="M567">
        <v>2</v>
      </c>
      <c r="N567">
        <v>1</v>
      </c>
    </row>
    <row r="568" spans="1:14">
      <c r="A568">
        <v>28</v>
      </c>
      <c r="B568">
        <v>1</v>
      </c>
      <c r="C568">
        <v>1581</v>
      </c>
      <c r="D568" s="131">
        <v>0.22260986455295678</v>
      </c>
      <c r="E568">
        <v>17</v>
      </c>
      <c r="F568">
        <v>0</v>
      </c>
      <c r="G568">
        <v>0.1865000476423479</v>
      </c>
      <c r="H568">
        <v>17.968655647999991</v>
      </c>
      <c r="I568">
        <v>35</v>
      </c>
      <c r="J568">
        <v>8040</v>
      </c>
      <c r="K568">
        <v>7</v>
      </c>
      <c r="L568">
        <v>4</v>
      </c>
      <c r="M568">
        <v>3</v>
      </c>
      <c r="N568">
        <v>3</v>
      </c>
    </row>
    <row r="569" spans="1:14">
      <c r="A569">
        <v>28</v>
      </c>
      <c r="B569">
        <v>2</v>
      </c>
      <c r="C569">
        <v>563</v>
      </c>
      <c r="D569" s="131">
        <v>0.12747337937263933</v>
      </c>
      <c r="E569">
        <v>4</v>
      </c>
      <c r="F569">
        <v>0</v>
      </c>
      <c r="G569">
        <v>5.9869800206222609E-2</v>
      </c>
      <c r="H569">
        <v>31.379100637999976</v>
      </c>
      <c r="I569">
        <v>34</v>
      </c>
      <c r="J569">
        <v>8040</v>
      </c>
      <c r="K569">
        <v>1</v>
      </c>
      <c r="L569">
        <v>1</v>
      </c>
      <c r="M569">
        <v>1</v>
      </c>
      <c r="N569">
        <v>1</v>
      </c>
    </row>
    <row r="570" spans="1:14">
      <c r="A570">
        <v>29</v>
      </c>
      <c r="B570">
        <v>1</v>
      </c>
      <c r="C570">
        <v>1885</v>
      </c>
      <c r="D570" s="131">
        <v>0.22101488081931875</v>
      </c>
      <c r="E570">
        <v>14</v>
      </c>
      <c r="F570">
        <v>0</v>
      </c>
      <c r="G570">
        <v>0.15653964415070465</v>
      </c>
      <c r="H570">
        <v>18.098328877999979</v>
      </c>
      <c r="I570">
        <v>36</v>
      </c>
      <c r="J570">
        <v>8040</v>
      </c>
      <c r="K570">
        <v>5</v>
      </c>
      <c r="L570">
        <v>3</v>
      </c>
      <c r="M570">
        <v>4</v>
      </c>
      <c r="N570">
        <v>2</v>
      </c>
    </row>
    <row r="571" spans="1:14">
      <c r="A571">
        <v>29</v>
      </c>
      <c r="B571">
        <v>2</v>
      </c>
      <c r="C571">
        <v>907</v>
      </c>
      <c r="D571" s="131">
        <v>0.17399598962089632</v>
      </c>
      <c r="E571">
        <v>7</v>
      </c>
      <c r="F571">
        <v>0</v>
      </c>
      <c r="G571">
        <v>8.7912392093683067E-2</v>
      </c>
      <c r="H571">
        <v>22.989035601999955</v>
      </c>
      <c r="I571">
        <v>37</v>
      </c>
      <c r="J571">
        <v>8040</v>
      </c>
      <c r="K571">
        <v>2</v>
      </c>
      <c r="L571">
        <v>2</v>
      </c>
      <c r="M571">
        <v>2</v>
      </c>
      <c r="N571">
        <v>1</v>
      </c>
    </row>
    <row r="572" spans="1:14">
      <c r="A572">
        <v>30</v>
      </c>
      <c r="B572">
        <v>1</v>
      </c>
      <c r="C572">
        <v>935</v>
      </c>
      <c r="D572" s="131">
        <v>0.20196646470093585</v>
      </c>
      <c r="E572">
        <v>12</v>
      </c>
      <c r="F572">
        <v>0</v>
      </c>
      <c r="G572">
        <v>0.13704408058288345</v>
      </c>
      <c r="H572">
        <v>19.805268195999993</v>
      </c>
      <c r="I572">
        <v>36</v>
      </c>
      <c r="J572">
        <v>8040</v>
      </c>
      <c r="K572">
        <v>4</v>
      </c>
      <c r="L572">
        <v>3</v>
      </c>
      <c r="M572">
        <v>3</v>
      </c>
      <c r="N572">
        <v>2</v>
      </c>
    </row>
    <row r="573" spans="1:14">
      <c r="A573">
        <v>30</v>
      </c>
      <c r="B573">
        <v>2</v>
      </c>
      <c r="C573">
        <v>1402</v>
      </c>
      <c r="D573" s="131">
        <v>0.16352471446764788</v>
      </c>
      <c r="E573">
        <v>7</v>
      </c>
      <c r="F573">
        <v>0</v>
      </c>
      <c r="G573">
        <v>8.8286848496180875E-2</v>
      </c>
      <c r="H573">
        <v>24.461134288000054</v>
      </c>
      <c r="I573">
        <v>37</v>
      </c>
      <c r="J573">
        <v>8040</v>
      </c>
      <c r="K573">
        <v>2</v>
      </c>
      <c r="L573">
        <v>2</v>
      </c>
      <c r="M573">
        <v>2</v>
      </c>
      <c r="N573">
        <v>1</v>
      </c>
    </row>
    <row r="574" spans="1:14">
      <c r="A574">
        <v>31</v>
      </c>
      <c r="B574">
        <v>1</v>
      </c>
      <c r="C574">
        <v>347</v>
      </c>
      <c r="D574" s="131">
        <v>0.22789715213240713</v>
      </c>
      <c r="E574">
        <v>7</v>
      </c>
      <c r="F574">
        <v>0</v>
      </c>
      <c r="G574">
        <v>8.6371445773677044E-2</v>
      </c>
      <c r="H574">
        <v>17.551777030000004</v>
      </c>
      <c r="I574">
        <v>37</v>
      </c>
      <c r="J574">
        <v>8040</v>
      </c>
      <c r="K574">
        <v>2</v>
      </c>
      <c r="L574">
        <v>2</v>
      </c>
      <c r="M574">
        <v>2</v>
      </c>
      <c r="N574">
        <v>1</v>
      </c>
    </row>
    <row r="575" spans="1:14">
      <c r="A575">
        <v>31</v>
      </c>
      <c r="B575">
        <v>2</v>
      </c>
      <c r="C575">
        <v>269</v>
      </c>
      <c r="D575" s="131">
        <v>0.19611461011514986</v>
      </c>
      <c r="E575">
        <v>5</v>
      </c>
      <c r="F575">
        <v>0</v>
      </c>
      <c r="G575">
        <v>6.7211947671102987E-2</v>
      </c>
      <c r="H575">
        <v>20.396236658000014</v>
      </c>
      <c r="I575">
        <v>38</v>
      </c>
      <c r="J575">
        <v>8040</v>
      </c>
      <c r="K575">
        <v>2</v>
      </c>
      <c r="L575">
        <v>1</v>
      </c>
      <c r="M575">
        <v>1</v>
      </c>
      <c r="N575">
        <v>1</v>
      </c>
    </row>
    <row r="576" spans="1:14">
      <c r="A576">
        <v>32</v>
      </c>
      <c r="B576">
        <v>1</v>
      </c>
      <c r="C576">
        <v>209</v>
      </c>
      <c r="D576" s="131">
        <v>0.22974135789607322</v>
      </c>
      <c r="E576">
        <v>7</v>
      </c>
      <c r="F576">
        <v>0</v>
      </c>
      <c r="G576">
        <v>8.6327521793433434E-2</v>
      </c>
      <c r="H576">
        <v>17.41088342400003</v>
      </c>
      <c r="I576">
        <v>37</v>
      </c>
      <c r="J576">
        <v>8040</v>
      </c>
      <c r="K576">
        <v>2</v>
      </c>
      <c r="L576">
        <v>2</v>
      </c>
      <c r="M576">
        <v>2</v>
      </c>
      <c r="N576">
        <v>1</v>
      </c>
    </row>
    <row r="577" spans="1:14">
      <c r="A577">
        <v>32</v>
      </c>
      <c r="B577">
        <v>2</v>
      </c>
      <c r="C577">
        <v>97</v>
      </c>
      <c r="D577" s="131">
        <v>0.19676080670443652</v>
      </c>
      <c r="E577">
        <v>5</v>
      </c>
      <c r="F577">
        <v>0</v>
      </c>
      <c r="G577">
        <v>6.7193084666513317E-2</v>
      </c>
      <c r="H577">
        <v>20.329251881999976</v>
      </c>
      <c r="I577">
        <v>38</v>
      </c>
      <c r="J577">
        <v>8040</v>
      </c>
      <c r="K577">
        <v>2</v>
      </c>
      <c r="L577">
        <v>1</v>
      </c>
      <c r="M577">
        <v>1</v>
      </c>
      <c r="N577">
        <v>1</v>
      </c>
    </row>
    <row r="578" spans="1:14">
      <c r="A578">
        <v>33</v>
      </c>
      <c r="B578">
        <v>1</v>
      </c>
      <c r="C578">
        <v>82</v>
      </c>
      <c r="D578" s="131">
        <v>0.23247996574050636</v>
      </c>
      <c r="E578">
        <v>7</v>
      </c>
      <c r="F578">
        <v>0</v>
      </c>
      <c r="G578">
        <v>8.6263155793069327E-2</v>
      </c>
      <c r="H578">
        <v>17.205783677999985</v>
      </c>
      <c r="I578">
        <v>37</v>
      </c>
      <c r="J578">
        <v>8040</v>
      </c>
      <c r="K578">
        <v>2</v>
      </c>
      <c r="L578">
        <v>2</v>
      </c>
      <c r="M578">
        <v>2</v>
      </c>
      <c r="N578">
        <v>1</v>
      </c>
    </row>
    <row r="579" spans="1:14">
      <c r="A579">
        <v>33</v>
      </c>
      <c r="B579">
        <v>2</v>
      </c>
      <c r="C579">
        <v>183</v>
      </c>
      <c r="D579" s="131">
        <v>0.19944760468852724</v>
      </c>
      <c r="E579">
        <v>5</v>
      </c>
      <c r="F579">
        <v>0</v>
      </c>
      <c r="G579">
        <v>6.7115531562057948E-2</v>
      </c>
      <c r="H579">
        <v>20.055392524000016</v>
      </c>
      <c r="I579">
        <v>38</v>
      </c>
      <c r="J579">
        <v>8040</v>
      </c>
      <c r="K579">
        <v>2</v>
      </c>
      <c r="L579">
        <v>1</v>
      </c>
      <c r="M579">
        <v>1</v>
      </c>
      <c r="N579">
        <v>1</v>
      </c>
    </row>
    <row r="580" spans="1:14">
      <c r="A580">
        <v>34</v>
      </c>
      <c r="B580">
        <v>1</v>
      </c>
      <c r="C580">
        <v>179</v>
      </c>
      <c r="D580" s="131">
        <v>0.22679830897212255</v>
      </c>
      <c r="E580">
        <v>7</v>
      </c>
      <c r="F580">
        <v>0</v>
      </c>
      <c r="G580">
        <v>8.6397843201148114E-2</v>
      </c>
      <c r="H580">
        <v>17.636815803999973</v>
      </c>
      <c r="I580">
        <v>37</v>
      </c>
      <c r="J580">
        <v>8040</v>
      </c>
      <c r="K580">
        <v>2</v>
      </c>
      <c r="L580">
        <v>2</v>
      </c>
      <c r="M580">
        <v>2</v>
      </c>
      <c r="N580">
        <v>1</v>
      </c>
    </row>
    <row r="581" spans="1:14">
      <c r="A581">
        <v>34</v>
      </c>
      <c r="B581">
        <v>2</v>
      </c>
      <c r="C581">
        <v>141</v>
      </c>
      <c r="D581" s="131">
        <v>0.1967365447989749</v>
      </c>
      <c r="E581">
        <v>5</v>
      </c>
      <c r="F581">
        <v>0</v>
      </c>
      <c r="G581">
        <v>6.7193791398196895E-2</v>
      </c>
      <c r="H581">
        <v>20.331758921999945</v>
      </c>
      <c r="I581">
        <v>38</v>
      </c>
      <c r="J581">
        <v>8040</v>
      </c>
      <c r="K581">
        <v>2</v>
      </c>
      <c r="L581">
        <v>1</v>
      </c>
      <c r="M581">
        <v>1</v>
      </c>
      <c r="N581">
        <v>1</v>
      </c>
    </row>
    <row r="582" spans="1:14">
      <c r="A582">
        <v>35</v>
      </c>
      <c r="B582">
        <v>1</v>
      </c>
      <c r="C582">
        <v>388</v>
      </c>
      <c r="D582" s="131">
        <v>0.23152862853506134</v>
      </c>
      <c r="E582">
        <v>7</v>
      </c>
      <c r="F582">
        <v>0</v>
      </c>
      <c r="G582">
        <v>8.6285400130194284E-2</v>
      </c>
      <c r="H582">
        <v>17.276481208</v>
      </c>
      <c r="I582">
        <v>38</v>
      </c>
      <c r="J582">
        <v>8040</v>
      </c>
      <c r="K582">
        <v>2</v>
      </c>
      <c r="L582">
        <v>2</v>
      </c>
      <c r="M582">
        <v>2</v>
      </c>
      <c r="N582">
        <v>1</v>
      </c>
    </row>
    <row r="583" spans="1:14">
      <c r="A583">
        <v>35</v>
      </c>
      <c r="B583">
        <v>2</v>
      </c>
      <c r="C583">
        <v>179</v>
      </c>
      <c r="D583" s="131">
        <v>0.19876609609187842</v>
      </c>
      <c r="E583">
        <v>5</v>
      </c>
      <c r="F583">
        <v>0</v>
      </c>
      <c r="G583">
        <v>6.7135070568378433E-2</v>
      </c>
      <c r="H583">
        <v>20.124156375999981</v>
      </c>
      <c r="I583">
        <v>38</v>
      </c>
      <c r="J583">
        <v>8040</v>
      </c>
      <c r="K583">
        <v>2</v>
      </c>
      <c r="L583">
        <v>1</v>
      </c>
      <c r="M583">
        <v>1</v>
      </c>
      <c r="N583">
        <v>1</v>
      </c>
    </row>
    <row r="584" spans="1:14">
      <c r="A584">
        <v>36</v>
      </c>
      <c r="B584">
        <v>1</v>
      </c>
      <c r="C584">
        <v>104</v>
      </c>
      <c r="D584" s="131">
        <v>0.23147507230108855</v>
      </c>
      <c r="E584">
        <v>7</v>
      </c>
      <c r="F584">
        <v>0</v>
      </c>
      <c r="G584">
        <v>8.6286656014084334E-2</v>
      </c>
      <c r="H584">
        <v>17.280478455999987</v>
      </c>
      <c r="I584">
        <v>36</v>
      </c>
      <c r="J584">
        <v>8040</v>
      </c>
      <c r="K584">
        <v>2</v>
      </c>
      <c r="L584">
        <v>2</v>
      </c>
      <c r="M584">
        <v>2</v>
      </c>
      <c r="N584">
        <v>1</v>
      </c>
    </row>
    <row r="585" spans="1:14">
      <c r="A585">
        <v>36</v>
      </c>
      <c r="B585">
        <v>2</v>
      </c>
      <c r="C585">
        <v>169</v>
      </c>
      <c r="D585" s="131">
        <v>0.19754102268365309</v>
      </c>
      <c r="E585">
        <v>5</v>
      </c>
      <c r="F585">
        <v>0</v>
      </c>
      <c r="G585">
        <v>6.7170419300371431E-2</v>
      </c>
      <c r="H585">
        <v>20.248958649999981</v>
      </c>
      <c r="I585">
        <v>38</v>
      </c>
      <c r="J585">
        <v>8040</v>
      </c>
      <c r="K585">
        <v>2</v>
      </c>
      <c r="L585">
        <v>1</v>
      </c>
      <c r="M585">
        <v>1</v>
      </c>
      <c r="N585">
        <v>1</v>
      </c>
    </row>
    <row r="586" spans="1:14">
      <c r="A586">
        <v>37</v>
      </c>
      <c r="B586">
        <v>1</v>
      </c>
      <c r="C586">
        <v>297</v>
      </c>
      <c r="D586" s="131">
        <v>0.23274032674119607</v>
      </c>
      <c r="E586">
        <v>7</v>
      </c>
      <c r="F586">
        <v>0</v>
      </c>
      <c r="G586">
        <v>8.6257089130004239E-2</v>
      </c>
      <c r="H586">
        <v>17.186535981999988</v>
      </c>
      <c r="I586">
        <v>37</v>
      </c>
      <c r="J586">
        <v>8040</v>
      </c>
      <c r="K586">
        <v>2</v>
      </c>
      <c r="L586">
        <v>2</v>
      </c>
      <c r="M586">
        <v>2</v>
      </c>
      <c r="N586">
        <v>1</v>
      </c>
    </row>
    <row r="587" spans="1:14">
      <c r="A587">
        <v>37</v>
      </c>
      <c r="B587">
        <v>2</v>
      </c>
      <c r="C587">
        <v>121</v>
      </c>
      <c r="D587" s="131">
        <v>0.20126735227949458</v>
      </c>
      <c r="E587">
        <v>5</v>
      </c>
      <c r="F587">
        <v>0</v>
      </c>
      <c r="G587">
        <v>6.7063792271912961E-2</v>
      </c>
      <c r="H587">
        <v>19.874062805999987</v>
      </c>
      <c r="I587">
        <v>38</v>
      </c>
      <c r="J587">
        <v>8040</v>
      </c>
      <c r="K587">
        <v>2</v>
      </c>
      <c r="L587">
        <v>1</v>
      </c>
      <c r="M587">
        <v>1</v>
      </c>
      <c r="N587">
        <v>1</v>
      </c>
    </row>
    <row r="588" spans="1:14">
      <c r="A588">
        <v>38</v>
      </c>
      <c r="B588">
        <v>1</v>
      </c>
      <c r="C588">
        <v>93</v>
      </c>
      <c r="D588" s="131">
        <v>0.23239101472597712</v>
      </c>
      <c r="E588">
        <v>7</v>
      </c>
      <c r="F588">
        <v>0</v>
      </c>
      <c r="G588">
        <v>8.6265230514239996E-2</v>
      </c>
      <c r="H588">
        <v>17.212369440000007</v>
      </c>
      <c r="I588">
        <v>37</v>
      </c>
      <c r="J588">
        <v>8040</v>
      </c>
      <c r="K588">
        <v>2</v>
      </c>
      <c r="L588">
        <v>2</v>
      </c>
      <c r="M588">
        <v>2</v>
      </c>
      <c r="N588">
        <v>1</v>
      </c>
    </row>
    <row r="589" spans="1:14">
      <c r="A589">
        <v>38</v>
      </c>
      <c r="B589">
        <v>2</v>
      </c>
      <c r="C589">
        <v>107</v>
      </c>
      <c r="D589" s="131">
        <v>0.20021384101569864</v>
      </c>
      <c r="E589">
        <v>5</v>
      </c>
      <c r="F589">
        <v>0</v>
      </c>
      <c r="G589">
        <v>6.709366942403365E-2</v>
      </c>
      <c r="H589">
        <v>19.978638737999951</v>
      </c>
      <c r="I589">
        <v>37</v>
      </c>
      <c r="J589">
        <v>8040</v>
      </c>
      <c r="K589">
        <v>2</v>
      </c>
      <c r="L589">
        <v>1</v>
      </c>
      <c r="M589">
        <v>1</v>
      </c>
      <c r="N589">
        <v>1</v>
      </c>
    </row>
    <row r="590" spans="1:14">
      <c r="A590">
        <v>39</v>
      </c>
      <c r="B590">
        <v>1</v>
      </c>
      <c r="C590">
        <v>252</v>
      </c>
      <c r="D590" s="131">
        <v>0.22994178482319289</v>
      </c>
      <c r="E590">
        <v>7</v>
      </c>
      <c r="F590">
        <v>0</v>
      </c>
      <c r="G590">
        <v>8.6322776496281103E-2</v>
      </c>
      <c r="H590">
        <v>17.395707365999986</v>
      </c>
      <c r="I590">
        <v>37</v>
      </c>
      <c r="J590">
        <v>8040</v>
      </c>
      <c r="K590">
        <v>2</v>
      </c>
      <c r="L590">
        <v>2</v>
      </c>
      <c r="M590">
        <v>2</v>
      </c>
      <c r="N590">
        <v>1</v>
      </c>
    </row>
    <row r="591" spans="1:14">
      <c r="A591">
        <v>39</v>
      </c>
      <c r="B591">
        <v>2</v>
      </c>
      <c r="C591">
        <v>192</v>
      </c>
      <c r="D591" s="131">
        <v>0.19840560781355676</v>
      </c>
      <c r="E591">
        <v>5</v>
      </c>
      <c r="F591">
        <v>0</v>
      </c>
      <c r="G591">
        <v>6.7145442007106509E-2</v>
      </c>
      <c r="H591">
        <v>20.160720476000002</v>
      </c>
      <c r="I591">
        <v>38</v>
      </c>
      <c r="J591">
        <v>8040</v>
      </c>
      <c r="K591">
        <v>2</v>
      </c>
      <c r="L591">
        <v>1</v>
      </c>
      <c r="M591">
        <v>1</v>
      </c>
      <c r="N591">
        <v>1</v>
      </c>
    </row>
    <row r="592" spans="1:14">
      <c r="A592">
        <v>40</v>
      </c>
      <c r="B592">
        <v>1</v>
      </c>
      <c r="C592">
        <v>341</v>
      </c>
      <c r="D592" s="131">
        <v>0.23187691489847448</v>
      </c>
      <c r="E592">
        <v>7</v>
      </c>
      <c r="F592">
        <v>0</v>
      </c>
      <c r="G592">
        <v>8.6277242317971084E-2</v>
      </c>
      <c r="H592">
        <v>17.250531393999999</v>
      </c>
      <c r="I592">
        <v>37</v>
      </c>
      <c r="J592">
        <v>8040</v>
      </c>
      <c r="K592">
        <v>2</v>
      </c>
      <c r="L592">
        <v>2</v>
      </c>
      <c r="M592">
        <v>2</v>
      </c>
      <c r="N592">
        <v>1</v>
      </c>
    </row>
    <row r="593" spans="1:14">
      <c r="A593">
        <v>40</v>
      </c>
      <c r="B593">
        <v>2</v>
      </c>
      <c r="C593">
        <v>159</v>
      </c>
      <c r="D593" s="131">
        <v>0.19907952751533251</v>
      </c>
      <c r="E593">
        <v>5</v>
      </c>
      <c r="F593">
        <v>0</v>
      </c>
      <c r="G593">
        <v>6.7126073342283099E-2</v>
      </c>
      <c r="H593">
        <v>20.09247284199995</v>
      </c>
      <c r="I593">
        <v>38</v>
      </c>
      <c r="J593">
        <v>8040</v>
      </c>
      <c r="K593">
        <v>2</v>
      </c>
      <c r="L593">
        <v>1</v>
      </c>
      <c r="M593">
        <v>1</v>
      </c>
      <c r="N593">
        <v>1</v>
      </c>
    </row>
    <row r="594" spans="1:14">
      <c r="A594">
        <v>41</v>
      </c>
      <c r="B594">
        <v>1</v>
      </c>
      <c r="C594">
        <v>4006</v>
      </c>
      <c r="D594" s="131">
        <v>0.22470285056294773</v>
      </c>
      <c r="E594">
        <v>17</v>
      </c>
      <c r="F594">
        <v>0</v>
      </c>
      <c r="G594">
        <v>0.18644865806996624</v>
      </c>
      <c r="H594">
        <v>17.801287300000002</v>
      </c>
      <c r="I594">
        <v>36</v>
      </c>
      <c r="J594">
        <v>8040</v>
      </c>
      <c r="K594">
        <v>3</v>
      </c>
      <c r="L594">
        <v>5</v>
      </c>
      <c r="M594">
        <v>6</v>
      </c>
      <c r="N594">
        <v>3</v>
      </c>
    </row>
    <row r="595" spans="1:14">
      <c r="A595">
        <v>41</v>
      </c>
      <c r="B595">
        <v>2</v>
      </c>
      <c r="C595">
        <v>1768</v>
      </c>
      <c r="D595" s="131">
        <v>0.17670574736035205</v>
      </c>
      <c r="E595">
        <v>9</v>
      </c>
      <c r="F595">
        <v>0</v>
      </c>
      <c r="G595">
        <v>0.10782035870208237</v>
      </c>
      <c r="H595">
        <v>22.636501980000062</v>
      </c>
      <c r="I595">
        <v>36</v>
      </c>
      <c r="J595">
        <v>8040</v>
      </c>
      <c r="K595">
        <v>1</v>
      </c>
      <c r="L595">
        <v>3</v>
      </c>
      <c r="M595">
        <v>4</v>
      </c>
      <c r="N595">
        <v>1</v>
      </c>
    </row>
    <row r="596" spans="1:14">
      <c r="A596">
        <v>42</v>
      </c>
      <c r="B596">
        <v>1</v>
      </c>
      <c r="C596">
        <v>3002</v>
      </c>
      <c r="D596" s="131">
        <v>0.21082784287998105</v>
      </c>
      <c r="E596">
        <v>17</v>
      </c>
      <c r="F596">
        <v>0</v>
      </c>
      <c r="G596">
        <v>0.18680185935226656</v>
      </c>
      <c r="H596">
        <v>18.972826099999985</v>
      </c>
      <c r="I596">
        <v>37</v>
      </c>
      <c r="J596">
        <v>8040</v>
      </c>
      <c r="K596">
        <v>3</v>
      </c>
      <c r="L596">
        <v>5</v>
      </c>
      <c r="M596">
        <v>7</v>
      </c>
      <c r="N596">
        <v>2</v>
      </c>
    </row>
    <row r="597" spans="1:14">
      <c r="A597">
        <v>42</v>
      </c>
      <c r="B597">
        <v>2</v>
      </c>
      <c r="C597">
        <v>1983</v>
      </c>
      <c r="D597" s="131">
        <v>0.1723301799708753</v>
      </c>
      <c r="E597">
        <v>9</v>
      </c>
      <c r="F597">
        <v>0</v>
      </c>
      <c r="G597">
        <v>0.10796992313616276</v>
      </c>
      <c r="H597">
        <v>23.211256442000007</v>
      </c>
      <c r="I597">
        <v>34</v>
      </c>
      <c r="J597">
        <v>8040</v>
      </c>
      <c r="K597">
        <v>1</v>
      </c>
      <c r="L597">
        <v>3</v>
      </c>
      <c r="M597">
        <v>3</v>
      </c>
      <c r="N597">
        <v>2</v>
      </c>
    </row>
    <row r="598" spans="1:14">
      <c r="A598">
        <v>43</v>
      </c>
      <c r="B598">
        <v>1</v>
      </c>
      <c r="C598">
        <v>2423</v>
      </c>
      <c r="D598" s="131">
        <v>0.23851786070869746</v>
      </c>
      <c r="E598">
        <v>34</v>
      </c>
      <c r="F598">
        <v>0</v>
      </c>
      <c r="G598">
        <v>0.35612475154107082</v>
      </c>
      <c r="H598">
        <v>16.77023258599997</v>
      </c>
      <c r="I598">
        <v>39</v>
      </c>
      <c r="J598">
        <v>8040</v>
      </c>
      <c r="K598">
        <v>4</v>
      </c>
      <c r="L598">
        <v>9</v>
      </c>
      <c r="M598">
        <v>20</v>
      </c>
      <c r="N598">
        <v>1</v>
      </c>
    </row>
    <row r="599" spans="1:14">
      <c r="A599">
        <v>43</v>
      </c>
      <c r="B599">
        <v>2</v>
      </c>
      <c r="C599">
        <v>2827</v>
      </c>
      <c r="D599" s="131">
        <v>0.18818917195377233</v>
      </c>
      <c r="E599">
        <v>9</v>
      </c>
      <c r="F599">
        <v>0</v>
      </c>
      <c r="G599">
        <v>0.10745025547746806</v>
      </c>
      <c r="H599">
        <v>21.25520803599996</v>
      </c>
      <c r="I599">
        <v>37</v>
      </c>
      <c r="J599">
        <v>8040</v>
      </c>
      <c r="K599">
        <v>2</v>
      </c>
      <c r="L599">
        <v>3</v>
      </c>
      <c r="M599">
        <v>2</v>
      </c>
      <c r="N599">
        <v>2</v>
      </c>
    </row>
    <row r="600" spans="1:14">
      <c r="A600">
        <v>44</v>
      </c>
      <c r="B600">
        <v>1</v>
      </c>
      <c r="C600">
        <v>2411</v>
      </c>
      <c r="D600" s="131">
        <v>0.22033051312953555</v>
      </c>
      <c r="E600">
        <v>16</v>
      </c>
      <c r="F600">
        <v>0</v>
      </c>
      <c r="G600">
        <v>0.17655675102433352</v>
      </c>
      <c r="H600">
        <v>18.154544021999989</v>
      </c>
      <c r="I600">
        <v>36</v>
      </c>
      <c r="J600">
        <v>8040</v>
      </c>
      <c r="K600">
        <v>2</v>
      </c>
      <c r="L600">
        <v>6</v>
      </c>
      <c r="M600">
        <v>6</v>
      </c>
      <c r="N600">
        <v>2</v>
      </c>
    </row>
    <row r="601" spans="1:14">
      <c r="A601">
        <v>44</v>
      </c>
      <c r="B601">
        <v>2</v>
      </c>
      <c r="C601">
        <v>1678</v>
      </c>
      <c r="D601" s="131">
        <v>0.17321132315374624</v>
      </c>
      <c r="E601">
        <v>8</v>
      </c>
      <c r="F601">
        <v>0</v>
      </c>
      <c r="G601">
        <v>9.7939399725112092E-2</v>
      </c>
      <c r="H601">
        <v>23.093178478000024</v>
      </c>
      <c r="I601">
        <v>38</v>
      </c>
      <c r="J601">
        <v>8040</v>
      </c>
      <c r="K601">
        <v>2</v>
      </c>
      <c r="L601">
        <v>2</v>
      </c>
      <c r="M601">
        <v>3</v>
      </c>
      <c r="N601">
        <v>1</v>
      </c>
    </row>
    <row r="602" spans="1:14">
      <c r="A602">
        <v>45</v>
      </c>
      <c r="B602">
        <v>1</v>
      </c>
      <c r="C602">
        <v>2661</v>
      </c>
      <c r="D602" s="131">
        <v>0.23315890441343876</v>
      </c>
      <c r="E602">
        <v>35</v>
      </c>
      <c r="F602">
        <v>0</v>
      </c>
      <c r="G602">
        <v>0.36624735480919995</v>
      </c>
      <c r="H602">
        <v>17.155681915999985</v>
      </c>
      <c r="I602">
        <v>38</v>
      </c>
      <c r="J602">
        <v>8040</v>
      </c>
      <c r="K602">
        <v>3</v>
      </c>
      <c r="L602">
        <v>8</v>
      </c>
      <c r="M602">
        <v>23</v>
      </c>
      <c r="N602">
        <v>1</v>
      </c>
    </row>
    <row r="603" spans="1:14">
      <c r="A603">
        <v>45</v>
      </c>
      <c r="B603">
        <v>2</v>
      </c>
      <c r="C603">
        <v>1767</v>
      </c>
      <c r="D603" s="131">
        <v>0.18334179017966509</v>
      </c>
      <c r="E603">
        <v>10</v>
      </c>
      <c r="F603">
        <v>0</v>
      </c>
      <c r="G603">
        <v>0.11760270905430251</v>
      </c>
      <c r="H603">
        <v>21.817175429999974</v>
      </c>
      <c r="I603">
        <v>36</v>
      </c>
      <c r="J603">
        <v>8040</v>
      </c>
      <c r="K603">
        <v>1</v>
      </c>
      <c r="L603">
        <v>4</v>
      </c>
      <c r="M603">
        <v>4</v>
      </c>
      <c r="N603">
        <v>1</v>
      </c>
    </row>
    <row r="604" spans="1:14">
      <c r="A604">
        <v>46</v>
      </c>
      <c r="B604">
        <v>1</v>
      </c>
      <c r="C604">
        <v>3509</v>
      </c>
      <c r="D604" s="131">
        <v>0.22358589582897323</v>
      </c>
      <c r="E604">
        <v>24</v>
      </c>
      <c r="F604">
        <v>0</v>
      </c>
      <c r="G604">
        <v>0.25647600311198315</v>
      </c>
      <c r="H604">
        <v>17.890216130000017</v>
      </c>
      <c r="I604">
        <v>35</v>
      </c>
      <c r="J604">
        <v>8040</v>
      </c>
      <c r="K604">
        <v>3</v>
      </c>
      <c r="L604">
        <v>8</v>
      </c>
      <c r="M604">
        <v>9</v>
      </c>
      <c r="N604">
        <v>4</v>
      </c>
    </row>
    <row r="605" spans="1:14">
      <c r="A605">
        <v>46</v>
      </c>
      <c r="B605">
        <v>2</v>
      </c>
      <c r="C605">
        <v>1630</v>
      </c>
      <c r="D605" s="131">
        <v>0.1697958680412377</v>
      </c>
      <c r="E605">
        <v>9</v>
      </c>
      <c r="F605">
        <v>0</v>
      </c>
      <c r="G605">
        <v>0.108058886181951</v>
      </c>
      <c r="H605">
        <v>23.557699290000006</v>
      </c>
      <c r="I605">
        <v>36</v>
      </c>
      <c r="J605">
        <v>8040</v>
      </c>
      <c r="K605">
        <v>1</v>
      </c>
      <c r="L605">
        <v>3</v>
      </c>
      <c r="M605">
        <v>4</v>
      </c>
      <c r="N605">
        <v>1</v>
      </c>
    </row>
    <row r="606" spans="1:14">
      <c r="A606">
        <v>47</v>
      </c>
      <c r="B606">
        <v>1</v>
      </c>
      <c r="C606">
        <v>2752</v>
      </c>
      <c r="D606" s="131">
        <v>0.22374022028854171</v>
      </c>
      <c r="E606">
        <v>15</v>
      </c>
      <c r="F606">
        <v>0</v>
      </c>
      <c r="G606">
        <v>0.16647221414176094</v>
      </c>
      <c r="H606">
        <v>17.877876382000014</v>
      </c>
      <c r="I606">
        <v>36</v>
      </c>
      <c r="J606">
        <v>8040</v>
      </c>
      <c r="K606">
        <v>2</v>
      </c>
      <c r="L606">
        <v>6</v>
      </c>
      <c r="M606">
        <v>5</v>
      </c>
      <c r="N606">
        <v>2</v>
      </c>
    </row>
    <row r="607" spans="1:14">
      <c r="A607">
        <v>47</v>
      </c>
      <c r="B607">
        <v>2</v>
      </c>
      <c r="C607">
        <v>1481</v>
      </c>
      <c r="D607" s="131">
        <v>0.17884914456498824</v>
      </c>
      <c r="E607">
        <v>8</v>
      </c>
      <c r="F607">
        <v>0</v>
      </c>
      <c r="G607">
        <v>9.7748883722698313E-2</v>
      </c>
      <c r="H607">
        <v>22.365217400000052</v>
      </c>
      <c r="I607">
        <v>36</v>
      </c>
      <c r="J607">
        <v>8040</v>
      </c>
      <c r="K607">
        <v>1</v>
      </c>
      <c r="L607">
        <v>3</v>
      </c>
      <c r="M607">
        <v>3</v>
      </c>
      <c r="N607">
        <v>1</v>
      </c>
    </row>
    <row r="608" spans="1:14">
      <c r="A608">
        <v>48</v>
      </c>
      <c r="B608">
        <v>1</v>
      </c>
      <c r="C608">
        <v>3444</v>
      </c>
      <c r="D608" s="131">
        <v>0.21739749519047422</v>
      </c>
      <c r="E608">
        <v>18</v>
      </c>
      <c r="F608">
        <v>0</v>
      </c>
      <c r="G608">
        <v>0.19663087711921978</v>
      </c>
      <c r="H608">
        <v>18.399476022000044</v>
      </c>
      <c r="I608">
        <v>34</v>
      </c>
      <c r="J608">
        <v>8040</v>
      </c>
      <c r="K608">
        <v>1</v>
      </c>
      <c r="L608">
        <v>9</v>
      </c>
      <c r="M608">
        <v>5</v>
      </c>
      <c r="N608">
        <v>3</v>
      </c>
    </row>
    <row r="609" spans="1:14">
      <c r="A609">
        <v>48</v>
      </c>
      <c r="B609">
        <v>2</v>
      </c>
      <c r="C609">
        <v>2085</v>
      </c>
      <c r="D609" s="131">
        <v>0.17903053372081337</v>
      </c>
      <c r="E609">
        <v>8</v>
      </c>
      <c r="F609">
        <v>0</v>
      </c>
      <c r="G609">
        <v>9.7742887458875577E-2</v>
      </c>
      <c r="H609">
        <v>22.342557534000001</v>
      </c>
      <c r="I609">
        <v>35</v>
      </c>
      <c r="J609">
        <v>8040</v>
      </c>
      <c r="K609">
        <v>1</v>
      </c>
      <c r="L609">
        <v>3</v>
      </c>
      <c r="M609">
        <v>2</v>
      </c>
      <c r="N609">
        <v>2</v>
      </c>
    </row>
    <row r="610" spans="1:14">
      <c r="A610">
        <v>49</v>
      </c>
      <c r="B610">
        <v>1</v>
      </c>
      <c r="C610">
        <v>2958</v>
      </c>
      <c r="D610" s="131">
        <v>0.22792388519598034</v>
      </c>
      <c r="E610">
        <v>15</v>
      </c>
      <c r="F610">
        <v>0</v>
      </c>
      <c r="G610">
        <v>0.16637080568277959</v>
      </c>
      <c r="H610">
        <v>17.549718392000031</v>
      </c>
      <c r="I610">
        <v>36</v>
      </c>
      <c r="J610">
        <v>8040</v>
      </c>
      <c r="K610">
        <v>3</v>
      </c>
      <c r="L610">
        <v>5</v>
      </c>
      <c r="M610">
        <v>5</v>
      </c>
      <c r="N610">
        <v>2</v>
      </c>
    </row>
    <row r="611" spans="1:14">
      <c r="A611">
        <v>49</v>
      </c>
      <c r="B611">
        <v>2</v>
      </c>
      <c r="C611">
        <v>2462</v>
      </c>
      <c r="D611" s="131">
        <v>0.18046974614781067</v>
      </c>
      <c r="E611">
        <v>8</v>
      </c>
      <c r="F611">
        <v>0</v>
      </c>
      <c r="G611">
        <v>9.7695596120480274E-2</v>
      </c>
      <c r="H611">
        <v>22.164379822000015</v>
      </c>
      <c r="I611">
        <v>35</v>
      </c>
      <c r="J611">
        <v>8040</v>
      </c>
      <c r="K611">
        <v>1</v>
      </c>
      <c r="L611">
        <v>3</v>
      </c>
      <c r="M611">
        <v>2</v>
      </c>
      <c r="N611">
        <v>2</v>
      </c>
    </row>
    <row r="612" spans="1:14">
      <c r="A612">
        <v>50</v>
      </c>
      <c r="B612">
        <v>1</v>
      </c>
      <c r="C612">
        <v>2698</v>
      </c>
      <c r="D612" s="131">
        <v>0.23912773549053548</v>
      </c>
      <c r="E612">
        <v>25</v>
      </c>
      <c r="F612">
        <v>0</v>
      </c>
      <c r="G612">
        <v>0.26611103160529487</v>
      </c>
      <c r="H612">
        <v>16.727461546000036</v>
      </c>
      <c r="I612">
        <v>36</v>
      </c>
      <c r="J612">
        <v>8040</v>
      </c>
      <c r="K612">
        <v>5</v>
      </c>
      <c r="L612">
        <v>8</v>
      </c>
      <c r="M612">
        <v>9</v>
      </c>
      <c r="N612">
        <v>3</v>
      </c>
    </row>
    <row r="613" spans="1:14">
      <c r="A613">
        <v>50</v>
      </c>
      <c r="B613">
        <v>2</v>
      </c>
      <c r="C613">
        <v>2114</v>
      </c>
      <c r="D613" s="131">
        <v>0.18087165743125744</v>
      </c>
      <c r="E613">
        <v>9</v>
      </c>
      <c r="F613">
        <v>0</v>
      </c>
      <c r="G613">
        <v>0.10768247939042409</v>
      </c>
      <c r="H613">
        <v>22.115128798000043</v>
      </c>
      <c r="I613">
        <v>36</v>
      </c>
      <c r="J613">
        <v>8040</v>
      </c>
      <c r="K613">
        <v>1</v>
      </c>
      <c r="L613">
        <v>3</v>
      </c>
      <c r="M613">
        <v>4</v>
      </c>
      <c r="N613">
        <v>1</v>
      </c>
    </row>
    <row r="614" spans="1:14">
      <c r="A614">
        <v>51</v>
      </c>
      <c r="B614">
        <v>1</v>
      </c>
      <c r="C614">
        <v>2186</v>
      </c>
      <c r="D614" s="131">
        <v>0.2286198928010878</v>
      </c>
      <c r="E614">
        <v>8</v>
      </c>
      <c r="F614">
        <v>0</v>
      </c>
      <c r="G614">
        <v>9.6354175768519609E-2</v>
      </c>
      <c r="H614">
        <v>17.496290244000008</v>
      </c>
      <c r="I614">
        <v>39</v>
      </c>
      <c r="J614">
        <v>8040</v>
      </c>
      <c r="K614">
        <v>2</v>
      </c>
      <c r="L614">
        <v>2</v>
      </c>
      <c r="M614">
        <v>3</v>
      </c>
      <c r="N614">
        <v>1</v>
      </c>
    </row>
    <row r="615" spans="1:14">
      <c r="A615">
        <v>51</v>
      </c>
      <c r="B615">
        <v>2</v>
      </c>
      <c r="C615">
        <v>1688</v>
      </c>
      <c r="D615" s="131">
        <v>0.20955195349072714</v>
      </c>
      <c r="E615">
        <v>6</v>
      </c>
      <c r="F615">
        <v>0</v>
      </c>
      <c r="G615">
        <v>7.6835890614610089E-2</v>
      </c>
      <c r="H615">
        <v>19.088345077999971</v>
      </c>
      <c r="I615">
        <v>36</v>
      </c>
      <c r="J615">
        <v>8040</v>
      </c>
      <c r="K615">
        <v>1</v>
      </c>
      <c r="L615">
        <v>2</v>
      </c>
      <c r="M615">
        <v>2</v>
      </c>
      <c r="N615">
        <v>1</v>
      </c>
    </row>
    <row r="616" spans="1:14">
      <c r="A616">
        <v>52</v>
      </c>
      <c r="B616">
        <v>1</v>
      </c>
      <c r="C616">
        <v>1804</v>
      </c>
      <c r="D616" s="131">
        <v>0.22755757564867984</v>
      </c>
      <c r="E616">
        <v>8</v>
      </c>
      <c r="F616">
        <v>0</v>
      </c>
      <c r="G616">
        <v>9.6379585244777827E-2</v>
      </c>
      <c r="H616">
        <v>17.577968953999996</v>
      </c>
      <c r="I616">
        <v>36</v>
      </c>
      <c r="J616">
        <v>8040</v>
      </c>
      <c r="K616">
        <v>1</v>
      </c>
      <c r="L616">
        <v>3</v>
      </c>
      <c r="M616">
        <v>3</v>
      </c>
      <c r="N616">
        <v>1</v>
      </c>
    </row>
    <row r="617" spans="1:14">
      <c r="A617">
        <v>52</v>
      </c>
      <c r="B617">
        <v>2</v>
      </c>
      <c r="C617">
        <v>1670</v>
      </c>
      <c r="D617" s="131">
        <v>0.21021181598860336</v>
      </c>
      <c r="E617">
        <v>6</v>
      </c>
      <c r="F617">
        <v>0</v>
      </c>
      <c r="G617">
        <v>7.6818255993172199E-2</v>
      </c>
      <c r="H617">
        <v>19.028426071999966</v>
      </c>
      <c r="I617">
        <v>36</v>
      </c>
      <c r="J617">
        <v>8040</v>
      </c>
      <c r="K617">
        <v>1</v>
      </c>
      <c r="L617">
        <v>2</v>
      </c>
      <c r="M617">
        <v>2</v>
      </c>
      <c r="N617">
        <v>1</v>
      </c>
    </row>
    <row r="618" spans="1:14">
      <c r="A618">
        <v>53</v>
      </c>
      <c r="B618">
        <v>1</v>
      </c>
      <c r="C618">
        <v>2236</v>
      </c>
      <c r="D618" s="131">
        <v>0.23799047196958642</v>
      </c>
      <c r="E618">
        <v>8</v>
      </c>
      <c r="F618">
        <v>0</v>
      </c>
      <c r="G618">
        <v>9.6136653612027528E-2</v>
      </c>
      <c r="H618">
        <v>16.807395551999967</v>
      </c>
      <c r="I618">
        <v>36</v>
      </c>
      <c r="J618">
        <v>8040</v>
      </c>
      <c r="K618">
        <v>2</v>
      </c>
      <c r="L618">
        <v>2</v>
      </c>
      <c r="M618">
        <v>2</v>
      </c>
      <c r="N618">
        <v>2</v>
      </c>
    </row>
    <row r="619" spans="1:14">
      <c r="A619">
        <v>53</v>
      </c>
      <c r="B619">
        <v>2</v>
      </c>
      <c r="C619">
        <v>1614</v>
      </c>
      <c r="D619" s="131">
        <v>0.21034698988798295</v>
      </c>
      <c r="E619">
        <v>6</v>
      </c>
      <c r="F619">
        <v>0</v>
      </c>
      <c r="G619">
        <v>7.6814652619533519E-2</v>
      </c>
      <c r="H619">
        <v>19.016197959999989</v>
      </c>
      <c r="I619">
        <v>36</v>
      </c>
      <c r="J619">
        <v>8040</v>
      </c>
      <c r="K619">
        <v>1</v>
      </c>
      <c r="L619">
        <v>2</v>
      </c>
      <c r="M619">
        <v>2</v>
      </c>
      <c r="N619">
        <v>1</v>
      </c>
    </row>
    <row r="620" spans="1:14">
      <c r="A620">
        <v>54</v>
      </c>
      <c r="B620">
        <v>1</v>
      </c>
      <c r="C620">
        <v>1843</v>
      </c>
      <c r="D620" s="131">
        <v>0.22340124997105529</v>
      </c>
      <c r="E620">
        <v>8</v>
      </c>
      <c r="F620">
        <v>0</v>
      </c>
      <c r="G620">
        <v>9.6480541116970533E-2</v>
      </c>
      <c r="H620">
        <v>17.905002771999957</v>
      </c>
      <c r="I620">
        <v>36</v>
      </c>
      <c r="J620">
        <v>8040</v>
      </c>
      <c r="K620">
        <v>1</v>
      </c>
      <c r="L620">
        <v>3</v>
      </c>
      <c r="M620">
        <v>3</v>
      </c>
      <c r="N620">
        <v>1</v>
      </c>
    </row>
    <row r="621" spans="1:14">
      <c r="A621">
        <v>54</v>
      </c>
      <c r="B621">
        <v>2</v>
      </c>
      <c r="C621">
        <v>1721</v>
      </c>
      <c r="D621" s="131">
        <v>0.20729752852015443</v>
      </c>
      <c r="E621">
        <v>6</v>
      </c>
      <c r="F621">
        <v>0</v>
      </c>
      <c r="G621">
        <v>7.6896702540483655E-2</v>
      </c>
      <c r="H621">
        <v>19.295936755999971</v>
      </c>
      <c r="I621">
        <v>37</v>
      </c>
      <c r="J621">
        <v>8040</v>
      </c>
      <c r="K621">
        <v>1</v>
      </c>
      <c r="L621">
        <v>2</v>
      </c>
      <c r="M621">
        <v>2</v>
      </c>
      <c r="N621">
        <v>1</v>
      </c>
    </row>
    <row r="622" spans="1:14">
      <c r="A622">
        <v>55</v>
      </c>
      <c r="B622">
        <v>1</v>
      </c>
      <c r="C622">
        <v>1775</v>
      </c>
      <c r="D622" s="131">
        <v>0.23264774427347623</v>
      </c>
      <c r="E622">
        <v>9</v>
      </c>
      <c r="F622">
        <v>0</v>
      </c>
      <c r="G622">
        <v>0.10625924535381723</v>
      </c>
      <c r="H622">
        <v>17.193375385999964</v>
      </c>
      <c r="I622">
        <v>36</v>
      </c>
      <c r="J622">
        <v>8040</v>
      </c>
      <c r="K622">
        <v>1</v>
      </c>
      <c r="L622">
        <v>4</v>
      </c>
      <c r="M622">
        <v>3</v>
      </c>
      <c r="N622">
        <v>1</v>
      </c>
    </row>
    <row r="623" spans="1:14">
      <c r="A623">
        <v>55</v>
      </c>
      <c r="B623">
        <v>2</v>
      </c>
      <c r="C623">
        <v>1918</v>
      </c>
      <c r="D623" s="131">
        <v>0.21236227066419056</v>
      </c>
      <c r="E623">
        <v>6</v>
      </c>
      <c r="F623">
        <v>0</v>
      </c>
      <c r="G623">
        <v>7.6761294104202182E-2</v>
      </c>
      <c r="H623">
        <v>18.835737569999985</v>
      </c>
      <c r="I623">
        <v>36</v>
      </c>
      <c r="J623">
        <v>8040</v>
      </c>
      <c r="K623">
        <v>1</v>
      </c>
      <c r="L623">
        <v>2</v>
      </c>
      <c r="M623">
        <v>2</v>
      </c>
      <c r="N623">
        <v>1</v>
      </c>
    </row>
    <row r="624" spans="1:14">
      <c r="A624">
        <v>56</v>
      </c>
      <c r="B624">
        <v>1</v>
      </c>
      <c r="C624">
        <v>1805</v>
      </c>
      <c r="D624" s="131">
        <v>0.22988730603335553</v>
      </c>
      <c r="E624">
        <v>8</v>
      </c>
      <c r="F624">
        <v>0</v>
      </c>
      <c r="G624">
        <v>9.6324065787238969E-2</v>
      </c>
      <c r="H624">
        <v>17.39982980800001</v>
      </c>
      <c r="I624">
        <v>39</v>
      </c>
      <c r="J624">
        <v>8040</v>
      </c>
      <c r="K624">
        <v>2</v>
      </c>
      <c r="L624">
        <v>2</v>
      </c>
      <c r="M624">
        <v>3</v>
      </c>
      <c r="N624">
        <v>1</v>
      </c>
    </row>
    <row r="625" spans="1:14">
      <c r="A625">
        <v>56</v>
      </c>
      <c r="B625">
        <v>2</v>
      </c>
      <c r="C625">
        <v>1461</v>
      </c>
      <c r="D625" s="131">
        <v>0.20939637341567077</v>
      </c>
      <c r="E625">
        <v>6</v>
      </c>
      <c r="F625">
        <v>0</v>
      </c>
      <c r="G625">
        <v>7.6840059232935604E-2</v>
      </c>
      <c r="H625">
        <v>19.102527587999997</v>
      </c>
      <c r="I625">
        <v>36</v>
      </c>
      <c r="J625">
        <v>8040</v>
      </c>
      <c r="K625">
        <v>1</v>
      </c>
      <c r="L625">
        <v>2</v>
      </c>
      <c r="M625">
        <v>2</v>
      </c>
      <c r="N625">
        <v>1</v>
      </c>
    </row>
    <row r="626" spans="1:14">
      <c r="A626">
        <v>57</v>
      </c>
      <c r="B626">
        <v>1</v>
      </c>
      <c r="C626">
        <v>1654</v>
      </c>
      <c r="D626" s="131">
        <v>0.22847535857375692</v>
      </c>
      <c r="E626">
        <v>9</v>
      </c>
      <c r="F626">
        <v>0</v>
      </c>
      <c r="G626">
        <v>0.10635762360918555</v>
      </c>
      <c r="H626">
        <v>17.507358452000027</v>
      </c>
      <c r="I626">
        <v>37</v>
      </c>
      <c r="J626">
        <v>8040</v>
      </c>
      <c r="K626">
        <v>1</v>
      </c>
      <c r="L626">
        <v>3</v>
      </c>
      <c r="M626">
        <v>4</v>
      </c>
      <c r="N626">
        <v>1</v>
      </c>
    </row>
    <row r="627" spans="1:14">
      <c r="A627">
        <v>57</v>
      </c>
      <c r="B627">
        <v>2</v>
      </c>
      <c r="C627">
        <v>1706</v>
      </c>
      <c r="D627" s="131">
        <v>0.20974601169993243</v>
      </c>
      <c r="E627">
        <v>6</v>
      </c>
      <c r="F627">
        <v>0</v>
      </c>
      <c r="G627">
        <v>7.683069679174491E-2</v>
      </c>
      <c r="H627">
        <v>19.070684432000043</v>
      </c>
      <c r="I627">
        <v>37</v>
      </c>
      <c r="J627">
        <v>8040</v>
      </c>
      <c r="K627">
        <v>1</v>
      </c>
      <c r="L627">
        <v>2</v>
      </c>
      <c r="M627">
        <v>2</v>
      </c>
      <c r="N627">
        <v>1</v>
      </c>
    </row>
    <row r="628" spans="1:14">
      <c r="A628">
        <v>58</v>
      </c>
      <c r="B628">
        <v>1</v>
      </c>
      <c r="C628">
        <v>2131</v>
      </c>
      <c r="D628" s="131">
        <v>0.23578145630857164</v>
      </c>
      <c r="E628">
        <v>8</v>
      </c>
      <c r="F628">
        <v>0</v>
      </c>
      <c r="G628">
        <v>9.6186891340848749E-2</v>
      </c>
      <c r="H628">
        <v>16.964862558</v>
      </c>
      <c r="I628">
        <v>36</v>
      </c>
      <c r="J628">
        <v>8040</v>
      </c>
      <c r="K628">
        <v>2</v>
      </c>
      <c r="L628">
        <v>2</v>
      </c>
      <c r="M628">
        <v>2</v>
      </c>
      <c r="N628">
        <v>2</v>
      </c>
    </row>
    <row r="629" spans="1:14">
      <c r="A629">
        <v>58</v>
      </c>
      <c r="B629">
        <v>2</v>
      </c>
      <c r="C629">
        <v>1736</v>
      </c>
      <c r="D629" s="131">
        <v>0.20973055507977548</v>
      </c>
      <c r="E629">
        <v>6</v>
      </c>
      <c r="F629">
        <v>0</v>
      </c>
      <c r="G629">
        <v>7.6831110241749462E-2</v>
      </c>
      <c r="H629">
        <v>19.072089894000019</v>
      </c>
      <c r="I629">
        <v>37</v>
      </c>
      <c r="J629">
        <v>8040</v>
      </c>
      <c r="K629">
        <v>1</v>
      </c>
      <c r="L629">
        <v>2</v>
      </c>
      <c r="M629">
        <v>2</v>
      </c>
      <c r="N629">
        <v>1</v>
      </c>
    </row>
    <row r="630" spans="1:14">
      <c r="A630">
        <v>59</v>
      </c>
      <c r="B630">
        <v>1</v>
      </c>
      <c r="C630">
        <v>1687</v>
      </c>
      <c r="D630" s="131">
        <v>0.23163331746960567</v>
      </c>
      <c r="E630">
        <v>8</v>
      </c>
      <c r="F630">
        <v>0</v>
      </c>
      <c r="G630">
        <v>9.628294631206441E-2</v>
      </c>
      <c r="H630">
        <v>17.268672933999962</v>
      </c>
      <c r="I630">
        <v>34</v>
      </c>
      <c r="J630">
        <v>8040</v>
      </c>
      <c r="K630">
        <v>1</v>
      </c>
      <c r="L630">
        <v>3</v>
      </c>
      <c r="M630">
        <v>2</v>
      </c>
      <c r="N630">
        <v>2</v>
      </c>
    </row>
    <row r="631" spans="1:14">
      <c r="A631">
        <v>59</v>
      </c>
      <c r="B631">
        <v>2</v>
      </c>
      <c r="C631">
        <v>1601</v>
      </c>
      <c r="D631" s="131">
        <v>0.21122829244133617</v>
      </c>
      <c r="E631">
        <v>6</v>
      </c>
      <c r="F631">
        <v>0</v>
      </c>
      <c r="G631">
        <v>7.6791234901851052E-2</v>
      </c>
      <c r="H631">
        <v>18.936857149999963</v>
      </c>
      <c r="I631">
        <v>37</v>
      </c>
      <c r="J631">
        <v>8040</v>
      </c>
      <c r="K631">
        <v>1</v>
      </c>
      <c r="L631">
        <v>2</v>
      </c>
      <c r="M631">
        <v>2</v>
      </c>
      <c r="N631">
        <v>1</v>
      </c>
    </row>
    <row r="632" spans="1:14">
      <c r="A632">
        <v>60</v>
      </c>
      <c r="B632">
        <v>1</v>
      </c>
      <c r="C632">
        <v>3150</v>
      </c>
      <c r="D632" s="131">
        <v>0.23146675331090621</v>
      </c>
      <c r="E632">
        <v>9</v>
      </c>
      <c r="F632">
        <v>0</v>
      </c>
      <c r="G632">
        <v>0.1062868511276466</v>
      </c>
      <c r="H632">
        <v>17.28109952200003</v>
      </c>
      <c r="I632">
        <v>38</v>
      </c>
      <c r="J632">
        <v>8040</v>
      </c>
      <c r="K632">
        <v>2</v>
      </c>
      <c r="L632">
        <v>2</v>
      </c>
      <c r="M632">
        <v>4</v>
      </c>
      <c r="N632">
        <v>1</v>
      </c>
    </row>
    <row r="633" spans="1:14">
      <c r="A633">
        <v>60</v>
      </c>
      <c r="B633">
        <v>2</v>
      </c>
      <c r="C633">
        <v>1956</v>
      </c>
      <c r="D633" s="131">
        <v>0.20748587250272651</v>
      </c>
      <c r="E633">
        <v>6</v>
      </c>
      <c r="F633">
        <v>0</v>
      </c>
      <c r="G633">
        <v>7.6891588367924299E-2</v>
      </c>
      <c r="H633">
        <v>19.278420992000008</v>
      </c>
      <c r="I633">
        <v>38</v>
      </c>
      <c r="J633">
        <v>8040</v>
      </c>
      <c r="K633">
        <v>1</v>
      </c>
      <c r="L633">
        <v>2</v>
      </c>
      <c r="M633">
        <v>2</v>
      </c>
      <c r="N633">
        <v>1</v>
      </c>
    </row>
    <row r="634" spans="1:14">
      <c r="A634">
        <v>61</v>
      </c>
      <c r="B634">
        <v>1</v>
      </c>
      <c r="C634">
        <v>3187</v>
      </c>
      <c r="D634" s="131">
        <v>0.22745273996209386</v>
      </c>
      <c r="E634">
        <v>13</v>
      </c>
      <c r="F634">
        <v>0</v>
      </c>
      <c r="G634">
        <v>0.14638210137378749</v>
      </c>
      <c r="H634">
        <v>17.58607084999996</v>
      </c>
      <c r="I634">
        <v>37</v>
      </c>
      <c r="J634">
        <v>8040</v>
      </c>
      <c r="K634">
        <v>2</v>
      </c>
      <c r="L634">
        <v>3</v>
      </c>
      <c r="M634">
        <v>3</v>
      </c>
      <c r="N634">
        <v>5</v>
      </c>
    </row>
    <row r="635" spans="1:14">
      <c r="A635">
        <v>61</v>
      </c>
      <c r="B635">
        <v>2</v>
      </c>
      <c r="C635">
        <v>1793</v>
      </c>
      <c r="D635" s="131">
        <v>0.17950555172620838</v>
      </c>
      <c r="E635">
        <v>8</v>
      </c>
      <c r="F635">
        <v>0</v>
      </c>
      <c r="G635">
        <v>9.7727222880504935E-2</v>
      </c>
      <c r="H635">
        <v>22.283433361999951</v>
      </c>
      <c r="I635">
        <v>34</v>
      </c>
      <c r="J635">
        <v>8040</v>
      </c>
      <c r="K635">
        <v>1</v>
      </c>
      <c r="L635">
        <v>1</v>
      </c>
      <c r="M635">
        <v>3</v>
      </c>
      <c r="N635">
        <v>3</v>
      </c>
    </row>
    <row r="636" spans="1:14">
      <c r="A636">
        <v>62</v>
      </c>
      <c r="B636">
        <v>1</v>
      </c>
      <c r="C636">
        <v>2480</v>
      </c>
      <c r="D636" s="131">
        <v>0.20959036251417423</v>
      </c>
      <c r="E636">
        <v>12</v>
      </c>
      <c r="F636">
        <v>0</v>
      </c>
      <c r="G636">
        <v>0.1368348621169018</v>
      </c>
      <c r="H636">
        <v>19.08484699399996</v>
      </c>
      <c r="I636">
        <v>37</v>
      </c>
      <c r="J636">
        <v>8040</v>
      </c>
      <c r="K636">
        <v>2</v>
      </c>
      <c r="L636">
        <v>2</v>
      </c>
      <c r="M636">
        <v>3</v>
      </c>
      <c r="N636">
        <v>5</v>
      </c>
    </row>
    <row r="637" spans="1:14">
      <c r="A637">
        <v>62</v>
      </c>
      <c r="B637">
        <v>2</v>
      </c>
      <c r="C637">
        <v>1206</v>
      </c>
      <c r="D637" s="131">
        <v>0.16764976729107031</v>
      </c>
      <c r="E637">
        <v>7</v>
      </c>
      <c r="F637">
        <v>0</v>
      </c>
      <c r="G637">
        <v>8.8135617536959476E-2</v>
      </c>
      <c r="H637">
        <v>23.859263658000053</v>
      </c>
      <c r="I637">
        <v>36</v>
      </c>
      <c r="J637">
        <v>8040</v>
      </c>
      <c r="K637">
        <v>1</v>
      </c>
      <c r="L637">
        <v>2</v>
      </c>
      <c r="M637">
        <v>1</v>
      </c>
      <c r="N637">
        <v>3</v>
      </c>
    </row>
    <row r="638" spans="1:14">
      <c r="A638">
        <v>63</v>
      </c>
      <c r="B638">
        <v>1</v>
      </c>
      <c r="C638">
        <v>2424</v>
      </c>
      <c r="D638" s="131">
        <v>0.21147528839586135</v>
      </c>
      <c r="E638">
        <v>12</v>
      </c>
      <c r="F638">
        <v>0</v>
      </c>
      <c r="G638">
        <v>0.13678469515776159</v>
      </c>
      <c r="H638">
        <v>18.914739543999985</v>
      </c>
      <c r="I638">
        <v>37</v>
      </c>
      <c r="J638">
        <v>8040</v>
      </c>
      <c r="K638">
        <v>2</v>
      </c>
      <c r="L638">
        <v>3</v>
      </c>
      <c r="M638">
        <v>2</v>
      </c>
      <c r="N638">
        <v>5</v>
      </c>
    </row>
    <row r="639" spans="1:14">
      <c r="A639">
        <v>63</v>
      </c>
      <c r="B639">
        <v>2</v>
      </c>
      <c r="C639">
        <v>2216</v>
      </c>
      <c r="D639" s="131">
        <v>0.16404956687876551</v>
      </c>
      <c r="E639">
        <v>12</v>
      </c>
      <c r="F639">
        <v>0</v>
      </c>
      <c r="G639">
        <v>0.13826732563565181</v>
      </c>
      <c r="H639">
        <v>24.382874494000006</v>
      </c>
      <c r="I639">
        <v>41</v>
      </c>
      <c r="J639">
        <v>8040</v>
      </c>
      <c r="K639">
        <v>2</v>
      </c>
      <c r="L639">
        <v>2</v>
      </c>
      <c r="M639">
        <v>7</v>
      </c>
      <c r="N639">
        <v>1</v>
      </c>
    </row>
    <row r="640" spans="1:14">
      <c r="A640">
        <v>64</v>
      </c>
      <c r="B640">
        <v>1</v>
      </c>
      <c r="C640">
        <v>3545</v>
      </c>
      <c r="D640" s="131">
        <v>0.23022646211787282</v>
      </c>
      <c r="E640">
        <v>15</v>
      </c>
      <c r="F640">
        <v>0</v>
      </c>
      <c r="G640">
        <v>0.16631604596326791</v>
      </c>
      <c r="H640">
        <v>17.374197402000011</v>
      </c>
      <c r="I640">
        <v>37</v>
      </c>
      <c r="J640">
        <v>8040</v>
      </c>
      <c r="K640">
        <v>3</v>
      </c>
      <c r="L640">
        <v>3</v>
      </c>
      <c r="M640">
        <v>3</v>
      </c>
      <c r="N640">
        <v>6</v>
      </c>
    </row>
    <row r="641" spans="1:14">
      <c r="A641">
        <v>64</v>
      </c>
      <c r="B641">
        <v>2</v>
      </c>
      <c r="C641">
        <v>1872</v>
      </c>
      <c r="D641" s="131">
        <v>0.18386333847772002</v>
      </c>
      <c r="E641">
        <v>8</v>
      </c>
      <c r="F641">
        <v>0</v>
      </c>
      <c r="G641">
        <v>9.7586049294253019E-2</v>
      </c>
      <c r="H641">
        <v>21.755288646000015</v>
      </c>
      <c r="I641">
        <v>38</v>
      </c>
      <c r="J641">
        <v>8040</v>
      </c>
      <c r="K641">
        <v>2</v>
      </c>
      <c r="L641">
        <v>2</v>
      </c>
      <c r="M641">
        <v>2</v>
      </c>
      <c r="N641">
        <v>2</v>
      </c>
    </row>
    <row r="642" spans="1:14">
      <c r="A642">
        <v>65</v>
      </c>
      <c r="B642">
        <v>1</v>
      </c>
      <c r="C642">
        <v>2433</v>
      </c>
      <c r="D642" s="131">
        <v>0.21607257597969973</v>
      </c>
      <c r="E642">
        <v>14</v>
      </c>
      <c r="F642">
        <v>0</v>
      </c>
      <c r="G642">
        <v>0.15666480041854597</v>
      </c>
      <c r="H642">
        <v>18.512298387999987</v>
      </c>
      <c r="I642">
        <v>36</v>
      </c>
      <c r="J642">
        <v>8040</v>
      </c>
      <c r="K642">
        <v>2</v>
      </c>
      <c r="L642">
        <v>3</v>
      </c>
      <c r="M642">
        <v>3</v>
      </c>
      <c r="N642">
        <v>6</v>
      </c>
    </row>
    <row r="643" spans="1:14">
      <c r="A643">
        <v>65</v>
      </c>
      <c r="B643">
        <v>2</v>
      </c>
      <c r="C643">
        <v>1645</v>
      </c>
      <c r="D643" s="131">
        <v>0.16836722107268118</v>
      </c>
      <c r="E643">
        <v>8</v>
      </c>
      <c r="F643">
        <v>0</v>
      </c>
      <c r="G643">
        <v>9.8109820763976174E-2</v>
      </c>
      <c r="H643">
        <v>23.757593517999979</v>
      </c>
      <c r="I643">
        <v>35</v>
      </c>
      <c r="J643">
        <v>8040</v>
      </c>
      <c r="K643">
        <v>1</v>
      </c>
      <c r="L643">
        <v>1</v>
      </c>
      <c r="M643">
        <v>3</v>
      </c>
      <c r="N643">
        <v>3</v>
      </c>
    </row>
    <row r="644" spans="1:14">
      <c r="A644">
        <v>66</v>
      </c>
      <c r="B644">
        <v>1</v>
      </c>
      <c r="C644">
        <v>2425</v>
      </c>
      <c r="D644" s="131">
        <v>0.22869164677812795</v>
      </c>
      <c r="E644">
        <v>17</v>
      </c>
      <c r="F644">
        <v>0</v>
      </c>
      <c r="G644">
        <v>0.18635246516835843</v>
      </c>
      <c r="H644">
        <v>17.490800631999996</v>
      </c>
      <c r="I644">
        <v>37</v>
      </c>
      <c r="J644">
        <v>8040</v>
      </c>
      <c r="K644">
        <v>2</v>
      </c>
      <c r="L644">
        <v>5</v>
      </c>
      <c r="M644">
        <v>3</v>
      </c>
      <c r="N644">
        <v>7</v>
      </c>
    </row>
    <row r="645" spans="1:14">
      <c r="A645">
        <v>66</v>
      </c>
      <c r="B645">
        <v>2</v>
      </c>
      <c r="C645">
        <v>1915</v>
      </c>
      <c r="D645" s="131">
        <v>0.18283083378851125</v>
      </c>
      <c r="E645">
        <v>8</v>
      </c>
      <c r="F645">
        <v>0</v>
      </c>
      <c r="G645">
        <v>9.7619091868941063E-2</v>
      </c>
      <c r="H645">
        <v>21.878147777999974</v>
      </c>
      <c r="I645">
        <v>35</v>
      </c>
      <c r="J645">
        <v>8040</v>
      </c>
      <c r="K645">
        <v>1</v>
      </c>
      <c r="L645">
        <v>2</v>
      </c>
      <c r="M645">
        <v>2</v>
      </c>
      <c r="N645">
        <v>3</v>
      </c>
    </row>
    <row r="646" spans="1:14">
      <c r="A646">
        <v>67</v>
      </c>
      <c r="B646">
        <v>1</v>
      </c>
      <c r="C646">
        <v>2863</v>
      </c>
      <c r="D646" s="131">
        <v>0.21144770083745459</v>
      </c>
      <c r="E646">
        <v>13</v>
      </c>
      <c r="F646">
        <v>0</v>
      </c>
      <c r="G646">
        <v>0.14678542509179832</v>
      </c>
      <c r="H646">
        <v>18.917207347999991</v>
      </c>
      <c r="I646">
        <v>37</v>
      </c>
      <c r="J646">
        <v>8040</v>
      </c>
      <c r="K646">
        <v>2</v>
      </c>
      <c r="L646">
        <v>3</v>
      </c>
      <c r="M646">
        <v>3</v>
      </c>
      <c r="N646">
        <v>5</v>
      </c>
    </row>
    <row r="647" spans="1:14">
      <c r="A647">
        <v>67</v>
      </c>
      <c r="B647">
        <v>2</v>
      </c>
      <c r="C647">
        <v>1251</v>
      </c>
      <c r="D647" s="131">
        <v>0.16516727261896433</v>
      </c>
      <c r="E647">
        <v>7</v>
      </c>
      <c r="F647">
        <v>0</v>
      </c>
      <c r="G647">
        <v>8.822602664591439E-2</v>
      </c>
      <c r="H647">
        <v>24.217872805999971</v>
      </c>
      <c r="I647">
        <v>34</v>
      </c>
      <c r="J647">
        <v>8040</v>
      </c>
      <c r="K647">
        <v>1</v>
      </c>
      <c r="L647">
        <v>1</v>
      </c>
      <c r="M647">
        <v>2</v>
      </c>
      <c r="N647">
        <v>3</v>
      </c>
    </row>
    <row r="648" spans="1:14">
      <c r="A648">
        <v>68</v>
      </c>
      <c r="B648">
        <v>1</v>
      </c>
      <c r="C648">
        <v>2817</v>
      </c>
      <c r="D648" s="131">
        <v>0.22452530886423586</v>
      </c>
      <c r="E648">
        <v>14</v>
      </c>
      <c r="F648">
        <v>0</v>
      </c>
      <c r="G648">
        <v>0.15645299247857097</v>
      </c>
      <c r="H648">
        <v>17.815363534000024</v>
      </c>
      <c r="I648">
        <v>37</v>
      </c>
      <c r="J648">
        <v>8040</v>
      </c>
      <c r="K648">
        <v>2</v>
      </c>
      <c r="L648">
        <v>3</v>
      </c>
      <c r="M648">
        <v>4</v>
      </c>
      <c r="N648">
        <v>5</v>
      </c>
    </row>
    <row r="649" spans="1:14">
      <c r="A649">
        <v>68</v>
      </c>
      <c r="B649">
        <v>2</v>
      </c>
      <c r="C649">
        <v>1802</v>
      </c>
      <c r="D649" s="131">
        <v>0.17493461066051716</v>
      </c>
      <c r="E649">
        <v>7</v>
      </c>
      <c r="F649">
        <v>0</v>
      </c>
      <c r="G649">
        <v>8.7880297990556855E-2</v>
      </c>
      <c r="H649">
        <v>22.865686698000022</v>
      </c>
      <c r="I649">
        <v>35</v>
      </c>
      <c r="J649">
        <v>8040</v>
      </c>
      <c r="K649">
        <v>1</v>
      </c>
      <c r="L649">
        <v>2</v>
      </c>
      <c r="M649">
        <v>2</v>
      </c>
      <c r="N649">
        <v>2</v>
      </c>
    </row>
    <row r="650" spans="1:14">
      <c r="A650">
        <v>69</v>
      </c>
      <c r="B650">
        <v>1</v>
      </c>
      <c r="C650">
        <v>2662</v>
      </c>
      <c r="D650" s="131">
        <v>0.22223196524196509</v>
      </c>
      <c r="E650">
        <v>22</v>
      </c>
      <c r="F650">
        <v>0</v>
      </c>
      <c r="G650">
        <v>0.23650939497095749</v>
      </c>
      <c r="H650">
        <v>17.999210849999997</v>
      </c>
      <c r="I650">
        <v>38</v>
      </c>
      <c r="J650">
        <v>8040</v>
      </c>
      <c r="K650">
        <v>3</v>
      </c>
      <c r="L650">
        <v>6</v>
      </c>
      <c r="M650">
        <v>1</v>
      </c>
      <c r="N650">
        <v>12</v>
      </c>
    </row>
    <row r="651" spans="1:14">
      <c r="A651">
        <v>69</v>
      </c>
      <c r="B651">
        <v>2</v>
      </c>
      <c r="C651">
        <v>2279</v>
      </c>
      <c r="D651" s="131">
        <v>0.17262670659746096</v>
      </c>
      <c r="E651">
        <v>7</v>
      </c>
      <c r="F651">
        <v>0</v>
      </c>
      <c r="G651">
        <v>8.7959628061271999E-2</v>
      </c>
      <c r="H651">
        <v>23.171385696000026</v>
      </c>
      <c r="I651">
        <v>36</v>
      </c>
      <c r="J651">
        <v>8040</v>
      </c>
      <c r="K651">
        <v>2</v>
      </c>
      <c r="L651">
        <v>1</v>
      </c>
      <c r="M651">
        <v>2</v>
      </c>
      <c r="N651">
        <v>2</v>
      </c>
    </row>
    <row r="652" spans="1:14">
      <c r="A652">
        <v>70</v>
      </c>
      <c r="B652">
        <v>1</v>
      </c>
      <c r="C652">
        <v>3272</v>
      </c>
      <c r="D652" s="131">
        <v>0.23315981051350756</v>
      </c>
      <c r="E652">
        <v>16</v>
      </c>
      <c r="F652">
        <v>0</v>
      </c>
      <c r="G652">
        <v>0.17624733376247903</v>
      </c>
      <c r="H652">
        <v>17.155615245999993</v>
      </c>
      <c r="I652">
        <v>37</v>
      </c>
      <c r="J652">
        <v>8040</v>
      </c>
      <c r="K652">
        <v>3</v>
      </c>
      <c r="L652">
        <v>3</v>
      </c>
      <c r="M652">
        <v>4</v>
      </c>
      <c r="N652">
        <v>6</v>
      </c>
    </row>
    <row r="653" spans="1:14">
      <c r="A653">
        <v>70</v>
      </c>
      <c r="B653">
        <v>2</v>
      </c>
      <c r="C653">
        <v>2209</v>
      </c>
      <c r="D653" s="131">
        <v>0.18301722746963853</v>
      </c>
      <c r="E653">
        <v>9</v>
      </c>
      <c r="F653">
        <v>0</v>
      </c>
      <c r="G653">
        <v>0.10761310845604985</v>
      </c>
      <c r="H653">
        <v>21.855866003999957</v>
      </c>
      <c r="I653">
        <v>36</v>
      </c>
      <c r="J653">
        <v>8040</v>
      </c>
      <c r="K653">
        <v>1</v>
      </c>
      <c r="L653">
        <v>3</v>
      </c>
      <c r="M653">
        <v>1</v>
      </c>
      <c r="N653">
        <v>4</v>
      </c>
    </row>
    <row r="654" spans="1:14">
      <c r="A654">
        <v>71</v>
      </c>
      <c r="B654">
        <v>1</v>
      </c>
      <c r="C654">
        <v>1942</v>
      </c>
      <c r="D654" s="131">
        <v>0.22989020999789853</v>
      </c>
      <c r="E654">
        <v>7</v>
      </c>
      <c r="F654">
        <v>0</v>
      </c>
      <c r="G654">
        <v>8.6323997051953191E-2</v>
      </c>
      <c r="H654">
        <v>17.399610014000007</v>
      </c>
      <c r="I654">
        <v>36</v>
      </c>
      <c r="J654">
        <v>8040</v>
      </c>
      <c r="K654">
        <v>1</v>
      </c>
      <c r="L654">
        <v>2</v>
      </c>
      <c r="M654">
        <v>2</v>
      </c>
      <c r="N654">
        <v>2</v>
      </c>
    </row>
    <row r="655" spans="1:14">
      <c r="A655">
        <v>71</v>
      </c>
      <c r="B655">
        <v>2</v>
      </c>
      <c r="C655">
        <v>1484</v>
      </c>
      <c r="D655" s="131">
        <v>0.19778012759600211</v>
      </c>
      <c r="E655">
        <v>5</v>
      </c>
      <c r="F655">
        <v>0</v>
      </c>
      <c r="G655">
        <v>6.7163497157054775E-2</v>
      </c>
      <c r="H655">
        <v>20.224478811999994</v>
      </c>
      <c r="I655">
        <v>36</v>
      </c>
      <c r="J655">
        <v>8040</v>
      </c>
      <c r="K655">
        <v>1</v>
      </c>
      <c r="L655">
        <v>1</v>
      </c>
      <c r="M655">
        <v>1</v>
      </c>
      <c r="N655">
        <v>2</v>
      </c>
    </row>
    <row r="656" spans="1:14">
      <c r="A656">
        <v>72</v>
      </c>
      <c r="B656">
        <v>1</v>
      </c>
      <c r="C656">
        <v>2210</v>
      </c>
      <c r="D656" s="131">
        <v>0.23345399998630331</v>
      </c>
      <c r="E656">
        <v>7</v>
      </c>
      <c r="F656">
        <v>0</v>
      </c>
      <c r="G656">
        <v>8.6240506145146584E-2</v>
      </c>
      <c r="H656">
        <v>17.133996419999995</v>
      </c>
      <c r="I656">
        <v>36</v>
      </c>
      <c r="J656">
        <v>8040</v>
      </c>
      <c r="K656">
        <v>1</v>
      </c>
      <c r="L656">
        <v>2</v>
      </c>
      <c r="M656">
        <v>2</v>
      </c>
      <c r="N656">
        <v>2</v>
      </c>
    </row>
    <row r="657" spans="1:14">
      <c r="A657">
        <v>72</v>
      </c>
      <c r="B657">
        <v>2</v>
      </c>
      <c r="C657">
        <v>1237</v>
      </c>
      <c r="D657" s="131">
        <v>0.19986146979958963</v>
      </c>
      <c r="E657">
        <v>5</v>
      </c>
      <c r="F657">
        <v>0</v>
      </c>
      <c r="G657">
        <v>6.7103709346009094E-2</v>
      </c>
      <c r="H657">
        <v>20.013862622000055</v>
      </c>
      <c r="I657">
        <v>36</v>
      </c>
      <c r="J657">
        <v>8040</v>
      </c>
      <c r="K657">
        <v>1</v>
      </c>
      <c r="L657">
        <v>1</v>
      </c>
      <c r="M657">
        <v>1</v>
      </c>
      <c r="N657">
        <v>2</v>
      </c>
    </row>
    <row r="658" spans="1:14">
      <c r="A658">
        <v>73</v>
      </c>
      <c r="B658">
        <v>1</v>
      </c>
      <c r="C658">
        <v>1886</v>
      </c>
      <c r="D658" s="131">
        <v>0.2277204493020516</v>
      </c>
      <c r="E658">
        <v>8</v>
      </c>
      <c r="F658">
        <v>0</v>
      </c>
      <c r="G658">
        <v>9.6375679228745223E-2</v>
      </c>
      <c r="H658">
        <v>17.565396574000008</v>
      </c>
      <c r="I658">
        <v>39</v>
      </c>
      <c r="J658">
        <v>8040</v>
      </c>
      <c r="K658">
        <v>2</v>
      </c>
      <c r="L658">
        <v>2</v>
      </c>
      <c r="M658">
        <v>1</v>
      </c>
      <c r="N658">
        <v>3</v>
      </c>
    </row>
    <row r="659" spans="1:14">
      <c r="A659">
        <v>73</v>
      </c>
      <c r="B659">
        <v>2</v>
      </c>
      <c r="C659">
        <v>1464</v>
      </c>
      <c r="D659" s="131">
        <v>0.19728840423107552</v>
      </c>
      <c r="E659">
        <v>5</v>
      </c>
      <c r="F659">
        <v>0</v>
      </c>
      <c r="G659">
        <v>6.7177744810686835E-2</v>
      </c>
      <c r="H659">
        <v>20.274886482000078</v>
      </c>
      <c r="I659">
        <v>36</v>
      </c>
      <c r="J659">
        <v>8040</v>
      </c>
      <c r="K659">
        <v>1</v>
      </c>
      <c r="L659">
        <v>1</v>
      </c>
      <c r="M659">
        <v>1</v>
      </c>
      <c r="N659">
        <v>2</v>
      </c>
    </row>
    <row r="660" spans="1:14">
      <c r="A660">
        <v>74</v>
      </c>
      <c r="B660">
        <v>1</v>
      </c>
      <c r="C660">
        <v>1948</v>
      </c>
      <c r="D660" s="131">
        <v>0.22326005257985446</v>
      </c>
      <c r="E660">
        <v>7</v>
      </c>
      <c r="F660">
        <v>0</v>
      </c>
      <c r="G660">
        <v>8.6484014673175874E-2</v>
      </c>
      <c r="H660">
        <v>17.916326515999998</v>
      </c>
      <c r="I660">
        <v>35</v>
      </c>
      <c r="J660">
        <v>8040</v>
      </c>
      <c r="K660">
        <v>1</v>
      </c>
      <c r="L660">
        <v>2</v>
      </c>
      <c r="M660">
        <v>1</v>
      </c>
      <c r="N660">
        <v>3</v>
      </c>
    </row>
    <row r="661" spans="1:14">
      <c r="A661">
        <v>74</v>
      </c>
      <c r="B661">
        <v>2</v>
      </c>
      <c r="C661">
        <v>1453</v>
      </c>
      <c r="D661" s="131">
        <v>0.19793621698454861</v>
      </c>
      <c r="E661">
        <v>5</v>
      </c>
      <c r="F661">
        <v>0</v>
      </c>
      <c r="G661">
        <v>6.7158984349272088E-2</v>
      </c>
      <c r="H661">
        <v>20.208530106000005</v>
      </c>
      <c r="I661">
        <v>36</v>
      </c>
      <c r="J661">
        <v>8040</v>
      </c>
      <c r="K661">
        <v>1</v>
      </c>
      <c r="L661">
        <v>1</v>
      </c>
      <c r="M661">
        <v>1</v>
      </c>
      <c r="N661">
        <v>2</v>
      </c>
    </row>
    <row r="662" spans="1:14">
      <c r="A662">
        <v>75</v>
      </c>
      <c r="B662">
        <v>1</v>
      </c>
      <c r="C662">
        <v>1834</v>
      </c>
      <c r="D662" s="131">
        <v>0.23315406864642521</v>
      </c>
      <c r="E662">
        <v>7</v>
      </c>
      <c r="F662">
        <v>0</v>
      </c>
      <c r="G662">
        <v>8.6247467135325065E-2</v>
      </c>
      <c r="H662">
        <v>17.156037735999977</v>
      </c>
      <c r="I662">
        <v>36</v>
      </c>
      <c r="J662">
        <v>8040</v>
      </c>
      <c r="K662">
        <v>1</v>
      </c>
      <c r="L662">
        <v>2</v>
      </c>
      <c r="M662">
        <v>2</v>
      </c>
      <c r="N662">
        <v>2</v>
      </c>
    </row>
    <row r="663" spans="1:14">
      <c r="A663">
        <v>75</v>
      </c>
      <c r="B663">
        <v>2</v>
      </c>
      <c r="C663">
        <v>1407</v>
      </c>
      <c r="D663" s="131">
        <v>0.1999626168488064</v>
      </c>
      <c r="E663">
        <v>5</v>
      </c>
      <c r="F663">
        <v>0</v>
      </c>
      <c r="G663">
        <v>6.7100825004369438E-2</v>
      </c>
      <c r="H663">
        <v>20.00373901399999</v>
      </c>
      <c r="I663">
        <v>36</v>
      </c>
      <c r="J663">
        <v>8040</v>
      </c>
      <c r="K663">
        <v>1</v>
      </c>
      <c r="L663">
        <v>1</v>
      </c>
      <c r="M663">
        <v>1</v>
      </c>
      <c r="N663">
        <v>2</v>
      </c>
    </row>
    <row r="664" spans="1:14">
      <c r="A664">
        <v>76</v>
      </c>
      <c r="B664">
        <v>1</v>
      </c>
      <c r="C664">
        <v>2051</v>
      </c>
      <c r="D664" s="131">
        <v>0.23149328238741482</v>
      </c>
      <c r="E664">
        <v>9</v>
      </c>
      <c r="F664">
        <v>0</v>
      </c>
      <c r="G664">
        <v>0.10628622894742394</v>
      </c>
      <c r="H664">
        <v>17.279119112000032</v>
      </c>
      <c r="I664">
        <v>36</v>
      </c>
      <c r="J664">
        <v>8040</v>
      </c>
      <c r="K664">
        <v>1</v>
      </c>
      <c r="L664">
        <v>3</v>
      </c>
      <c r="M664">
        <v>1</v>
      </c>
      <c r="N664">
        <v>4</v>
      </c>
    </row>
    <row r="665" spans="1:14">
      <c r="A665">
        <v>76</v>
      </c>
      <c r="B665">
        <v>2</v>
      </c>
      <c r="C665">
        <v>1471</v>
      </c>
      <c r="D665" s="131">
        <v>0.19806233490572267</v>
      </c>
      <c r="E665">
        <v>5</v>
      </c>
      <c r="F665">
        <v>0</v>
      </c>
      <c r="G665">
        <v>6.7155341531593429E-2</v>
      </c>
      <c r="H665">
        <v>20.195662147999986</v>
      </c>
      <c r="I665">
        <v>36</v>
      </c>
      <c r="J665">
        <v>8040</v>
      </c>
      <c r="K665">
        <v>1</v>
      </c>
      <c r="L665">
        <v>1</v>
      </c>
      <c r="M665">
        <v>1</v>
      </c>
      <c r="N665">
        <v>2</v>
      </c>
    </row>
    <row r="666" spans="1:14">
      <c r="A666">
        <v>77</v>
      </c>
      <c r="B666">
        <v>1</v>
      </c>
      <c r="C666">
        <v>1938</v>
      </c>
      <c r="D666" s="131">
        <v>0.23062115247524351</v>
      </c>
      <c r="E666">
        <v>7</v>
      </c>
      <c r="F666">
        <v>0</v>
      </c>
      <c r="G666">
        <v>8.6306732762559554E-2</v>
      </c>
      <c r="H666">
        <v>17.344462800000048</v>
      </c>
      <c r="I666">
        <v>37</v>
      </c>
      <c r="J666">
        <v>8040</v>
      </c>
      <c r="K666">
        <v>1</v>
      </c>
      <c r="L666">
        <v>2</v>
      </c>
      <c r="M666">
        <v>2</v>
      </c>
      <c r="N666">
        <v>2</v>
      </c>
    </row>
    <row r="667" spans="1:14">
      <c r="A667">
        <v>77</v>
      </c>
      <c r="B667">
        <v>2</v>
      </c>
      <c r="C667">
        <v>1071</v>
      </c>
      <c r="D667" s="131">
        <v>0.19900480051499173</v>
      </c>
      <c r="E667">
        <v>5</v>
      </c>
      <c r="F667">
        <v>0</v>
      </c>
      <c r="G667">
        <v>6.7128216707554159E-2</v>
      </c>
      <c r="H667">
        <v>20.100017636000022</v>
      </c>
      <c r="I667">
        <v>37</v>
      </c>
      <c r="J667">
        <v>8040</v>
      </c>
      <c r="K667">
        <v>1</v>
      </c>
      <c r="L667">
        <v>1</v>
      </c>
      <c r="M667">
        <v>1</v>
      </c>
      <c r="N667">
        <v>2</v>
      </c>
    </row>
    <row r="668" spans="1:14">
      <c r="A668">
        <v>78</v>
      </c>
      <c r="B668">
        <v>1</v>
      </c>
      <c r="C668">
        <v>1339</v>
      </c>
      <c r="D668" s="131">
        <v>0.22411522971313128</v>
      </c>
      <c r="E668">
        <v>7</v>
      </c>
      <c r="F668">
        <v>0</v>
      </c>
      <c r="G668">
        <v>8.6463021423958744E-2</v>
      </c>
      <c r="H668">
        <v>17.847961537999993</v>
      </c>
      <c r="I668">
        <v>36</v>
      </c>
      <c r="J668">
        <v>8040</v>
      </c>
      <c r="K668">
        <v>1</v>
      </c>
      <c r="L668">
        <v>2</v>
      </c>
      <c r="M668">
        <v>1</v>
      </c>
      <c r="N668">
        <v>3</v>
      </c>
    </row>
    <row r="669" spans="1:14">
      <c r="A669">
        <v>78</v>
      </c>
      <c r="B669">
        <v>2</v>
      </c>
      <c r="C669">
        <v>1004</v>
      </c>
      <c r="D669" s="131">
        <v>0.19913207996198365</v>
      </c>
      <c r="E669">
        <v>5</v>
      </c>
      <c r="F669">
        <v>0</v>
      </c>
      <c r="G669">
        <v>6.7124566643410682E-2</v>
      </c>
      <c r="H669">
        <v>20.08717028800001</v>
      </c>
      <c r="I669">
        <v>36</v>
      </c>
      <c r="J669">
        <v>8040</v>
      </c>
      <c r="K669">
        <v>1</v>
      </c>
      <c r="L669">
        <v>1</v>
      </c>
      <c r="M669">
        <v>1</v>
      </c>
      <c r="N669">
        <v>2</v>
      </c>
    </row>
    <row r="670" spans="1:14">
      <c r="A670">
        <v>79</v>
      </c>
      <c r="B670">
        <v>1</v>
      </c>
      <c r="C670">
        <v>2071</v>
      </c>
      <c r="D670" s="131">
        <v>0.22992198825456853</v>
      </c>
      <c r="E670">
        <v>7</v>
      </c>
      <c r="F670">
        <v>0</v>
      </c>
      <c r="G670">
        <v>8.6323244953276521E-2</v>
      </c>
      <c r="H670">
        <v>17.397205158000023</v>
      </c>
      <c r="I670">
        <v>36</v>
      </c>
      <c r="J670">
        <v>8040</v>
      </c>
      <c r="K670">
        <v>1</v>
      </c>
      <c r="L670">
        <v>2</v>
      </c>
      <c r="M670">
        <v>2</v>
      </c>
      <c r="N670">
        <v>2</v>
      </c>
    </row>
    <row r="671" spans="1:14">
      <c r="A671">
        <v>79</v>
      </c>
      <c r="B671">
        <v>2</v>
      </c>
      <c r="C671">
        <v>1121</v>
      </c>
      <c r="D671" s="131">
        <v>0.19911811395747844</v>
      </c>
      <c r="E671">
        <v>5</v>
      </c>
      <c r="F671">
        <v>0</v>
      </c>
      <c r="G671">
        <v>6.7124967002405014E-2</v>
      </c>
      <c r="H671">
        <v>20.08857918799993</v>
      </c>
      <c r="I671">
        <v>36</v>
      </c>
      <c r="J671">
        <v>8040</v>
      </c>
      <c r="K671">
        <v>1</v>
      </c>
      <c r="L671">
        <v>1</v>
      </c>
      <c r="M671">
        <v>1</v>
      </c>
      <c r="N671">
        <v>2</v>
      </c>
    </row>
    <row r="672" spans="1:14">
      <c r="A672">
        <v>80</v>
      </c>
      <c r="B672">
        <v>1</v>
      </c>
      <c r="C672">
        <v>1501</v>
      </c>
      <c r="D672" s="131">
        <v>0.22430734358579618</v>
      </c>
      <c r="E672">
        <v>7</v>
      </c>
      <c r="F672">
        <v>0</v>
      </c>
      <c r="G672">
        <v>8.6458320020179724E-2</v>
      </c>
      <c r="H672">
        <v>17.832675185999982</v>
      </c>
      <c r="I672">
        <v>36</v>
      </c>
      <c r="J672">
        <v>8040</v>
      </c>
      <c r="K672">
        <v>1</v>
      </c>
      <c r="L672">
        <v>2</v>
      </c>
      <c r="M672">
        <v>1</v>
      </c>
      <c r="N672">
        <v>3</v>
      </c>
    </row>
    <row r="673" spans="1:14">
      <c r="A673">
        <v>80</v>
      </c>
      <c r="B673">
        <v>2</v>
      </c>
      <c r="C673">
        <v>1257</v>
      </c>
      <c r="D673" s="131">
        <v>0.19945357260451421</v>
      </c>
      <c r="E673">
        <v>5</v>
      </c>
      <c r="F673">
        <v>0</v>
      </c>
      <c r="G673">
        <v>6.7115360853871098E-2</v>
      </c>
      <c r="H673">
        <v>20.054792439999986</v>
      </c>
      <c r="I673">
        <v>37</v>
      </c>
      <c r="J673">
        <v>8040</v>
      </c>
      <c r="K673">
        <v>1</v>
      </c>
      <c r="L673">
        <v>1</v>
      </c>
      <c r="M673">
        <v>1</v>
      </c>
      <c r="N673">
        <v>2</v>
      </c>
    </row>
    <row r="684" spans="1:14">
      <c r="A684">
        <v>1</v>
      </c>
      <c r="B684">
        <v>1</v>
      </c>
      <c r="C684">
        <v>3395</v>
      </c>
      <c r="D684" s="131">
        <v>0.38492230945105993</v>
      </c>
      <c r="E684">
        <v>61</v>
      </c>
      <c r="F684">
        <v>0</v>
      </c>
      <c r="G684">
        <v>0.62374703291129829</v>
      </c>
      <c r="H684">
        <v>10.391707369999999</v>
      </c>
      <c r="I684">
        <v>35</v>
      </c>
      <c r="J684">
        <v>8040</v>
      </c>
      <c r="K684">
        <v>14</v>
      </c>
      <c r="L684">
        <v>19</v>
      </c>
      <c r="M684">
        <v>13</v>
      </c>
      <c r="N684">
        <v>15</v>
      </c>
    </row>
    <row r="685" spans="1:14">
      <c r="A685">
        <v>1</v>
      </c>
      <c r="B685">
        <v>2</v>
      </c>
      <c r="C685">
        <v>3213</v>
      </c>
      <c r="D685" s="131">
        <v>0.32438839382009033</v>
      </c>
      <c r="E685">
        <v>28</v>
      </c>
      <c r="F685">
        <v>0</v>
      </c>
      <c r="G685">
        <v>0.29455386127174732</v>
      </c>
      <c r="H685">
        <v>12.330897394000008</v>
      </c>
      <c r="I685">
        <v>36</v>
      </c>
      <c r="J685">
        <v>8040</v>
      </c>
      <c r="K685">
        <v>7</v>
      </c>
      <c r="L685">
        <v>7</v>
      </c>
      <c r="M685">
        <v>8</v>
      </c>
      <c r="N685">
        <v>6</v>
      </c>
    </row>
    <row r="686" spans="1:14">
      <c r="A686">
        <v>2</v>
      </c>
      <c r="B686">
        <v>1</v>
      </c>
      <c r="C686">
        <v>1257</v>
      </c>
      <c r="D686" s="131">
        <v>0.37062734305417494</v>
      </c>
      <c r="E686">
        <v>40</v>
      </c>
      <c r="F686">
        <v>0</v>
      </c>
      <c r="G686">
        <v>0.41392154753350247</v>
      </c>
      <c r="H686">
        <v>10.792511872</v>
      </c>
      <c r="I686">
        <v>36</v>
      </c>
      <c r="J686">
        <v>8040</v>
      </c>
      <c r="K686">
        <v>11</v>
      </c>
      <c r="L686">
        <v>10</v>
      </c>
      <c r="M686">
        <v>11</v>
      </c>
      <c r="N686">
        <v>8</v>
      </c>
    </row>
    <row r="687" spans="1:14">
      <c r="A687">
        <v>2</v>
      </c>
      <c r="B687">
        <v>2</v>
      </c>
      <c r="C687">
        <v>3389</v>
      </c>
      <c r="D687" s="131">
        <v>0.31583053998236077</v>
      </c>
      <c r="E687">
        <v>21</v>
      </c>
      <c r="F687">
        <v>0</v>
      </c>
      <c r="G687">
        <v>0.22468414369438286</v>
      </c>
      <c r="H687">
        <v>12.665019666000005</v>
      </c>
      <c r="I687">
        <v>36</v>
      </c>
      <c r="J687">
        <v>8040</v>
      </c>
      <c r="K687">
        <v>5</v>
      </c>
      <c r="L687">
        <v>6</v>
      </c>
      <c r="M687">
        <v>5</v>
      </c>
      <c r="N687">
        <v>5</v>
      </c>
    </row>
    <row r="688" spans="1:14">
      <c r="A688">
        <v>3</v>
      </c>
      <c r="B688">
        <v>1</v>
      </c>
      <c r="C688">
        <v>3381</v>
      </c>
      <c r="D688" s="131">
        <v>0.40838763072007378</v>
      </c>
      <c r="E688">
        <v>66</v>
      </c>
      <c r="F688">
        <v>0</v>
      </c>
      <c r="G688">
        <v>0.67347852825688392</v>
      </c>
      <c r="H688">
        <v>9.7946159460000146</v>
      </c>
      <c r="I688">
        <v>35</v>
      </c>
      <c r="J688">
        <v>8040</v>
      </c>
      <c r="K688">
        <v>14</v>
      </c>
      <c r="L688">
        <v>17</v>
      </c>
      <c r="M688">
        <v>24</v>
      </c>
      <c r="N688">
        <v>11</v>
      </c>
    </row>
    <row r="689" spans="1:14">
      <c r="A689">
        <v>3</v>
      </c>
      <c r="B689">
        <v>2</v>
      </c>
      <c r="C689">
        <v>1423</v>
      </c>
      <c r="D689" s="131">
        <v>0.3355229111148807</v>
      </c>
      <c r="E689">
        <v>23</v>
      </c>
      <c r="F689">
        <v>0</v>
      </c>
      <c r="G689">
        <v>0.24439105411437237</v>
      </c>
      <c r="H689">
        <v>11.921689600000008</v>
      </c>
      <c r="I689">
        <v>35</v>
      </c>
      <c r="J689">
        <v>8040</v>
      </c>
      <c r="K689">
        <v>4</v>
      </c>
      <c r="L689">
        <v>6</v>
      </c>
      <c r="M689">
        <v>8</v>
      </c>
      <c r="N689">
        <v>5</v>
      </c>
    </row>
    <row r="690" spans="1:14">
      <c r="A690">
        <v>4</v>
      </c>
      <c r="B690">
        <v>1</v>
      </c>
      <c r="C690">
        <v>4221</v>
      </c>
      <c r="D690" s="131">
        <v>0.41671891071650291</v>
      </c>
      <c r="E690">
        <v>89</v>
      </c>
      <c r="F690">
        <v>0</v>
      </c>
      <c r="G690">
        <v>0.90338809946620002</v>
      </c>
      <c r="H690">
        <v>9.598796448000007</v>
      </c>
      <c r="I690">
        <v>35</v>
      </c>
      <c r="J690">
        <v>8040</v>
      </c>
      <c r="K690">
        <v>34</v>
      </c>
      <c r="L690">
        <v>19</v>
      </c>
      <c r="M690">
        <v>22</v>
      </c>
      <c r="N690">
        <v>14</v>
      </c>
    </row>
    <row r="691" spans="1:14">
      <c r="A691">
        <v>4</v>
      </c>
      <c r="B691">
        <v>2</v>
      </c>
      <c r="C691">
        <v>2921</v>
      </c>
      <c r="D691" s="131">
        <v>0.34531488606030697</v>
      </c>
      <c r="E691">
        <v>29</v>
      </c>
      <c r="F691">
        <v>0</v>
      </c>
      <c r="G691">
        <v>0.30425372032379838</v>
      </c>
      <c r="H691">
        <v>11.583630365999994</v>
      </c>
      <c r="I691">
        <v>36</v>
      </c>
      <c r="J691">
        <v>8040</v>
      </c>
      <c r="K691">
        <v>7</v>
      </c>
      <c r="L691">
        <v>7</v>
      </c>
      <c r="M691">
        <v>8</v>
      </c>
      <c r="N691">
        <v>7</v>
      </c>
    </row>
    <row r="692" spans="1:14">
      <c r="A692">
        <v>5</v>
      </c>
      <c r="B692">
        <v>1</v>
      </c>
      <c r="C692">
        <v>4751</v>
      </c>
      <c r="D692" s="131">
        <v>0.40077957767801442</v>
      </c>
      <c r="E692">
        <v>66</v>
      </c>
      <c r="F692">
        <v>0</v>
      </c>
      <c r="G692">
        <v>0.67356328244087482</v>
      </c>
      <c r="H692">
        <v>9.9805484680000163</v>
      </c>
      <c r="I692">
        <v>35</v>
      </c>
      <c r="J692">
        <v>8040</v>
      </c>
      <c r="K692">
        <v>20</v>
      </c>
      <c r="L692">
        <v>16</v>
      </c>
      <c r="M692">
        <v>16</v>
      </c>
      <c r="N692">
        <v>14</v>
      </c>
    </row>
    <row r="693" spans="1:14">
      <c r="A693">
        <v>5</v>
      </c>
      <c r="B693">
        <v>2</v>
      </c>
      <c r="C693">
        <v>1726</v>
      </c>
      <c r="D693" s="131">
        <v>0.31383591150313989</v>
      </c>
      <c r="E693">
        <v>20</v>
      </c>
      <c r="F693">
        <v>0</v>
      </c>
      <c r="G693">
        <v>0.21471518707014062</v>
      </c>
      <c r="H693">
        <v>12.745513988000001</v>
      </c>
      <c r="I693">
        <v>36</v>
      </c>
      <c r="J693">
        <v>8040</v>
      </c>
      <c r="K693">
        <v>5</v>
      </c>
      <c r="L693">
        <v>5</v>
      </c>
      <c r="M693">
        <v>6</v>
      </c>
      <c r="N693">
        <v>4</v>
      </c>
    </row>
    <row r="694" spans="1:14">
      <c r="A694">
        <v>6</v>
      </c>
      <c r="B694">
        <v>1</v>
      </c>
      <c r="C694">
        <v>3819</v>
      </c>
      <c r="D694" s="131">
        <v>0.42622201476651883</v>
      </c>
      <c r="E694">
        <v>61</v>
      </c>
      <c r="F694">
        <v>0</v>
      </c>
      <c r="G694">
        <v>0.62328784970956408</v>
      </c>
      <c r="H694">
        <v>9.3847803759999806</v>
      </c>
      <c r="I694">
        <v>35</v>
      </c>
      <c r="J694">
        <v>8040</v>
      </c>
      <c r="K694">
        <v>14</v>
      </c>
      <c r="L694">
        <v>19</v>
      </c>
      <c r="M694">
        <v>16</v>
      </c>
      <c r="N694">
        <v>12</v>
      </c>
    </row>
    <row r="695" spans="1:14">
      <c r="A695">
        <v>6</v>
      </c>
      <c r="B695">
        <v>2</v>
      </c>
      <c r="C695">
        <v>1732</v>
      </c>
      <c r="D695" s="131">
        <v>0.33463340256289903</v>
      </c>
      <c r="E695">
        <v>21</v>
      </c>
      <c r="F695">
        <v>0</v>
      </c>
      <c r="G695">
        <v>0.22440379406601099</v>
      </c>
      <c r="H695">
        <v>11.953379338000019</v>
      </c>
      <c r="I695">
        <v>36</v>
      </c>
      <c r="J695">
        <v>8040</v>
      </c>
      <c r="K695">
        <v>5</v>
      </c>
      <c r="L695">
        <v>7</v>
      </c>
      <c r="M695">
        <v>5</v>
      </c>
      <c r="N695">
        <v>4</v>
      </c>
    </row>
    <row r="696" spans="1:14">
      <c r="A696">
        <v>7</v>
      </c>
      <c r="B696">
        <v>1</v>
      </c>
      <c r="C696">
        <v>2909</v>
      </c>
      <c r="D696" s="131">
        <v>0.42554774708065007</v>
      </c>
      <c r="E696">
        <v>153</v>
      </c>
      <c r="F696">
        <v>0</v>
      </c>
      <c r="G696">
        <v>1.5432948640730839</v>
      </c>
      <c r="H696">
        <v>9.3996502799999959</v>
      </c>
      <c r="I696">
        <v>34</v>
      </c>
      <c r="J696">
        <v>8040</v>
      </c>
      <c r="K696">
        <v>38</v>
      </c>
      <c r="L696">
        <v>31</v>
      </c>
      <c r="M696">
        <v>56</v>
      </c>
      <c r="N696">
        <v>28</v>
      </c>
    </row>
    <row r="697" spans="1:14">
      <c r="A697">
        <v>7</v>
      </c>
      <c r="B697">
        <v>2</v>
      </c>
      <c r="C697">
        <v>3783</v>
      </c>
      <c r="D697" s="131">
        <v>0.33486914621011538</v>
      </c>
      <c r="E697">
        <v>31</v>
      </c>
      <c r="F697">
        <v>0</v>
      </c>
      <c r="G697">
        <v>0.32440041324286695</v>
      </c>
      <c r="H697">
        <v>11.94496431</v>
      </c>
      <c r="I697">
        <v>36</v>
      </c>
      <c r="J697">
        <v>8040</v>
      </c>
      <c r="K697">
        <v>7</v>
      </c>
      <c r="L697">
        <v>8</v>
      </c>
      <c r="M697">
        <v>9</v>
      </c>
      <c r="N697">
        <v>7</v>
      </c>
    </row>
    <row r="698" spans="1:14">
      <c r="A698">
        <v>8</v>
      </c>
      <c r="B698">
        <v>1</v>
      </c>
      <c r="C698">
        <v>2282</v>
      </c>
      <c r="D698" s="131">
        <v>0.39245032339965075</v>
      </c>
      <c r="E698">
        <v>38</v>
      </c>
      <c r="F698">
        <v>0</v>
      </c>
      <c r="G698">
        <v>0.39365856591603021</v>
      </c>
      <c r="H698">
        <v>10.192372795999994</v>
      </c>
      <c r="I698">
        <v>35</v>
      </c>
      <c r="J698">
        <v>8040</v>
      </c>
      <c r="K698">
        <v>10</v>
      </c>
      <c r="L698">
        <v>9</v>
      </c>
      <c r="M698">
        <v>10</v>
      </c>
      <c r="N698">
        <v>9</v>
      </c>
    </row>
    <row r="699" spans="1:14">
      <c r="A699">
        <v>8</v>
      </c>
      <c r="B699">
        <v>2</v>
      </c>
      <c r="C699">
        <v>1647</v>
      </c>
      <c r="D699" s="131">
        <v>0.32343753939822972</v>
      </c>
      <c r="E699">
        <v>19</v>
      </c>
      <c r="F699">
        <v>0</v>
      </c>
      <c r="G699">
        <v>0.20456810932345867</v>
      </c>
      <c r="H699">
        <v>12.367148252000007</v>
      </c>
      <c r="I699">
        <v>36</v>
      </c>
      <c r="J699">
        <v>8040</v>
      </c>
      <c r="K699">
        <v>4</v>
      </c>
      <c r="L699">
        <v>5</v>
      </c>
      <c r="M699">
        <v>6</v>
      </c>
      <c r="N699">
        <v>4</v>
      </c>
    </row>
    <row r="700" spans="1:14">
      <c r="A700">
        <v>9</v>
      </c>
      <c r="B700">
        <v>1</v>
      </c>
      <c r="C700">
        <v>2991</v>
      </c>
      <c r="D700" s="131">
        <v>0.400647280297245</v>
      </c>
      <c r="E700">
        <v>62</v>
      </c>
      <c r="F700">
        <v>0</v>
      </c>
      <c r="G700">
        <v>0.63356477518304344</v>
      </c>
      <c r="H700">
        <v>9.9838441360000054</v>
      </c>
      <c r="I700">
        <v>36</v>
      </c>
      <c r="J700">
        <v>8040</v>
      </c>
      <c r="K700">
        <v>16</v>
      </c>
      <c r="L700">
        <v>18</v>
      </c>
      <c r="M700">
        <v>14</v>
      </c>
      <c r="N700">
        <v>14</v>
      </c>
    </row>
    <row r="701" spans="1:14">
      <c r="A701">
        <v>9</v>
      </c>
      <c r="B701">
        <v>2</v>
      </c>
      <c r="C701">
        <v>2833</v>
      </c>
      <c r="D701" s="131">
        <v>0.33375563183112189</v>
      </c>
      <c r="E701">
        <v>26</v>
      </c>
      <c r="F701">
        <v>0</v>
      </c>
      <c r="G701">
        <v>0.27441641024384184</v>
      </c>
      <c r="H701">
        <v>11.984816490000004</v>
      </c>
      <c r="I701">
        <v>36</v>
      </c>
      <c r="J701">
        <v>8040</v>
      </c>
      <c r="K701">
        <v>6</v>
      </c>
      <c r="L701">
        <v>7</v>
      </c>
      <c r="M701">
        <v>7</v>
      </c>
      <c r="N701">
        <v>6</v>
      </c>
    </row>
    <row r="702" spans="1:14">
      <c r="A702">
        <v>10</v>
      </c>
      <c r="B702">
        <v>1</v>
      </c>
      <c r="C702">
        <v>3628</v>
      </c>
      <c r="D702" s="131">
        <v>0.39252624649072121</v>
      </c>
      <c r="E702">
        <v>60</v>
      </c>
      <c r="F702">
        <v>0</v>
      </c>
      <c r="G702">
        <v>0.61365768523826669</v>
      </c>
      <c r="H702">
        <v>10.190401369999993</v>
      </c>
      <c r="I702">
        <v>35</v>
      </c>
      <c r="J702">
        <v>8040</v>
      </c>
      <c r="K702">
        <v>15</v>
      </c>
      <c r="L702">
        <v>10</v>
      </c>
      <c r="M702">
        <v>22</v>
      </c>
      <c r="N702">
        <v>13</v>
      </c>
    </row>
    <row r="703" spans="1:14">
      <c r="A703">
        <v>10</v>
      </c>
      <c r="B703">
        <v>2</v>
      </c>
      <c r="C703">
        <v>1615</v>
      </c>
      <c r="D703" s="131">
        <v>0.3129788558400256</v>
      </c>
      <c r="E703">
        <v>21</v>
      </c>
      <c r="F703">
        <v>0</v>
      </c>
      <c r="G703">
        <v>0.22472860676260342</v>
      </c>
      <c r="H703">
        <v>12.780416074000026</v>
      </c>
      <c r="I703">
        <v>36</v>
      </c>
      <c r="J703">
        <v>8040</v>
      </c>
      <c r="K703">
        <v>6</v>
      </c>
      <c r="L703">
        <v>5</v>
      </c>
      <c r="M703">
        <v>6</v>
      </c>
      <c r="N703">
        <v>4</v>
      </c>
    </row>
    <row r="704" spans="1:14">
      <c r="A704">
        <v>11</v>
      </c>
      <c r="B704">
        <v>1</v>
      </c>
      <c r="C704">
        <v>1428</v>
      </c>
      <c r="D704" s="131">
        <v>0.43855443395402866</v>
      </c>
      <c r="E704">
        <v>18</v>
      </c>
      <c r="F704">
        <v>0</v>
      </c>
      <c r="G704">
        <v>0.19316210945138834</v>
      </c>
      <c r="H704">
        <v>9.1208746059999903</v>
      </c>
      <c r="I704">
        <v>36</v>
      </c>
      <c r="J704">
        <v>8040</v>
      </c>
      <c r="K704">
        <v>4</v>
      </c>
      <c r="L704">
        <v>5</v>
      </c>
      <c r="M704">
        <v>5</v>
      </c>
      <c r="N704">
        <v>4</v>
      </c>
    </row>
    <row r="705" spans="1:14">
      <c r="A705">
        <v>11</v>
      </c>
      <c r="B705">
        <v>2</v>
      </c>
      <c r="C705">
        <v>1276</v>
      </c>
      <c r="D705" s="131">
        <v>0.35586390482813435</v>
      </c>
      <c r="E705">
        <v>9</v>
      </c>
      <c r="F705">
        <v>0</v>
      </c>
      <c r="G705">
        <v>0.10411146230644165</v>
      </c>
      <c r="H705">
        <v>11.240252090000006</v>
      </c>
      <c r="I705">
        <v>36</v>
      </c>
      <c r="J705">
        <v>8040</v>
      </c>
      <c r="K705">
        <v>2</v>
      </c>
      <c r="L705">
        <v>2</v>
      </c>
      <c r="M705">
        <v>3</v>
      </c>
      <c r="N705">
        <v>2</v>
      </c>
    </row>
    <row r="706" spans="1:14">
      <c r="A706">
        <v>12</v>
      </c>
      <c r="B706">
        <v>1</v>
      </c>
      <c r="C706">
        <v>1345</v>
      </c>
      <c r="D706" s="131">
        <v>0.43827706721241511</v>
      </c>
      <c r="E706">
        <v>18</v>
      </c>
      <c r="F706">
        <v>0</v>
      </c>
      <c r="G706">
        <v>0.19316488544388613</v>
      </c>
      <c r="H706">
        <v>9.126646815999985</v>
      </c>
      <c r="I706">
        <v>36</v>
      </c>
      <c r="J706">
        <v>8040</v>
      </c>
      <c r="K706">
        <v>4</v>
      </c>
      <c r="L706">
        <v>5</v>
      </c>
      <c r="M706">
        <v>4</v>
      </c>
      <c r="N706">
        <v>5</v>
      </c>
    </row>
    <row r="707" spans="1:14">
      <c r="A707">
        <v>12</v>
      </c>
      <c r="B707">
        <v>2</v>
      </c>
      <c r="C707">
        <v>1194</v>
      </c>
      <c r="D707" s="131">
        <v>0.35212431308295472</v>
      </c>
      <c r="E707">
        <v>9</v>
      </c>
      <c r="F707">
        <v>0</v>
      </c>
      <c r="G707">
        <v>0.1041612414981974</v>
      </c>
      <c r="H707">
        <v>11.359624573999994</v>
      </c>
      <c r="I707">
        <v>37</v>
      </c>
      <c r="J707">
        <v>8040</v>
      </c>
      <c r="K707">
        <v>2</v>
      </c>
      <c r="L707">
        <v>2</v>
      </c>
      <c r="M707">
        <v>3</v>
      </c>
      <c r="N707">
        <v>2</v>
      </c>
    </row>
    <row r="708" spans="1:14">
      <c r="A708">
        <v>13</v>
      </c>
      <c r="B708">
        <v>1</v>
      </c>
      <c r="C708">
        <v>1110</v>
      </c>
      <c r="D708" s="131">
        <v>0.43555677175201818</v>
      </c>
      <c r="E708">
        <v>17</v>
      </c>
      <c r="F708">
        <v>0</v>
      </c>
      <c r="G708">
        <v>0.18319223593865616</v>
      </c>
      <c r="H708">
        <v>9.1836478259999996</v>
      </c>
      <c r="I708">
        <v>36</v>
      </c>
      <c r="J708">
        <v>8040</v>
      </c>
      <c r="K708">
        <v>4</v>
      </c>
      <c r="L708">
        <v>5</v>
      </c>
      <c r="M708">
        <v>4</v>
      </c>
      <c r="N708">
        <v>4</v>
      </c>
    </row>
    <row r="709" spans="1:14">
      <c r="A709">
        <v>13</v>
      </c>
      <c r="B709">
        <v>2</v>
      </c>
      <c r="C709">
        <v>878</v>
      </c>
      <c r="D709" s="131">
        <v>0.35396976716007295</v>
      </c>
      <c r="E709">
        <v>9</v>
      </c>
      <c r="F709">
        <v>0</v>
      </c>
      <c r="G709">
        <v>0.1041365882909658</v>
      </c>
      <c r="H709">
        <v>11.300400122000001</v>
      </c>
      <c r="I709">
        <v>36</v>
      </c>
      <c r="J709">
        <v>8040</v>
      </c>
      <c r="K709">
        <v>2</v>
      </c>
      <c r="L709">
        <v>3</v>
      </c>
      <c r="M709">
        <v>2</v>
      </c>
      <c r="N709">
        <v>2</v>
      </c>
    </row>
    <row r="710" spans="1:14">
      <c r="A710">
        <v>14</v>
      </c>
      <c r="B710">
        <v>1</v>
      </c>
      <c r="C710">
        <v>1276</v>
      </c>
      <c r="D710" s="131">
        <v>0.42629193582042429</v>
      </c>
      <c r="E710">
        <v>16</v>
      </c>
      <c r="F710">
        <v>0</v>
      </c>
      <c r="G710">
        <v>0.17328712317204378</v>
      </c>
      <c r="H710">
        <v>9.3832410699999773</v>
      </c>
      <c r="I710">
        <v>35</v>
      </c>
      <c r="J710">
        <v>8040</v>
      </c>
      <c r="K710">
        <v>3</v>
      </c>
      <c r="L710">
        <v>5</v>
      </c>
      <c r="M710">
        <v>4</v>
      </c>
      <c r="N710">
        <v>4</v>
      </c>
    </row>
    <row r="711" spans="1:14">
      <c r="A711">
        <v>14</v>
      </c>
      <c r="B711">
        <v>2</v>
      </c>
      <c r="C711">
        <v>1130</v>
      </c>
      <c r="D711" s="131">
        <v>0.33591993192555702</v>
      </c>
      <c r="E711">
        <v>8</v>
      </c>
      <c r="F711">
        <v>0</v>
      </c>
      <c r="G711">
        <v>9.4385382325911704E-2</v>
      </c>
      <c r="H711">
        <v>11.907599460000002</v>
      </c>
      <c r="I711">
        <v>37</v>
      </c>
      <c r="J711">
        <v>8040</v>
      </c>
      <c r="K711">
        <v>2</v>
      </c>
      <c r="L711">
        <v>2</v>
      </c>
      <c r="M711">
        <v>2</v>
      </c>
      <c r="N711">
        <v>2</v>
      </c>
    </row>
    <row r="712" spans="1:14">
      <c r="A712">
        <v>15</v>
      </c>
      <c r="B712">
        <v>1</v>
      </c>
      <c r="C712">
        <v>1164</v>
      </c>
      <c r="D712" s="131">
        <v>0.43710680573622418</v>
      </c>
      <c r="E712">
        <v>17</v>
      </c>
      <c r="F712">
        <v>0</v>
      </c>
      <c r="G712">
        <v>0.18317662371120147</v>
      </c>
      <c r="H712">
        <v>9.1510814919999994</v>
      </c>
      <c r="I712">
        <v>35</v>
      </c>
      <c r="J712">
        <v>8040</v>
      </c>
      <c r="K712">
        <v>4</v>
      </c>
      <c r="L712">
        <v>5</v>
      </c>
      <c r="M712">
        <v>4</v>
      </c>
      <c r="N712">
        <v>4</v>
      </c>
    </row>
    <row r="713" spans="1:14">
      <c r="A713">
        <v>15</v>
      </c>
      <c r="B713">
        <v>2</v>
      </c>
      <c r="C713">
        <v>970</v>
      </c>
      <c r="D713" s="131">
        <v>0.3538417704025863</v>
      </c>
      <c r="E713">
        <v>9</v>
      </c>
      <c r="F713">
        <v>0</v>
      </c>
      <c r="G713">
        <v>0.10413829264912784</v>
      </c>
      <c r="H713">
        <v>11.304487866000015</v>
      </c>
      <c r="I713">
        <v>37</v>
      </c>
      <c r="J713">
        <v>8040</v>
      </c>
      <c r="K713">
        <v>2</v>
      </c>
      <c r="L713">
        <v>3</v>
      </c>
      <c r="M713">
        <v>2</v>
      </c>
      <c r="N713">
        <v>2</v>
      </c>
    </row>
    <row r="714" spans="1:14">
      <c r="A714">
        <v>16</v>
      </c>
      <c r="B714">
        <v>1</v>
      </c>
      <c r="C714">
        <v>1691</v>
      </c>
      <c r="D714" s="131">
        <v>0.43521060038211756</v>
      </c>
      <c r="E714">
        <v>21</v>
      </c>
      <c r="F714">
        <v>0</v>
      </c>
      <c r="G714">
        <v>0.22319573276226032</v>
      </c>
      <c r="H714">
        <v>9.190952601999987</v>
      </c>
      <c r="I714">
        <v>35</v>
      </c>
      <c r="J714">
        <v>8040</v>
      </c>
      <c r="K714">
        <v>5</v>
      </c>
      <c r="L714">
        <v>6</v>
      </c>
      <c r="M714">
        <v>5</v>
      </c>
      <c r="N714">
        <v>5</v>
      </c>
    </row>
    <row r="715" spans="1:14">
      <c r="A715">
        <v>16</v>
      </c>
      <c r="B715">
        <v>2</v>
      </c>
      <c r="C715">
        <v>1249</v>
      </c>
      <c r="D715" s="131">
        <v>0.34559482614575282</v>
      </c>
      <c r="E715">
        <v>9</v>
      </c>
      <c r="F715">
        <v>0</v>
      </c>
      <c r="G715">
        <v>0.1042498706659032</v>
      </c>
      <c r="H715">
        <v>11.574247347999998</v>
      </c>
      <c r="I715">
        <v>36</v>
      </c>
      <c r="J715">
        <v>8040</v>
      </c>
      <c r="K715">
        <v>2</v>
      </c>
      <c r="L715">
        <v>2</v>
      </c>
      <c r="M715">
        <v>3</v>
      </c>
      <c r="N715">
        <v>2</v>
      </c>
    </row>
    <row r="716" spans="1:14">
      <c r="A716">
        <v>17</v>
      </c>
      <c r="B716">
        <v>1</v>
      </c>
      <c r="C716">
        <v>1564</v>
      </c>
      <c r="D716" s="131">
        <v>0.42963970532677065</v>
      </c>
      <c r="E716">
        <v>16</v>
      </c>
      <c r="F716">
        <v>0</v>
      </c>
      <c r="G716">
        <v>0.17325252188190987</v>
      </c>
      <c r="H716">
        <v>9.3101264859999944</v>
      </c>
      <c r="I716">
        <v>36</v>
      </c>
      <c r="J716">
        <v>8040</v>
      </c>
      <c r="K716">
        <v>4</v>
      </c>
      <c r="L716">
        <v>4</v>
      </c>
      <c r="M716">
        <v>4</v>
      </c>
      <c r="N716">
        <v>4</v>
      </c>
    </row>
    <row r="717" spans="1:14">
      <c r="A717">
        <v>17</v>
      </c>
      <c r="B717">
        <v>2</v>
      </c>
      <c r="C717">
        <v>1346</v>
      </c>
      <c r="D717" s="131">
        <v>0.33975999384613115</v>
      </c>
      <c r="E717">
        <v>8</v>
      </c>
      <c r="F717">
        <v>0</v>
      </c>
      <c r="G717">
        <v>9.4330980991583699E-2</v>
      </c>
      <c r="H717">
        <v>11.773016459999997</v>
      </c>
      <c r="I717">
        <v>37</v>
      </c>
      <c r="J717">
        <v>8040</v>
      </c>
      <c r="K717">
        <v>2</v>
      </c>
      <c r="L717">
        <v>2</v>
      </c>
      <c r="M717">
        <v>2</v>
      </c>
      <c r="N717">
        <v>2</v>
      </c>
    </row>
    <row r="718" spans="1:14">
      <c r="A718">
        <v>18</v>
      </c>
      <c r="B718">
        <v>1</v>
      </c>
      <c r="C718">
        <v>1644</v>
      </c>
      <c r="D718" s="131">
        <v>0.43766999203701956</v>
      </c>
      <c r="E718">
        <v>19</v>
      </c>
      <c r="F718">
        <v>0</v>
      </c>
      <c r="G718">
        <v>0.20317096946682853</v>
      </c>
      <c r="H718">
        <v>9.1393060359999883</v>
      </c>
      <c r="I718">
        <v>36</v>
      </c>
      <c r="J718">
        <v>8040</v>
      </c>
      <c r="K718">
        <v>5</v>
      </c>
      <c r="L718">
        <v>5</v>
      </c>
      <c r="M718">
        <v>5</v>
      </c>
      <c r="N718">
        <v>4</v>
      </c>
    </row>
    <row r="719" spans="1:14">
      <c r="A719">
        <v>18</v>
      </c>
      <c r="B719">
        <v>2</v>
      </c>
      <c r="C719">
        <v>1337</v>
      </c>
      <c r="D719" s="131">
        <v>0.34887840074630927</v>
      </c>
      <c r="E719">
        <v>9</v>
      </c>
      <c r="F719">
        <v>0</v>
      </c>
      <c r="G719">
        <v>0.10420502401824512</v>
      </c>
      <c r="H719">
        <v>11.465312817999999</v>
      </c>
      <c r="I719">
        <v>36</v>
      </c>
      <c r="J719">
        <v>8040</v>
      </c>
      <c r="K719">
        <v>2</v>
      </c>
      <c r="L719">
        <v>2</v>
      </c>
      <c r="M719">
        <v>3</v>
      </c>
      <c r="N719">
        <v>2</v>
      </c>
    </row>
    <row r="720" spans="1:14">
      <c r="A720">
        <v>19</v>
      </c>
      <c r="B720">
        <v>1</v>
      </c>
      <c r="C720">
        <v>1105</v>
      </c>
      <c r="D720" s="131">
        <v>0.43618421317713918</v>
      </c>
      <c r="E720">
        <v>17</v>
      </c>
      <c r="F720">
        <v>0</v>
      </c>
      <c r="G720">
        <v>0.18318590732246304</v>
      </c>
      <c r="H720">
        <v>9.170437350000002</v>
      </c>
      <c r="I720">
        <v>36</v>
      </c>
      <c r="J720">
        <v>8040</v>
      </c>
      <c r="K720">
        <v>4</v>
      </c>
      <c r="L720">
        <v>4</v>
      </c>
      <c r="M720">
        <v>5</v>
      </c>
      <c r="N720">
        <v>4</v>
      </c>
    </row>
    <row r="721" spans="1:14">
      <c r="A721">
        <v>19</v>
      </c>
      <c r="B721">
        <v>2</v>
      </c>
      <c r="C721">
        <v>1115</v>
      </c>
      <c r="D721" s="131">
        <v>0.35564741526805449</v>
      </c>
      <c r="E721">
        <v>9</v>
      </c>
      <c r="F721">
        <v>0</v>
      </c>
      <c r="G721">
        <v>0.10411432503365306</v>
      </c>
      <c r="H721">
        <v>11.24709425200002</v>
      </c>
      <c r="I721">
        <v>36</v>
      </c>
      <c r="J721">
        <v>8040</v>
      </c>
      <c r="K721">
        <v>2</v>
      </c>
      <c r="L721">
        <v>2</v>
      </c>
      <c r="M721">
        <v>3</v>
      </c>
      <c r="N721">
        <v>2</v>
      </c>
    </row>
    <row r="722" spans="1:14">
      <c r="A722">
        <v>20</v>
      </c>
      <c r="B722">
        <v>1</v>
      </c>
      <c r="C722">
        <v>1093</v>
      </c>
      <c r="D722" s="131">
        <v>0.43867010382327537</v>
      </c>
      <c r="E722">
        <v>18</v>
      </c>
      <c r="F722">
        <v>0</v>
      </c>
      <c r="G722">
        <v>0.19316095247465256</v>
      </c>
      <c r="H722">
        <v>9.1184695860000033</v>
      </c>
      <c r="I722">
        <v>35</v>
      </c>
      <c r="J722">
        <v>8040</v>
      </c>
      <c r="K722">
        <v>4</v>
      </c>
      <c r="L722">
        <v>4</v>
      </c>
      <c r="M722">
        <v>5</v>
      </c>
      <c r="N722">
        <v>5</v>
      </c>
    </row>
    <row r="723" spans="1:14">
      <c r="A723">
        <v>20</v>
      </c>
      <c r="B723">
        <v>2</v>
      </c>
      <c r="C723">
        <v>987</v>
      </c>
      <c r="D723" s="131">
        <v>0.35324743992307522</v>
      </c>
      <c r="E723">
        <v>9</v>
      </c>
      <c r="F723">
        <v>0</v>
      </c>
      <c r="G723">
        <v>0.10414621732098288</v>
      </c>
      <c r="H723">
        <v>11.323507400000006</v>
      </c>
      <c r="I723">
        <v>37</v>
      </c>
      <c r="J723">
        <v>8040</v>
      </c>
      <c r="K723">
        <v>2</v>
      </c>
      <c r="L723">
        <v>3</v>
      </c>
      <c r="M723">
        <v>2</v>
      </c>
      <c r="N723">
        <v>2</v>
      </c>
    </row>
    <row r="724" spans="1:14">
      <c r="A724">
        <v>21</v>
      </c>
      <c r="B724">
        <v>1</v>
      </c>
      <c r="C724">
        <v>1396</v>
      </c>
      <c r="D724" s="131">
        <v>0.23626968348128671</v>
      </c>
      <c r="E724">
        <v>15</v>
      </c>
      <c r="F724">
        <v>0</v>
      </c>
      <c r="G724">
        <v>0.16617573413293008</v>
      </c>
      <c r="H724">
        <v>16.929806401999993</v>
      </c>
      <c r="I724">
        <v>35</v>
      </c>
      <c r="J724">
        <v>8040</v>
      </c>
      <c r="K724">
        <v>5</v>
      </c>
      <c r="L724">
        <v>4</v>
      </c>
      <c r="M724">
        <v>4</v>
      </c>
      <c r="N724">
        <v>2</v>
      </c>
    </row>
    <row r="725" spans="1:14">
      <c r="A725">
        <v>21</v>
      </c>
      <c r="B725">
        <v>2</v>
      </c>
      <c r="C725">
        <v>1510</v>
      </c>
      <c r="D725" s="131">
        <v>0.18230140606706396</v>
      </c>
      <c r="E725">
        <v>7</v>
      </c>
      <c r="F725">
        <v>0</v>
      </c>
      <c r="G725">
        <v>8.7636131452724697E-2</v>
      </c>
      <c r="H725">
        <v>21.941684852000009</v>
      </c>
      <c r="I725">
        <v>38</v>
      </c>
      <c r="J725">
        <v>8040</v>
      </c>
      <c r="K725">
        <v>2</v>
      </c>
      <c r="L725">
        <v>2</v>
      </c>
      <c r="M725">
        <v>2</v>
      </c>
      <c r="N725">
        <v>1</v>
      </c>
    </row>
    <row r="726" spans="1:14">
      <c r="A726">
        <v>22</v>
      </c>
      <c r="B726">
        <v>1</v>
      </c>
      <c r="C726">
        <v>1237</v>
      </c>
      <c r="D726" s="131">
        <v>0.21049087776686207</v>
      </c>
      <c r="E726">
        <v>13</v>
      </c>
      <c r="F726">
        <v>0</v>
      </c>
      <c r="G726">
        <v>0.14681082034545942</v>
      </c>
      <c r="H726">
        <v>19.003198820000012</v>
      </c>
      <c r="I726">
        <v>35</v>
      </c>
      <c r="J726">
        <v>8040</v>
      </c>
      <c r="K726">
        <v>5</v>
      </c>
      <c r="L726">
        <v>3</v>
      </c>
      <c r="M726">
        <v>3</v>
      </c>
      <c r="N726">
        <v>2</v>
      </c>
    </row>
    <row r="727" spans="1:14">
      <c r="A727">
        <v>22</v>
      </c>
      <c r="B727">
        <v>2</v>
      </c>
      <c r="C727">
        <v>1192</v>
      </c>
      <c r="D727" s="131">
        <v>0.17071898768237401</v>
      </c>
      <c r="E727">
        <v>7</v>
      </c>
      <c r="F727">
        <v>0</v>
      </c>
      <c r="G727">
        <v>8.8026277721038187E-2</v>
      </c>
      <c r="H727">
        <v>23.430317004000035</v>
      </c>
      <c r="I727">
        <v>38</v>
      </c>
      <c r="J727">
        <v>8040</v>
      </c>
      <c r="K727">
        <v>2</v>
      </c>
      <c r="L727">
        <v>2</v>
      </c>
      <c r="M727">
        <v>2</v>
      </c>
      <c r="N727">
        <v>1</v>
      </c>
    </row>
    <row r="728" spans="1:14">
      <c r="A728">
        <v>23</v>
      </c>
      <c r="B728">
        <v>1</v>
      </c>
      <c r="C728">
        <v>845</v>
      </c>
      <c r="D728" s="131">
        <v>0.230605536573252</v>
      </c>
      <c r="E728">
        <v>15</v>
      </c>
      <c r="F728">
        <v>0</v>
      </c>
      <c r="G728">
        <v>0.16630710083494946</v>
      </c>
      <c r="H728">
        <v>17.345637314000037</v>
      </c>
      <c r="I728">
        <v>36</v>
      </c>
      <c r="J728">
        <v>8040</v>
      </c>
      <c r="K728">
        <v>6</v>
      </c>
      <c r="L728">
        <v>3</v>
      </c>
      <c r="M728">
        <v>3</v>
      </c>
      <c r="N728">
        <v>3</v>
      </c>
    </row>
    <row r="729" spans="1:14">
      <c r="A729">
        <v>23</v>
      </c>
      <c r="B729">
        <v>2</v>
      </c>
      <c r="C729">
        <v>1143</v>
      </c>
      <c r="D729" s="131">
        <v>0.18734886333009063</v>
      </c>
      <c r="E729">
        <v>8</v>
      </c>
      <c r="F729">
        <v>0</v>
      </c>
      <c r="G729">
        <v>9.7476306220467143E-2</v>
      </c>
      <c r="H729">
        <v>21.350543200000022</v>
      </c>
      <c r="I729">
        <v>37</v>
      </c>
      <c r="J729">
        <v>8040</v>
      </c>
      <c r="K729">
        <v>3</v>
      </c>
      <c r="L729">
        <v>2</v>
      </c>
      <c r="M729">
        <v>2</v>
      </c>
      <c r="N729">
        <v>1</v>
      </c>
    </row>
    <row r="730" spans="1:14">
      <c r="A730">
        <v>24</v>
      </c>
      <c r="B730">
        <v>1</v>
      </c>
      <c r="C730">
        <v>2503</v>
      </c>
      <c r="D730" s="131">
        <v>0.23095618009685998</v>
      </c>
      <c r="E730">
        <v>17</v>
      </c>
      <c r="F730">
        <v>0</v>
      </c>
      <c r="G730">
        <v>0.18629884403710953</v>
      </c>
      <c r="H730">
        <v>17.319302727999972</v>
      </c>
      <c r="I730">
        <v>36</v>
      </c>
      <c r="J730">
        <v>8040</v>
      </c>
      <c r="K730">
        <v>7</v>
      </c>
      <c r="L730">
        <v>4</v>
      </c>
      <c r="M730">
        <v>3</v>
      </c>
      <c r="N730">
        <v>3</v>
      </c>
    </row>
    <row r="731" spans="1:14">
      <c r="A731">
        <v>24</v>
      </c>
      <c r="B731">
        <v>2</v>
      </c>
      <c r="C731">
        <v>1035</v>
      </c>
      <c r="D731" s="131">
        <v>0.18093441313813799</v>
      </c>
      <c r="E731">
        <v>8</v>
      </c>
      <c r="F731">
        <v>0</v>
      </c>
      <c r="G731">
        <v>9.7680434810119593E-2</v>
      </c>
      <c r="H731">
        <v>22.107458336000018</v>
      </c>
      <c r="I731">
        <v>39</v>
      </c>
      <c r="J731">
        <v>8040</v>
      </c>
      <c r="K731">
        <v>3</v>
      </c>
      <c r="L731">
        <v>2</v>
      </c>
      <c r="M731">
        <v>2</v>
      </c>
      <c r="N731">
        <v>1</v>
      </c>
    </row>
    <row r="732" spans="1:14">
      <c r="A732">
        <v>25</v>
      </c>
      <c r="B732">
        <v>1</v>
      </c>
      <c r="C732">
        <v>1043</v>
      </c>
      <c r="D732" s="131">
        <v>0.20114698421553065</v>
      </c>
      <c r="E732">
        <v>12</v>
      </c>
      <c r="F732">
        <v>0</v>
      </c>
      <c r="G732">
        <v>0.13706719529928338</v>
      </c>
      <c r="H732">
        <v>19.885955613999993</v>
      </c>
      <c r="I732">
        <v>36</v>
      </c>
      <c r="J732">
        <v>8040</v>
      </c>
      <c r="K732">
        <v>5</v>
      </c>
      <c r="L732">
        <v>3</v>
      </c>
      <c r="M732">
        <v>2</v>
      </c>
      <c r="N732">
        <v>2</v>
      </c>
    </row>
    <row r="733" spans="1:14">
      <c r="A733">
        <v>25</v>
      </c>
      <c r="B733">
        <v>2</v>
      </c>
      <c r="C733">
        <v>1100</v>
      </c>
      <c r="D733" s="131">
        <v>0.16589857441917483</v>
      </c>
      <c r="E733">
        <v>7</v>
      </c>
      <c r="F733">
        <v>0</v>
      </c>
      <c r="G733">
        <v>8.8199206324826779E-2</v>
      </c>
      <c r="H733">
        <v>24.11111737400001</v>
      </c>
      <c r="I733">
        <v>38</v>
      </c>
      <c r="J733">
        <v>8040</v>
      </c>
      <c r="K733">
        <v>2</v>
      </c>
      <c r="L733">
        <v>2</v>
      </c>
      <c r="M733">
        <v>2</v>
      </c>
      <c r="N733">
        <v>1</v>
      </c>
    </row>
    <row r="734" spans="1:14">
      <c r="A734">
        <v>26</v>
      </c>
      <c r="B734">
        <v>1</v>
      </c>
      <c r="C734">
        <v>1536</v>
      </c>
      <c r="D734" s="131">
        <v>0.20429968080596841</v>
      </c>
      <c r="E734">
        <v>12</v>
      </c>
      <c r="F734">
        <v>0</v>
      </c>
      <c r="G734">
        <v>0.13697894770203997</v>
      </c>
      <c r="H734">
        <v>19.579081006000006</v>
      </c>
      <c r="I734">
        <v>35</v>
      </c>
      <c r="J734">
        <v>8040</v>
      </c>
      <c r="K734">
        <v>4</v>
      </c>
      <c r="L734">
        <v>3</v>
      </c>
      <c r="M734">
        <v>3</v>
      </c>
      <c r="N734">
        <v>2</v>
      </c>
    </row>
    <row r="735" spans="1:14">
      <c r="A735">
        <v>26</v>
      </c>
      <c r="B735">
        <v>2</v>
      </c>
      <c r="C735">
        <v>592</v>
      </c>
      <c r="D735" s="131">
        <v>0.16304524972535511</v>
      </c>
      <c r="E735">
        <v>7</v>
      </c>
      <c r="F735">
        <v>0</v>
      </c>
      <c r="G735">
        <v>8.8304756241804366E-2</v>
      </c>
      <c r="H735">
        <v>24.533066781999974</v>
      </c>
      <c r="I735">
        <v>38</v>
      </c>
      <c r="J735">
        <v>8040</v>
      </c>
      <c r="K735">
        <v>3</v>
      </c>
      <c r="L735">
        <v>1</v>
      </c>
      <c r="M735">
        <v>2</v>
      </c>
      <c r="N735">
        <v>1</v>
      </c>
    </row>
    <row r="736" spans="1:14">
      <c r="A736">
        <v>27</v>
      </c>
      <c r="B736">
        <v>1</v>
      </c>
      <c r="C736">
        <v>1663</v>
      </c>
      <c r="D736" s="131">
        <v>0.21857826914338788</v>
      </c>
      <c r="E736">
        <v>13</v>
      </c>
      <c r="F736">
        <v>0</v>
      </c>
      <c r="G736">
        <v>0.14660087600677821</v>
      </c>
      <c r="H736">
        <v>18.300080862000012</v>
      </c>
      <c r="I736">
        <v>36</v>
      </c>
      <c r="J736">
        <v>8040</v>
      </c>
      <c r="K736">
        <v>5</v>
      </c>
      <c r="L736">
        <v>3</v>
      </c>
      <c r="M736">
        <v>3</v>
      </c>
      <c r="N736">
        <v>2</v>
      </c>
    </row>
    <row r="737" spans="1:14">
      <c r="A737">
        <v>27</v>
      </c>
      <c r="B737">
        <v>2</v>
      </c>
      <c r="C737">
        <v>1232</v>
      </c>
      <c r="D737" s="131">
        <v>0.1687264050263951</v>
      </c>
      <c r="E737">
        <v>7</v>
      </c>
      <c r="F737">
        <v>0</v>
      </c>
      <c r="G737">
        <v>8.8096960934767723E-2</v>
      </c>
      <c r="H737">
        <v>23.707018468000019</v>
      </c>
      <c r="I737">
        <v>37</v>
      </c>
      <c r="J737">
        <v>8040</v>
      </c>
      <c r="K737">
        <v>3</v>
      </c>
      <c r="L737">
        <v>1</v>
      </c>
      <c r="M737">
        <v>2</v>
      </c>
      <c r="N737">
        <v>1</v>
      </c>
    </row>
    <row r="738" spans="1:14">
      <c r="A738">
        <v>28</v>
      </c>
      <c r="B738">
        <v>1</v>
      </c>
      <c r="C738">
        <v>1518</v>
      </c>
      <c r="D738" s="131">
        <v>0.22260986455295678</v>
      </c>
      <c r="E738">
        <v>17</v>
      </c>
      <c r="F738">
        <v>0</v>
      </c>
      <c r="G738">
        <v>0.1865000476423479</v>
      </c>
      <c r="H738">
        <v>17.968655647999991</v>
      </c>
      <c r="I738">
        <v>35</v>
      </c>
      <c r="J738">
        <v>8040</v>
      </c>
      <c r="K738">
        <v>7</v>
      </c>
      <c r="L738">
        <v>4</v>
      </c>
      <c r="M738">
        <v>3</v>
      </c>
      <c r="N738">
        <v>3</v>
      </c>
    </row>
    <row r="739" spans="1:14">
      <c r="A739">
        <v>28</v>
      </c>
      <c r="B739">
        <v>2</v>
      </c>
      <c r="C739">
        <v>531</v>
      </c>
      <c r="D739" s="131">
        <v>0.12747337937263933</v>
      </c>
      <c r="E739">
        <v>4</v>
      </c>
      <c r="F739">
        <v>0</v>
      </c>
      <c r="G739">
        <v>5.9869800206222609E-2</v>
      </c>
      <c r="H739">
        <v>31.379100637999976</v>
      </c>
      <c r="I739">
        <v>35</v>
      </c>
      <c r="J739">
        <v>8040</v>
      </c>
      <c r="K739">
        <v>1</v>
      </c>
      <c r="L739">
        <v>1</v>
      </c>
      <c r="M739">
        <v>1</v>
      </c>
      <c r="N739">
        <v>1</v>
      </c>
    </row>
    <row r="740" spans="1:14">
      <c r="A740">
        <v>29</v>
      </c>
      <c r="B740">
        <v>1</v>
      </c>
      <c r="C740">
        <v>957</v>
      </c>
      <c r="D740" s="131">
        <v>0.22101488081931875</v>
      </c>
      <c r="E740">
        <v>14</v>
      </c>
      <c r="F740">
        <v>0</v>
      </c>
      <c r="G740">
        <v>0.15653964415070465</v>
      </c>
      <c r="H740">
        <v>18.098328877999979</v>
      </c>
      <c r="I740">
        <v>35</v>
      </c>
      <c r="J740">
        <v>8040</v>
      </c>
      <c r="K740">
        <v>5</v>
      </c>
      <c r="L740">
        <v>3</v>
      </c>
      <c r="M740">
        <v>4</v>
      </c>
      <c r="N740">
        <v>2</v>
      </c>
    </row>
    <row r="741" spans="1:14">
      <c r="A741">
        <v>29</v>
      </c>
      <c r="B741">
        <v>2</v>
      </c>
      <c r="C741">
        <v>1313</v>
      </c>
      <c r="D741" s="131">
        <v>0.17399598962089632</v>
      </c>
      <c r="E741">
        <v>7</v>
      </c>
      <c r="F741">
        <v>0</v>
      </c>
      <c r="G741">
        <v>8.7912392093683067E-2</v>
      </c>
      <c r="H741">
        <v>22.989035601999955</v>
      </c>
      <c r="I741">
        <v>37</v>
      </c>
      <c r="J741">
        <v>8040</v>
      </c>
      <c r="K741">
        <v>2</v>
      </c>
      <c r="L741">
        <v>2</v>
      </c>
      <c r="M741">
        <v>2</v>
      </c>
      <c r="N741">
        <v>1</v>
      </c>
    </row>
    <row r="742" spans="1:14">
      <c r="A742">
        <v>30</v>
      </c>
      <c r="B742">
        <v>1</v>
      </c>
      <c r="C742">
        <v>1962</v>
      </c>
      <c r="D742" s="131">
        <v>0.20196646470093585</v>
      </c>
      <c r="E742">
        <v>12</v>
      </c>
      <c r="F742">
        <v>0</v>
      </c>
      <c r="G742">
        <v>0.13704408058288345</v>
      </c>
      <c r="H742">
        <v>19.805268195999993</v>
      </c>
      <c r="I742">
        <v>36</v>
      </c>
      <c r="J742">
        <v>8040</v>
      </c>
      <c r="K742">
        <v>4</v>
      </c>
      <c r="L742">
        <v>3</v>
      </c>
      <c r="M742">
        <v>3</v>
      </c>
      <c r="N742">
        <v>2</v>
      </c>
    </row>
    <row r="743" spans="1:14">
      <c r="A743">
        <v>30</v>
      </c>
      <c r="B743">
        <v>2</v>
      </c>
      <c r="C743">
        <v>518</v>
      </c>
      <c r="D743" s="131">
        <v>0.15997031011193114</v>
      </c>
      <c r="E743">
        <v>7</v>
      </c>
      <c r="F743">
        <v>0</v>
      </c>
      <c r="G743">
        <v>8.8421296993366191E-2</v>
      </c>
      <c r="H743">
        <v>25.004639906000072</v>
      </c>
      <c r="I743">
        <v>38</v>
      </c>
      <c r="J743">
        <v>8040</v>
      </c>
      <c r="K743">
        <v>3</v>
      </c>
      <c r="L743">
        <v>1</v>
      </c>
      <c r="M743">
        <v>2</v>
      </c>
      <c r="N743">
        <v>1</v>
      </c>
    </row>
    <row r="744" spans="1:14">
      <c r="A744">
        <v>31</v>
      </c>
      <c r="B744">
        <v>1</v>
      </c>
      <c r="C744">
        <v>381</v>
      </c>
      <c r="D744" s="131">
        <v>0.22789715213240713</v>
      </c>
      <c r="E744">
        <v>7</v>
      </c>
      <c r="F744">
        <v>0</v>
      </c>
      <c r="G744">
        <v>8.6371445773677044E-2</v>
      </c>
      <c r="H744">
        <v>17.551777030000004</v>
      </c>
      <c r="I744">
        <v>37</v>
      </c>
      <c r="J744">
        <v>8040</v>
      </c>
      <c r="K744">
        <v>2</v>
      </c>
      <c r="L744">
        <v>2</v>
      </c>
      <c r="M744">
        <v>2</v>
      </c>
      <c r="N744">
        <v>1</v>
      </c>
    </row>
    <row r="745" spans="1:14">
      <c r="A745">
        <v>31</v>
      </c>
      <c r="B745">
        <v>2</v>
      </c>
      <c r="C745">
        <v>78</v>
      </c>
      <c r="D745" s="131">
        <v>0.19611461011514986</v>
      </c>
      <c r="E745">
        <v>5</v>
      </c>
      <c r="F745">
        <v>0</v>
      </c>
      <c r="G745">
        <v>6.7211947671102987E-2</v>
      </c>
      <c r="H745">
        <v>20.396236658000014</v>
      </c>
      <c r="I745">
        <v>38</v>
      </c>
      <c r="J745">
        <v>8040</v>
      </c>
      <c r="K745">
        <v>2</v>
      </c>
      <c r="L745">
        <v>1</v>
      </c>
      <c r="M745">
        <v>1</v>
      </c>
      <c r="N745">
        <v>1</v>
      </c>
    </row>
    <row r="746" spans="1:14">
      <c r="A746">
        <v>32</v>
      </c>
      <c r="B746">
        <v>1</v>
      </c>
      <c r="C746">
        <v>328</v>
      </c>
      <c r="D746" s="131">
        <v>0.22974135789607322</v>
      </c>
      <c r="E746">
        <v>7</v>
      </c>
      <c r="F746">
        <v>0</v>
      </c>
      <c r="G746">
        <v>8.6327521793433434E-2</v>
      </c>
      <c r="H746">
        <v>17.41088342400003</v>
      </c>
      <c r="I746">
        <v>38</v>
      </c>
      <c r="J746">
        <v>8040</v>
      </c>
      <c r="K746">
        <v>2</v>
      </c>
      <c r="L746">
        <v>2</v>
      </c>
      <c r="M746">
        <v>2</v>
      </c>
      <c r="N746">
        <v>1</v>
      </c>
    </row>
    <row r="747" spans="1:14">
      <c r="A747">
        <v>32</v>
      </c>
      <c r="B747">
        <v>2</v>
      </c>
      <c r="C747">
        <v>184</v>
      </c>
      <c r="D747" s="131">
        <v>0.19676080670443652</v>
      </c>
      <c r="E747">
        <v>5</v>
      </c>
      <c r="F747">
        <v>0</v>
      </c>
      <c r="G747">
        <v>6.7193084666513317E-2</v>
      </c>
      <c r="H747">
        <v>20.329251881999976</v>
      </c>
      <c r="I747">
        <v>38</v>
      </c>
      <c r="J747">
        <v>8040</v>
      </c>
      <c r="K747">
        <v>2</v>
      </c>
      <c r="L747">
        <v>1</v>
      </c>
      <c r="M747">
        <v>1</v>
      </c>
      <c r="N747">
        <v>1</v>
      </c>
    </row>
    <row r="748" spans="1:14">
      <c r="A748">
        <v>33</v>
      </c>
      <c r="B748">
        <v>1</v>
      </c>
      <c r="C748">
        <v>47</v>
      </c>
      <c r="D748" s="131">
        <v>0.23247996574050636</v>
      </c>
      <c r="E748">
        <v>7</v>
      </c>
      <c r="F748">
        <v>0</v>
      </c>
      <c r="G748">
        <v>8.6263155793069327E-2</v>
      </c>
      <c r="H748">
        <v>17.205783677999985</v>
      </c>
      <c r="I748">
        <v>37</v>
      </c>
      <c r="J748">
        <v>8040</v>
      </c>
      <c r="K748">
        <v>2</v>
      </c>
      <c r="L748">
        <v>2</v>
      </c>
      <c r="M748">
        <v>2</v>
      </c>
      <c r="N748">
        <v>1</v>
      </c>
    </row>
    <row r="749" spans="1:14">
      <c r="A749">
        <v>33</v>
      </c>
      <c r="B749">
        <v>2</v>
      </c>
      <c r="C749">
        <v>184</v>
      </c>
      <c r="D749" s="131">
        <v>0.19944760468852724</v>
      </c>
      <c r="E749">
        <v>5</v>
      </c>
      <c r="F749">
        <v>0</v>
      </c>
      <c r="G749">
        <v>6.7115531562057948E-2</v>
      </c>
      <c r="H749">
        <v>20.055392524000016</v>
      </c>
      <c r="I749">
        <v>38</v>
      </c>
      <c r="J749">
        <v>8040</v>
      </c>
      <c r="K749">
        <v>2</v>
      </c>
      <c r="L749">
        <v>1</v>
      </c>
      <c r="M749">
        <v>1</v>
      </c>
      <c r="N749">
        <v>1</v>
      </c>
    </row>
    <row r="750" spans="1:14">
      <c r="A750">
        <v>34</v>
      </c>
      <c r="B750">
        <v>1</v>
      </c>
      <c r="C750">
        <v>282</v>
      </c>
      <c r="D750" s="131">
        <v>0.22679830897212255</v>
      </c>
      <c r="E750">
        <v>7</v>
      </c>
      <c r="F750">
        <v>0</v>
      </c>
      <c r="G750">
        <v>8.6397843201148114E-2</v>
      </c>
      <c r="H750">
        <v>17.636815803999973</v>
      </c>
      <c r="I750">
        <v>38</v>
      </c>
      <c r="J750">
        <v>8040</v>
      </c>
      <c r="K750">
        <v>2</v>
      </c>
      <c r="L750">
        <v>2</v>
      </c>
      <c r="M750">
        <v>2</v>
      </c>
      <c r="N750">
        <v>1</v>
      </c>
    </row>
    <row r="751" spans="1:14">
      <c r="A751">
        <v>34</v>
      </c>
      <c r="B751">
        <v>2</v>
      </c>
      <c r="C751">
        <v>62</v>
      </c>
      <c r="D751" s="131">
        <v>0.1967365447989749</v>
      </c>
      <c r="E751">
        <v>5</v>
      </c>
      <c r="F751">
        <v>0</v>
      </c>
      <c r="G751">
        <v>6.7193791398196895E-2</v>
      </c>
      <c r="H751">
        <v>20.331758921999945</v>
      </c>
      <c r="I751">
        <v>38</v>
      </c>
      <c r="J751">
        <v>8040</v>
      </c>
      <c r="K751">
        <v>2</v>
      </c>
      <c r="L751">
        <v>1</v>
      </c>
      <c r="M751">
        <v>1</v>
      </c>
      <c r="N751">
        <v>1</v>
      </c>
    </row>
    <row r="752" spans="1:14">
      <c r="A752">
        <v>35</v>
      </c>
      <c r="B752">
        <v>1</v>
      </c>
      <c r="C752">
        <v>230</v>
      </c>
      <c r="D752" s="131">
        <v>0.23152862853506134</v>
      </c>
      <c r="E752">
        <v>7</v>
      </c>
      <c r="F752">
        <v>0</v>
      </c>
      <c r="G752">
        <v>8.6285400130194284E-2</v>
      </c>
      <c r="H752">
        <v>17.276481208</v>
      </c>
      <c r="I752">
        <v>50</v>
      </c>
      <c r="J752">
        <v>8040</v>
      </c>
      <c r="K752">
        <v>2</v>
      </c>
      <c r="L752">
        <v>2</v>
      </c>
      <c r="M752">
        <v>2</v>
      </c>
      <c r="N752">
        <v>1</v>
      </c>
    </row>
    <row r="753" spans="1:14">
      <c r="A753">
        <v>35</v>
      </c>
      <c r="B753">
        <v>2</v>
      </c>
      <c r="C753">
        <v>189</v>
      </c>
      <c r="D753" s="131">
        <v>0.19876609609187842</v>
      </c>
      <c r="E753">
        <v>5</v>
      </c>
      <c r="F753">
        <v>0</v>
      </c>
      <c r="G753">
        <v>6.7135070568378433E-2</v>
      </c>
      <c r="H753">
        <v>20.124156375999981</v>
      </c>
      <c r="I753">
        <v>67</v>
      </c>
      <c r="J753">
        <v>8040</v>
      </c>
      <c r="K753">
        <v>2</v>
      </c>
      <c r="L753">
        <v>1</v>
      </c>
      <c r="M753">
        <v>1</v>
      </c>
      <c r="N753">
        <v>1</v>
      </c>
    </row>
    <row r="754" spans="1:14">
      <c r="A754">
        <v>36</v>
      </c>
      <c r="B754">
        <v>1</v>
      </c>
      <c r="C754">
        <v>42</v>
      </c>
      <c r="D754" s="131">
        <v>0.23147507230108855</v>
      </c>
      <c r="E754">
        <v>7</v>
      </c>
      <c r="F754">
        <v>0</v>
      </c>
      <c r="G754">
        <v>8.6286656014084334E-2</v>
      </c>
      <c r="H754">
        <v>17.280478455999987</v>
      </c>
      <c r="I754">
        <v>60</v>
      </c>
      <c r="J754">
        <v>8040</v>
      </c>
      <c r="K754">
        <v>2</v>
      </c>
      <c r="L754">
        <v>2</v>
      </c>
      <c r="M754">
        <v>2</v>
      </c>
      <c r="N754">
        <v>1</v>
      </c>
    </row>
    <row r="755" spans="1:14">
      <c r="A755">
        <v>36</v>
      </c>
      <c r="B755">
        <v>2</v>
      </c>
      <c r="C755">
        <v>85</v>
      </c>
      <c r="D755" s="131">
        <v>0.19754102268365309</v>
      </c>
      <c r="E755">
        <v>5</v>
      </c>
      <c r="F755">
        <v>0</v>
      </c>
      <c r="G755">
        <v>6.7170419300371431E-2</v>
      </c>
      <c r="H755">
        <v>20.248958649999981</v>
      </c>
      <c r="I755">
        <v>44</v>
      </c>
      <c r="J755">
        <v>8040</v>
      </c>
      <c r="K755">
        <v>2</v>
      </c>
      <c r="L755">
        <v>1</v>
      </c>
      <c r="M755">
        <v>1</v>
      </c>
      <c r="N755">
        <v>1</v>
      </c>
    </row>
    <row r="756" spans="1:14">
      <c r="A756">
        <v>37</v>
      </c>
      <c r="B756">
        <v>1</v>
      </c>
      <c r="C756">
        <v>385</v>
      </c>
      <c r="D756" s="131">
        <v>0.23274032674119607</v>
      </c>
      <c r="E756">
        <v>7</v>
      </c>
      <c r="F756">
        <v>0</v>
      </c>
      <c r="G756">
        <v>8.6257089130004239E-2</v>
      </c>
      <c r="H756">
        <v>17.186535981999988</v>
      </c>
      <c r="I756">
        <v>43</v>
      </c>
      <c r="J756">
        <v>8040</v>
      </c>
      <c r="K756">
        <v>2</v>
      </c>
      <c r="L756">
        <v>2</v>
      </c>
      <c r="M756">
        <v>2</v>
      </c>
      <c r="N756">
        <v>1</v>
      </c>
    </row>
    <row r="757" spans="1:14">
      <c r="A757">
        <v>37</v>
      </c>
      <c r="B757">
        <v>2</v>
      </c>
      <c r="C757">
        <v>199</v>
      </c>
      <c r="D757" s="131">
        <v>0.20126735227949458</v>
      </c>
      <c r="E757">
        <v>5</v>
      </c>
      <c r="F757">
        <v>0</v>
      </c>
      <c r="G757">
        <v>6.7063792271912961E-2</v>
      </c>
      <c r="H757">
        <v>19.874062805999987</v>
      </c>
      <c r="I757">
        <v>45</v>
      </c>
      <c r="J757">
        <v>8040</v>
      </c>
      <c r="K757">
        <v>2</v>
      </c>
      <c r="L757">
        <v>1</v>
      </c>
      <c r="M757">
        <v>1</v>
      </c>
      <c r="N757">
        <v>1</v>
      </c>
    </row>
    <row r="758" spans="1:14">
      <c r="A758">
        <v>38</v>
      </c>
      <c r="B758">
        <v>1</v>
      </c>
      <c r="C758">
        <v>199</v>
      </c>
      <c r="D758" s="131">
        <v>0.23239101472597712</v>
      </c>
      <c r="E758">
        <v>7</v>
      </c>
      <c r="F758">
        <v>0</v>
      </c>
      <c r="G758">
        <v>8.6265230514239996E-2</v>
      </c>
      <c r="H758">
        <v>17.212369440000007</v>
      </c>
      <c r="I758">
        <v>42</v>
      </c>
      <c r="J758">
        <v>8040</v>
      </c>
      <c r="K758">
        <v>2</v>
      </c>
      <c r="L758">
        <v>2</v>
      </c>
      <c r="M758">
        <v>2</v>
      </c>
      <c r="N758">
        <v>1</v>
      </c>
    </row>
    <row r="759" spans="1:14">
      <c r="A759">
        <v>38</v>
      </c>
      <c r="B759">
        <v>2</v>
      </c>
      <c r="C759">
        <v>133</v>
      </c>
      <c r="D759" s="131">
        <v>0.20021384101569864</v>
      </c>
      <c r="E759">
        <v>5</v>
      </c>
      <c r="F759">
        <v>0</v>
      </c>
      <c r="G759">
        <v>6.709366942403365E-2</v>
      </c>
      <c r="H759">
        <v>19.978638737999951</v>
      </c>
      <c r="I759">
        <v>42</v>
      </c>
      <c r="J759">
        <v>8040</v>
      </c>
      <c r="K759">
        <v>2</v>
      </c>
      <c r="L759">
        <v>1</v>
      </c>
      <c r="M759">
        <v>1</v>
      </c>
      <c r="N759">
        <v>1</v>
      </c>
    </row>
    <row r="760" spans="1:14">
      <c r="A760">
        <v>39</v>
      </c>
      <c r="B760">
        <v>1</v>
      </c>
      <c r="C760">
        <v>258</v>
      </c>
      <c r="D760" s="131">
        <v>0.22994178482319289</v>
      </c>
      <c r="E760">
        <v>7</v>
      </c>
      <c r="F760">
        <v>0</v>
      </c>
      <c r="G760">
        <v>8.6322776496281103E-2</v>
      </c>
      <c r="H760">
        <v>17.395707365999986</v>
      </c>
      <c r="I760">
        <v>43</v>
      </c>
      <c r="J760">
        <v>8040</v>
      </c>
      <c r="K760">
        <v>2</v>
      </c>
      <c r="L760">
        <v>2</v>
      </c>
      <c r="M760">
        <v>2</v>
      </c>
      <c r="N760">
        <v>1</v>
      </c>
    </row>
    <row r="761" spans="1:14">
      <c r="A761">
        <v>39</v>
      </c>
      <c r="B761">
        <v>2</v>
      </c>
      <c r="C761">
        <v>209</v>
      </c>
      <c r="D761" s="131">
        <v>0.19840560781355676</v>
      </c>
      <c r="E761">
        <v>5</v>
      </c>
      <c r="F761">
        <v>0</v>
      </c>
      <c r="G761">
        <v>6.7145442007106509E-2</v>
      </c>
      <c r="H761">
        <v>20.160720476000002</v>
      </c>
      <c r="I761">
        <v>86</v>
      </c>
      <c r="J761">
        <v>8040</v>
      </c>
      <c r="K761">
        <v>2</v>
      </c>
      <c r="L761">
        <v>1</v>
      </c>
      <c r="M761">
        <v>1</v>
      </c>
      <c r="N761">
        <v>1</v>
      </c>
    </row>
    <row r="762" spans="1:14">
      <c r="A762">
        <v>40</v>
      </c>
      <c r="B762">
        <v>1</v>
      </c>
      <c r="C762">
        <v>238</v>
      </c>
      <c r="D762" s="131">
        <v>0.23187691489847448</v>
      </c>
      <c r="E762">
        <v>7</v>
      </c>
      <c r="F762">
        <v>0</v>
      </c>
      <c r="G762">
        <v>8.6277242317971084E-2</v>
      </c>
      <c r="H762">
        <v>17.250531393999999</v>
      </c>
      <c r="I762">
        <v>43</v>
      </c>
      <c r="J762">
        <v>8040</v>
      </c>
      <c r="K762">
        <v>2</v>
      </c>
      <c r="L762">
        <v>2</v>
      </c>
      <c r="M762">
        <v>2</v>
      </c>
      <c r="N762">
        <v>1</v>
      </c>
    </row>
    <row r="763" spans="1:14">
      <c r="A763">
        <v>40</v>
      </c>
      <c r="B763">
        <v>2</v>
      </c>
      <c r="C763">
        <v>155</v>
      </c>
      <c r="D763" s="131">
        <v>0.19907952751533251</v>
      </c>
      <c r="E763">
        <v>5</v>
      </c>
      <c r="F763">
        <v>0</v>
      </c>
      <c r="G763">
        <v>6.7126073342283099E-2</v>
      </c>
      <c r="H763">
        <v>20.09247284199995</v>
      </c>
      <c r="I763">
        <v>44</v>
      </c>
      <c r="J763">
        <v>8040</v>
      </c>
      <c r="K763">
        <v>2</v>
      </c>
      <c r="L763">
        <v>1</v>
      </c>
      <c r="M763">
        <v>1</v>
      </c>
      <c r="N763">
        <v>1</v>
      </c>
    </row>
    <row r="764" spans="1:14">
      <c r="A764">
        <v>41</v>
      </c>
      <c r="B764">
        <v>1</v>
      </c>
      <c r="C764">
        <v>3233</v>
      </c>
      <c r="D764" s="131">
        <v>0.22470285056294773</v>
      </c>
      <c r="E764">
        <v>17</v>
      </c>
      <c r="F764">
        <v>0</v>
      </c>
      <c r="G764">
        <v>0.18644865806996624</v>
      </c>
      <c r="H764">
        <v>17.801287300000002</v>
      </c>
      <c r="I764">
        <v>41</v>
      </c>
      <c r="J764">
        <v>8040</v>
      </c>
      <c r="K764">
        <v>3</v>
      </c>
      <c r="L764">
        <v>5</v>
      </c>
      <c r="M764">
        <v>6</v>
      </c>
      <c r="N764">
        <v>3</v>
      </c>
    </row>
    <row r="765" spans="1:14">
      <c r="A765">
        <v>41</v>
      </c>
      <c r="B765">
        <v>2</v>
      </c>
      <c r="C765">
        <v>1750</v>
      </c>
      <c r="D765" s="131">
        <v>0.17670574736035205</v>
      </c>
      <c r="E765">
        <v>9</v>
      </c>
      <c r="F765">
        <v>0</v>
      </c>
      <c r="G765">
        <v>0.10782035870208237</v>
      </c>
      <c r="H765">
        <v>22.636501980000062</v>
      </c>
      <c r="I765">
        <v>42</v>
      </c>
      <c r="J765">
        <v>8040</v>
      </c>
      <c r="K765">
        <v>1</v>
      </c>
      <c r="L765">
        <v>3</v>
      </c>
      <c r="M765">
        <v>4</v>
      </c>
      <c r="N765">
        <v>1</v>
      </c>
    </row>
    <row r="766" spans="1:14">
      <c r="A766">
        <v>42</v>
      </c>
      <c r="B766">
        <v>1</v>
      </c>
      <c r="C766">
        <v>2302</v>
      </c>
      <c r="D766" s="131">
        <v>0.2093517377060056</v>
      </c>
      <c r="E766">
        <v>22</v>
      </c>
      <c r="F766">
        <v>0</v>
      </c>
      <c r="G766">
        <v>0.23684125596622349</v>
      </c>
      <c r="H766">
        <v>19.106600422</v>
      </c>
      <c r="I766">
        <v>39</v>
      </c>
      <c r="J766">
        <v>8040</v>
      </c>
      <c r="K766">
        <v>1</v>
      </c>
      <c r="L766">
        <v>11</v>
      </c>
      <c r="M766">
        <v>8</v>
      </c>
      <c r="N766">
        <v>2</v>
      </c>
    </row>
    <row r="767" spans="1:14">
      <c r="A767">
        <v>42</v>
      </c>
      <c r="B767">
        <v>2</v>
      </c>
      <c r="C767">
        <v>1590</v>
      </c>
      <c r="D767" s="131">
        <v>0.17040193327673053</v>
      </c>
      <c r="E767">
        <v>9</v>
      </c>
      <c r="F767">
        <v>0</v>
      </c>
      <c r="G767">
        <v>0.108037450852766</v>
      </c>
      <c r="H767">
        <v>23.473912080000005</v>
      </c>
      <c r="I767">
        <v>41</v>
      </c>
      <c r="J767">
        <v>8040</v>
      </c>
      <c r="K767">
        <v>1</v>
      </c>
      <c r="L767">
        <v>3</v>
      </c>
      <c r="M767">
        <v>4</v>
      </c>
      <c r="N767">
        <v>1</v>
      </c>
    </row>
    <row r="768" spans="1:14">
      <c r="A768">
        <v>43</v>
      </c>
      <c r="B768">
        <v>1</v>
      </c>
      <c r="C768">
        <v>2807</v>
      </c>
      <c r="D768" s="131">
        <v>0.23851786070869746</v>
      </c>
      <c r="E768">
        <v>34</v>
      </c>
      <c r="F768">
        <v>0</v>
      </c>
      <c r="G768">
        <v>0.35612475154107082</v>
      </c>
      <c r="H768">
        <v>16.77023258599997</v>
      </c>
      <c r="I768">
        <v>45</v>
      </c>
      <c r="J768">
        <v>8040</v>
      </c>
      <c r="K768">
        <v>4</v>
      </c>
      <c r="L768">
        <v>9</v>
      </c>
      <c r="M768">
        <v>20</v>
      </c>
      <c r="N768">
        <v>1</v>
      </c>
    </row>
    <row r="769" spans="1:14">
      <c r="A769">
        <v>43</v>
      </c>
      <c r="B769">
        <v>2</v>
      </c>
      <c r="C769">
        <v>1777</v>
      </c>
      <c r="D769" s="131">
        <v>0.18873299886257522</v>
      </c>
      <c r="E769">
        <v>10</v>
      </c>
      <c r="F769">
        <v>0</v>
      </c>
      <c r="G769">
        <v>0.11743347860552664</v>
      </c>
      <c r="H769">
        <v>21.193961967999964</v>
      </c>
      <c r="I769">
        <v>41</v>
      </c>
      <c r="J769">
        <v>8040</v>
      </c>
      <c r="K769">
        <v>1</v>
      </c>
      <c r="L769">
        <v>4</v>
      </c>
      <c r="M769">
        <v>4</v>
      </c>
      <c r="N769">
        <v>1</v>
      </c>
    </row>
    <row r="770" spans="1:14">
      <c r="A770">
        <v>44</v>
      </c>
      <c r="B770">
        <v>1</v>
      </c>
      <c r="C770">
        <v>2370</v>
      </c>
      <c r="D770" s="131">
        <v>0.22116802311982575</v>
      </c>
      <c r="E770">
        <v>16</v>
      </c>
      <c r="F770">
        <v>0</v>
      </c>
      <c r="G770">
        <v>0.17653582578075672</v>
      </c>
      <c r="H770">
        <v>18.085797140000007</v>
      </c>
      <c r="I770">
        <v>42</v>
      </c>
      <c r="J770">
        <v>8040</v>
      </c>
      <c r="K770">
        <v>3</v>
      </c>
      <c r="L770">
        <v>5</v>
      </c>
      <c r="M770">
        <v>6</v>
      </c>
      <c r="N770">
        <v>2</v>
      </c>
    </row>
    <row r="771" spans="1:14">
      <c r="A771">
        <v>44</v>
      </c>
      <c r="B771">
        <v>2</v>
      </c>
      <c r="C771">
        <v>2396</v>
      </c>
      <c r="D771" s="131">
        <v>0.16992851646240711</v>
      </c>
      <c r="E771">
        <v>9</v>
      </c>
      <c r="F771">
        <v>0</v>
      </c>
      <c r="G771">
        <v>0.10805418595784991</v>
      </c>
      <c r="H771">
        <v>23.539309842000009</v>
      </c>
      <c r="I771">
        <v>41</v>
      </c>
      <c r="J771">
        <v>8040</v>
      </c>
      <c r="K771">
        <v>1</v>
      </c>
      <c r="L771">
        <v>2</v>
      </c>
      <c r="M771">
        <v>5</v>
      </c>
      <c r="N771">
        <v>1</v>
      </c>
    </row>
    <row r="772" spans="1:14">
      <c r="A772">
        <v>45</v>
      </c>
      <c r="B772">
        <v>1</v>
      </c>
      <c r="C772">
        <v>2711</v>
      </c>
      <c r="D772" s="131">
        <v>0.23260279488991462</v>
      </c>
      <c r="E772">
        <v>49</v>
      </c>
      <c r="F772">
        <v>0</v>
      </c>
      <c r="G772">
        <v>0.50626029262696504</v>
      </c>
      <c r="H772">
        <v>17.196697924000031</v>
      </c>
      <c r="I772">
        <v>38</v>
      </c>
      <c r="J772">
        <v>8040</v>
      </c>
      <c r="K772">
        <v>1</v>
      </c>
      <c r="L772">
        <v>26</v>
      </c>
      <c r="M772">
        <v>20</v>
      </c>
      <c r="N772">
        <v>2</v>
      </c>
    </row>
    <row r="773" spans="1:14">
      <c r="A773">
        <v>45</v>
      </c>
      <c r="B773">
        <v>2</v>
      </c>
      <c r="C773">
        <v>2977</v>
      </c>
      <c r="D773" s="131">
        <v>0.1824047444028532</v>
      </c>
      <c r="E773">
        <v>9</v>
      </c>
      <c r="F773">
        <v>0</v>
      </c>
      <c r="G773">
        <v>0.10763280033917072</v>
      </c>
      <c r="H773">
        <v>21.929254159999971</v>
      </c>
      <c r="I773">
        <v>42</v>
      </c>
      <c r="J773">
        <v>8040</v>
      </c>
      <c r="K773">
        <v>2</v>
      </c>
      <c r="L773">
        <v>2</v>
      </c>
      <c r="M773">
        <v>3</v>
      </c>
      <c r="N773">
        <v>2</v>
      </c>
    </row>
    <row r="774" spans="1:14">
      <c r="A774">
        <v>46</v>
      </c>
      <c r="B774">
        <v>1</v>
      </c>
      <c r="C774">
        <v>3784</v>
      </c>
      <c r="D774" s="131">
        <v>0.22358589582897323</v>
      </c>
      <c r="E774">
        <v>24</v>
      </c>
      <c r="F774">
        <v>0</v>
      </c>
      <c r="G774">
        <v>0.25647600311198315</v>
      </c>
      <c r="H774">
        <v>17.890216130000017</v>
      </c>
      <c r="I774">
        <v>42</v>
      </c>
      <c r="J774">
        <v>8040</v>
      </c>
      <c r="K774">
        <v>3</v>
      </c>
      <c r="L774">
        <v>8</v>
      </c>
      <c r="M774">
        <v>9</v>
      </c>
      <c r="N774">
        <v>4</v>
      </c>
    </row>
    <row r="775" spans="1:14">
      <c r="A775">
        <v>46</v>
      </c>
      <c r="B775">
        <v>2</v>
      </c>
      <c r="C775">
        <v>2090</v>
      </c>
      <c r="D775" s="131">
        <v>0.17228963885783649</v>
      </c>
      <c r="E775">
        <v>9</v>
      </c>
      <c r="F775">
        <v>0</v>
      </c>
      <c r="G775">
        <v>0.10797133251391221</v>
      </c>
      <c r="H775">
        <v>23.216718233999956</v>
      </c>
      <c r="I775">
        <v>40</v>
      </c>
      <c r="J775">
        <v>8040</v>
      </c>
      <c r="K775">
        <v>1</v>
      </c>
      <c r="L775">
        <v>3</v>
      </c>
      <c r="M775">
        <v>3</v>
      </c>
      <c r="N775">
        <v>2</v>
      </c>
    </row>
    <row r="776" spans="1:14">
      <c r="A776">
        <v>47</v>
      </c>
      <c r="B776">
        <v>1</v>
      </c>
      <c r="C776">
        <v>2490</v>
      </c>
      <c r="D776" s="131">
        <v>0.22385223197192761</v>
      </c>
      <c r="E776">
        <v>15</v>
      </c>
      <c r="F776">
        <v>0</v>
      </c>
      <c r="G776">
        <v>0.1664694662155167</v>
      </c>
      <c r="H776">
        <v>17.86893061000001</v>
      </c>
      <c r="I776">
        <v>42</v>
      </c>
      <c r="J776">
        <v>8040</v>
      </c>
      <c r="K776">
        <v>3</v>
      </c>
      <c r="L776">
        <v>5</v>
      </c>
      <c r="M776">
        <v>5</v>
      </c>
      <c r="N776">
        <v>2</v>
      </c>
    </row>
    <row r="777" spans="1:14">
      <c r="A777">
        <v>47</v>
      </c>
      <c r="B777">
        <v>2</v>
      </c>
      <c r="C777">
        <v>1652</v>
      </c>
      <c r="D777" s="131">
        <v>0.17932269602702658</v>
      </c>
      <c r="E777">
        <v>8</v>
      </c>
      <c r="F777">
        <v>0</v>
      </c>
      <c r="G777">
        <v>9.7733246328054899E-2</v>
      </c>
      <c r="H777">
        <v>22.306155822000026</v>
      </c>
      <c r="I777">
        <v>40</v>
      </c>
      <c r="J777">
        <v>8040</v>
      </c>
      <c r="K777">
        <v>1</v>
      </c>
      <c r="L777">
        <v>3</v>
      </c>
      <c r="M777">
        <v>2</v>
      </c>
      <c r="N777">
        <v>2</v>
      </c>
    </row>
    <row r="778" spans="1:14">
      <c r="A778">
        <v>48</v>
      </c>
      <c r="B778">
        <v>1</v>
      </c>
      <c r="C778">
        <v>2230</v>
      </c>
      <c r="D778" s="131">
        <v>0.21842835020664694</v>
      </c>
      <c r="E778">
        <v>19</v>
      </c>
      <c r="F778">
        <v>0</v>
      </c>
      <c r="G778">
        <v>0.20660467315810871</v>
      </c>
      <c r="H778">
        <v>18.312641176000042</v>
      </c>
      <c r="I778">
        <v>40</v>
      </c>
      <c r="J778">
        <v>8040</v>
      </c>
      <c r="K778">
        <v>1</v>
      </c>
      <c r="L778">
        <v>9</v>
      </c>
      <c r="M778">
        <v>7</v>
      </c>
      <c r="N778">
        <v>2</v>
      </c>
    </row>
    <row r="779" spans="1:14">
      <c r="A779">
        <v>48</v>
      </c>
      <c r="B779">
        <v>2</v>
      </c>
      <c r="C779">
        <v>3104</v>
      </c>
      <c r="D779" s="131">
        <v>0.17937229182172373</v>
      </c>
      <c r="E779">
        <v>8</v>
      </c>
      <c r="F779">
        <v>0</v>
      </c>
      <c r="G779">
        <v>9.7731611784416195E-2</v>
      </c>
      <c r="H779">
        <v>22.299988249999942</v>
      </c>
      <c r="I779">
        <v>44</v>
      </c>
      <c r="J779">
        <v>8040</v>
      </c>
      <c r="K779">
        <v>2</v>
      </c>
      <c r="L779">
        <v>2</v>
      </c>
      <c r="M779">
        <v>3</v>
      </c>
      <c r="N779">
        <v>1</v>
      </c>
    </row>
    <row r="780" spans="1:14">
      <c r="A780">
        <v>49</v>
      </c>
      <c r="B780">
        <v>1</v>
      </c>
      <c r="C780">
        <v>3031</v>
      </c>
      <c r="D780" s="131">
        <v>0.22792388519598034</v>
      </c>
      <c r="E780">
        <v>15</v>
      </c>
      <c r="F780">
        <v>0</v>
      </c>
      <c r="G780">
        <v>0.16637080568277959</v>
      </c>
      <c r="H780">
        <v>17.549718392000031</v>
      </c>
      <c r="I780">
        <v>43</v>
      </c>
      <c r="J780">
        <v>8040</v>
      </c>
      <c r="K780">
        <v>3</v>
      </c>
      <c r="L780">
        <v>5</v>
      </c>
      <c r="M780">
        <v>5</v>
      </c>
      <c r="N780">
        <v>2</v>
      </c>
    </row>
    <row r="781" spans="1:14">
      <c r="A781">
        <v>49</v>
      </c>
      <c r="B781">
        <v>2</v>
      </c>
      <c r="C781">
        <v>1905</v>
      </c>
      <c r="D781" s="131">
        <v>0.18399148197745191</v>
      </c>
      <c r="E781">
        <v>9</v>
      </c>
      <c r="F781">
        <v>0</v>
      </c>
      <c r="G781">
        <v>0.10758196566086795</v>
      </c>
      <c r="H781">
        <v>21.740136864000032</v>
      </c>
      <c r="I781">
        <v>42</v>
      </c>
      <c r="J781">
        <v>8040</v>
      </c>
      <c r="K781">
        <v>1</v>
      </c>
      <c r="L781">
        <v>3</v>
      </c>
      <c r="M781">
        <v>4</v>
      </c>
      <c r="N781">
        <v>1</v>
      </c>
    </row>
    <row r="782" spans="1:14">
      <c r="A782">
        <v>50</v>
      </c>
      <c r="B782">
        <v>1</v>
      </c>
      <c r="C782">
        <v>3163</v>
      </c>
      <c r="D782" s="131">
        <v>0.23912773549053548</v>
      </c>
      <c r="E782">
        <v>25</v>
      </c>
      <c r="F782">
        <v>0</v>
      </c>
      <c r="G782">
        <v>0.26611103160529487</v>
      </c>
      <c r="H782">
        <v>16.727461546000036</v>
      </c>
      <c r="I782">
        <v>42</v>
      </c>
      <c r="J782">
        <v>8040</v>
      </c>
      <c r="K782">
        <v>5</v>
      </c>
      <c r="L782">
        <v>8</v>
      </c>
      <c r="M782">
        <v>9</v>
      </c>
      <c r="N782">
        <v>3</v>
      </c>
    </row>
    <row r="783" spans="1:14">
      <c r="A783">
        <v>50</v>
      </c>
      <c r="B783">
        <v>2</v>
      </c>
      <c r="C783">
        <v>2844</v>
      </c>
      <c r="D783" s="131">
        <v>0.18497929548758121</v>
      </c>
      <c r="E783">
        <v>9</v>
      </c>
      <c r="F783">
        <v>0</v>
      </c>
      <c r="G783">
        <v>0.10755061312403581</v>
      </c>
      <c r="H783">
        <v>21.624041704000025</v>
      </c>
      <c r="I783">
        <v>41</v>
      </c>
      <c r="J783">
        <v>8040</v>
      </c>
      <c r="K783">
        <v>2</v>
      </c>
      <c r="L783">
        <v>3</v>
      </c>
      <c r="M783">
        <v>2</v>
      </c>
      <c r="N783">
        <v>2</v>
      </c>
    </row>
    <row r="784" spans="1:14">
      <c r="A784">
        <v>51</v>
      </c>
      <c r="B784">
        <v>1</v>
      </c>
      <c r="C784">
        <v>2123</v>
      </c>
      <c r="D784" s="131">
        <v>0.22875678138097805</v>
      </c>
      <c r="E784">
        <v>8</v>
      </c>
      <c r="F784">
        <v>0</v>
      </c>
      <c r="G784">
        <v>9.6350912992251375E-2</v>
      </c>
      <c r="H784">
        <v>17.485820423999961</v>
      </c>
      <c r="I784">
        <v>39</v>
      </c>
      <c r="J784">
        <v>8040</v>
      </c>
      <c r="K784">
        <v>1</v>
      </c>
      <c r="L784">
        <v>3</v>
      </c>
      <c r="M784">
        <v>2</v>
      </c>
      <c r="N784">
        <v>2</v>
      </c>
    </row>
    <row r="785" spans="1:14">
      <c r="A785">
        <v>51</v>
      </c>
      <c r="B785">
        <v>2</v>
      </c>
      <c r="C785">
        <v>1861</v>
      </c>
      <c r="D785" s="131">
        <v>0.20955195349072714</v>
      </c>
      <c r="E785">
        <v>6</v>
      </c>
      <c r="F785">
        <v>0</v>
      </c>
      <c r="G785">
        <v>7.6835890614610089E-2</v>
      </c>
      <c r="H785">
        <v>19.088345077999971</v>
      </c>
      <c r="I785">
        <v>43</v>
      </c>
      <c r="J785">
        <v>8040</v>
      </c>
      <c r="K785">
        <v>1</v>
      </c>
      <c r="L785">
        <v>2</v>
      </c>
      <c r="M785">
        <v>2</v>
      </c>
      <c r="N785">
        <v>1</v>
      </c>
    </row>
    <row r="786" spans="1:14">
      <c r="A786">
        <v>52</v>
      </c>
      <c r="B786">
        <v>1</v>
      </c>
      <c r="C786">
        <v>1523</v>
      </c>
      <c r="D786" s="131">
        <v>0.22755757564867984</v>
      </c>
      <c r="E786">
        <v>8</v>
      </c>
      <c r="F786">
        <v>0</v>
      </c>
      <c r="G786">
        <v>9.6379585244777827E-2</v>
      </c>
      <c r="H786">
        <v>17.577968953999996</v>
      </c>
      <c r="I786">
        <v>41</v>
      </c>
      <c r="J786">
        <v>8040</v>
      </c>
      <c r="K786">
        <v>1</v>
      </c>
      <c r="L786">
        <v>3</v>
      </c>
      <c r="M786">
        <v>3</v>
      </c>
      <c r="N786">
        <v>1</v>
      </c>
    </row>
    <row r="787" spans="1:14">
      <c r="A787">
        <v>52</v>
      </c>
      <c r="B787">
        <v>2</v>
      </c>
      <c r="C787">
        <v>1542</v>
      </c>
      <c r="D787" s="131">
        <v>0.21021181598860336</v>
      </c>
      <c r="E787">
        <v>6</v>
      </c>
      <c r="F787">
        <v>0</v>
      </c>
      <c r="G787">
        <v>7.6818255993172199E-2</v>
      </c>
      <c r="H787">
        <v>19.028426071999966</v>
      </c>
      <c r="I787">
        <v>42</v>
      </c>
      <c r="J787">
        <v>8040</v>
      </c>
      <c r="K787">
        <v>1</v>
      </c>
      <c r="L787">
        <v>2</v>
      </c>
      <c r="M787">
        <v>2</v>
      </c>
      <c r="N787">
        <v>1</v>
      </c>
    </row>
    <row r="788" spans="1:14">
      <c r="A788">
        <v>53</v>
      </c>
      <c r="B788">
        <v>1</v>
      </c>
      <c r="C788">
        <v>1641</v>
      </c>
      <c r="D788" s="131">
        <v>0.22756676297710812</v>
      </c>
      <c r="E788">
        <v>8</v>
      </c>
      <c r="F788">
        <v>0</v>
      </c>
      <c r="G788">
        <v>9.6379364816199187E-2</v>
      </c>
      <c r="H788">
        <v>17.57725929599999</v>
      </c>
      <c r="I788">
        <v>42</v>
      </c>
      <c r="J788">
        <v>8040</v>
      </c>
      <c r="K788">
        <v>1</v>
      </c>
      <c r="L788">
        <v>3</v>
      </c>
      <c r="M788">
        <v>3</v>
      </c>
      <c r="N788">
        <v>1</v>
      </c>
    </row>
    <row r="789" spans="1:14">
      <c r="A789">
        <v>53</v>
      </c>
      <c r="B789">
        <v>2</v>
      </c>
      <c r="C789">
        <v>1835</v>
      </c>
      <c r="D789" s="131">
        <v>0.21034698988798295</v>
      </c>
      <c r="E789">
        <v>6</v>
      </c>
      <c r="F789">
        <v>0</v>
      </c>
      <c r="G789">
        <v>7.6814652619533519E-2</v>
      </c>
      <c r="H789">
        <v>19.016197959999989</v>
      </c>
      <c r="I789">
        <v>42</v>
      </c>
      <c r="J789">
        <v>8040</v>
      </c>
      <c r="K789">
        <v>1</v>
      </c>
      <c r="L789">
        <v>2</v>
      </c>
      <c r="M789">
        <v>2</v>
      </c>
      <c r="N789">
        <v>1</v>
      </c>
    </row>
    <row r="790" spans="1:14">
      <c r="A790">
        <v>54</v>
      </c>
      <c r="B790">
        <v>1</v>
      </c>
      <c r="C790">
        <v>2082</v>
      </c>
      <c r="D790" s="131">
        <v>0.22494336123833036</v>
      </c>
      <c r="E790">
        <v>8</v>
      </c>
      <c r="F790">
        <v>0</v>
      </c>
      <c r="G790">
        <v>9.644279364757527E-2</v>
      </c>
      <c r="H790">
        <v>17.782254065999968</v>
      </c>
      <c r="I790">
        <v>40</v>
      </c>
      <c r="J790">
        <v>8040</v>
      </c>
      <c r="K790">
        <v>1</v>
      </c>
      <c r="L790">
        <v>3</v>
      </c>
      <c r="M790">
        <v>2</v>
      </c>
      <c r="N790">
        <v>2</v>
      </c>
    </row>
    <row r="791" spans="1:14">
      <c r="A791">
        <v>54</v>
      </c>
      <c r="B791">
        <v>2</v>
      </c>
      <c r="C791">
        <v>1697</v>
      </c>
      <c r="D791" s="131">
        <v>0.20729752852015443</v>
      </c>
      <c r="E791">
        <v>6</v>
      </c>
      <c r="F791">
        <v>0</v>
      </c>
      <c r="G791">
        <v>7.6896702540483655E-2</v>
      </c>
      <c r="H791">
        <v>19.295936755999971</v>
      </c>
      <c r="I791">
        <v>42</v>
      </c>
      <c r="J791">
        <v>8040</v>
      </c>
      <c r="K791">
        <v>1</v>
      </c>
      <c r="L791">
        <v>2</v>
      </c>
      <c r="M791">
        <v>2</v>
      </c>
      <c r="N791">
        <v>1</v>
      </c>
    </row>
    <row r="792" spans="1:14">
      <c r="A792">
        <v>55</v>
      </c>
      <c r="B792">
        <v>1</v>
      </c>
      <c r="C792">
        <v>1388</v>
      </c>
      <c r="D792" s="131">
        <v>0.23264774427347623</v>
      </c>
      <c r="E792">
        <v>9</v>
      </c>
      <c r="F792">
        <v>0</v>
      </c>
      <c r="G792">
        <v>0.10625924535381723</v>
      </c>
      <c r="H792">
        <v>17.193375385999964</v>
      </c>
      <c r="I792">
        <v>42</v>
      </c>
      <c r="J792">
        <v>8040</v>
      </c>
      <c r="K792">
        <v>1</v>
      </c>
      <c r="L792">
        <v>4</v>
      </c>
      <c r="M792">
        <v>3</v>
      </c>
      <c r="N792">
        <v>1</v>
      </c>
    </row>
    <row r="793" spans="1:14">
      <c r="A793">
        <v>55</v>
      </c>
      <c r="B793">
        <v>2</v>
      </c>
      <c r="C793">
        <v>1400</v>
      </c>
      <c r="D793" s="131">
        <v>0.21236227066419056</v>
      </c>
      <c r="E793">
        <v>6</v>
      </c>
      <c r="F793">
        <v>0</v>
      </c>
      <c r="G793">
        <v>7.6761294104202182E-2</v>
      </c>
      <c r="H793">
        <v>18.835737569999985</v>
      </c>
      <c r="I793">
        <v>43</v>
      </c>
      <c r="J793">
        <v>8040</v>
      </c>
      <c r="K793">
        <v>1</v>
      </c>
      <c r="L793">
        <v>2</v>
      </c>
      <c r="M793">
        <v>2</v>
      </c>
      <c r="N793">
        <v>1</v>
      </c>
    </row>
    <row r="794" spans="1:14">
      <c r="A794">
        <v>56</v>
      </c>
      <c r="B794">
        <v>1</v>
      </c>
      <c r="C794">
        <v>1758</v>
      </c>
      <c r="D794" s="131">
        <v>0.2303752348288631</v>
      </c>
      <c r="E794">
        <v>9</v>
      </c>
      <c r="F794">
        <v>0</v>
      </c>
      <c r="G794">
        <v>0.10631253299148263</v>
      </c>
      <c r="H794">
        <v>17.362977418000014</v>
      </c>
      <c r="I794">
        <v>41</v>
      </c>
      <c r="J794">
        <v>8040</v>
      </c>
      <c r="K794">
        <v>1</v>
      </c>
      <c r="L794">
        <v>3</v>
      </c>
      <c r="M794">
        <v>4</v>
      </c>
      <c r="N794">
        <v>1</v>
      </c>
    </row>
    <row r="795" spans="1:14">
      <c r="A795">
        <v>56</v>
      </c>
      <c r="B795">
        <v>2</v>
      </c>
      <c r="C795">
        <v>1643</v>
      </c>
      <c r="D795" s="131">
        <v>0.20939637341567077</v>
      </c>
      <c r="E795">
        <v>6</v>
      </c>
      <c r="F795">
        <v>0</v>
      </c>
      <c r="G795">
        <v>7.6840059232935604E-2</v>
      </c>
      <c r="H795">
        <v>19.102527587999997</v>
      </c>
      <c r="I795">
        <v>43</v>
      </c>
      <c r="J795">
        <v>8040</v>
      </c>
      <c r="K795">
        <v>1</v>
      </c>
      <c r="L795">
        <v>2</v>
      </c>
      <c r="M795">
        <v>2</v>
      </c>
      <c r="N795">
        <v>1</v>
      </c>
    </row>
    <row r="796" spans="1:14">
      <c r="A796">
        <v>57</v>
      </c>
      <c r="B796">
        <v>1</v>
      </c>
      <c r="C796">
        <v>2325</v>
      </c>
      <c r="D796" s="131">
        <v>0.22847535857375692</v>
      </c>
      <c r="E796">
        <v>9</v>
      </c>
      <c r="F796">
        <v>0</v>
      </c>
      <c r="G796">
        <v>0.10635762360918555</v>
      </c>
      <c r="H796">
        <v>17.507358452000027</v>
      </c>
      <c r="I796">
        <v>41</v>
      </c>
      <c r="J796">
        <v>8040</v>
      </c>
      <c r="K796">
        <v>1</v>
      </c>
      <c r="L796">
        <v>3</v>
      </c>
      <c r="M796">
        <v>4</v>
      </c>
      <c r="N796">
        <v>1</v>
      </c>
    </row>
    <row r="797" spans="1:14">
      <c r="A797">
        <v>57</v>
      </c>
      <c r="B797">
        <v>2</v>
      </c>
      <c r="C797">
        <v>1496</v>
      </c>
      <c r="D797" s="131">
        <v>0.20974601169993243</v>
      </c>
      <c r="E797">
        <v>6</v>
      </c>
      <c r="F797">
        <v>0</v>
      </c>
      <c r="G797">
        <v>7.683069679174491E-2</v>
      </c>
      <c r="H797">
        <v>19.070684432000043</v>
      </c>
      <c r="I797">
        <v>42</v>
      </c>
      <c r="J797">
        <v>8040</v>
      </c>
      <c r="K797">
        <v>1</v>
      </c>
      <c r="L797">
        <v>2</v>
      </c>
      <c r="M797">
        <v>2</v>
      </c>
      <c r="N797">
        <v>1</v>
      </c>
    </row>
    <row r="798" spans="1:14">
      <c r="A798">
        <v>58</v>
      </c>
      <c r="B798">
        <v>1</v>
      </c>
      <c r="C798">
        <v>1715</v>
      </c>
      <c r="D798" s="131">
        <v>0.22874461799712342</v>
      </c>
      <c r="E798">
        <v>8</v>
      </c>
      <c r="F798">
        <v>0</v>
      </c>
      <c r="G798">
        <v>9.6351202804397629E-2</v>
      </c>
      <c r="H798">
        <v>17.486750224000033</v>
      </c>
      <c r="I798">
        <v>45</v>
      </c>
      <c r="J798">
        <v>8040</v>
      </c>
      <c r="K798">
        <v>2</v>
      </c>
      <c r="L798">
        <v>2</v>
      </c>
      <c r="M798">
        <v>3</v>
      </c>
      <c r="N798">
        <v>1</v>
      </c>
    </row>
    <row r="799" spans="1:14">
      <c r="A799">
        <v>58</v>
      </c>
      <c r="B799">
        <v>2</v>
      </c>
      <c r="C799">
        <v>1973</v>
      </c>
      <c r="D799" s="131">
        <v>0.20973055507977548</v>
      </c>
      <c r="E799">
        <v>6</v>
      </c>
      <c r="F799">
        <v>0</v>
      </c>
      <c r="G799">
        <v>7.6831110241749462E-2</v>
      </c>
      <c r="H799">
        <v>19.072089894000019</v>
      </c>
      <c r="I799">
        <v>43</v>
      </c>
      <c r="J799">
        <v>8040</v>
      </c>
      <c r="K799">
        <v>1</v>
      </c>
      <c r="L799">
        <v>2</v>
      </c>
      <c r="M799">
        <v>2</v>
      </c>
      <c r="N799">
        <v>1</v>
      </c>
    </row>
    <row r="800" spans="1:14">
      <c r="A800">
        <v>59</v>
      </c>
      <c r="B800">
        <v>1</v>
      </c>
      <c r="C800">
        <v>2098</v>
      </c>
      <c r="D800" s="131">
        <v>0.23163331746960567</v>
      </c>
      <c r="E800">
        <v>8</v>
      </c>
      <c r="F800">
        <v>0</v>
      </c>
      <c r="G800">
        <v>9.628294631206441E-2</v>
      </c>
      <c r="H800">
        <v>17.268672933999962</v>
      </c>
      <c r="I800">
        <v>39</v>
      </c>
      <c r="J800">
        <v>8040</v>
      </c>
      <c r="K800">
        <v>1</v>
      </c>
      <c r="L800">
        <v>3</v>
      </c>
      <c r="M800">
        <v>2</v>
      </c>
      <c r="N800">
        <v>2</v>
      </c>
    </row>
    <row r="801" spans="1:14">
      <c r="A801">
        <v>59</v>
      </c>
      <c r="B801">
        <v>2</v>
      </c>
      <c r="C801">
        <v>1670</v>
      </c>
      <c r="D801" s="131">
        <v>0.21122829244133617</v>
      </c>
      <c r="E801">
        <v>6</v>
      </c>
      <c r="F801">
        <v>0</v>
      </c>
      <c r="G801">
        <v>7.6791234901851052E-2</v>
      </c>
      <c r="H801">
        <v>18.936857149999963</v>
      </c>
      <c r="I801">
        <v>43</v>
      </c>
      <c r="J801">
        <v>8040</v>
      </c>
      <c r="K801">
        <v>1</v>
      </c>
      <c r="L801">
        <v>2</v>
      </c>
      <c r="M801">
        <v>2</v>
      </c>
      <c r="N801">
        <v>1</v>
      </c>
    </row>
    <row r="802" spans="1:14">
      <c r="A802">
        <v>60</v>
      </c>
      <c r="B802">
        <v>1</v>
      </c>
      <c r="C802">
        <v>1905</v>
      </c>
      <c r="D802" s="131">
        <v>0.23146675331090621</v>
      </c>
      <c r="E802">
        <v>9</v>
      </c>
      <c r="F802">
        <v>0</v>
      </c>
      <c r="G802">
        <v>0.1062868511276466</v>
      </c>
      <c r="H802">
        <v>17.28109952200003</v>
      </c>
      <c r="I802">
        <v>45</v>
      </c>
      <c r="J802">
        <v>8040</v>
      </c>
      <c r="K802">
        <v>2</v>
      </c>
      <c r="L802">
        <v>2</v>
      </c>
      <c r="M802">
        <v>4</v>
      </c>
      <c r="N802">
        <v>1</v>
      </c>
    </row>
    <row r="803" spans="1:14">
      <c r="A803">
        <v>60</v>
      </c>
      <c r="B803">
        <v>2</v>
      </c>
      <c r="C803">
        <v>1547</v>
      </c>
      <c r="D803" s="131">
        <v>0.20748587250272651</v>
      </c>
      <c r="E803">
        <v>6</v>
      </c>
      <c r="F803">
        <v>0</v>
      </c>
      <c r="G803">
        <v>7.6891588367924299E-2</v>
      </c>
      <c r="H803">
        <v>19.278420992000008</v>
      </c>
      <c r="I803">
        <v>42</v>
      </c>
      <c r="J803">
        <v>8040</v>
      </c>
      <c r="K803">
        <v>1</v>
      </c>
      <c r="L803">
        <v>2</v>
      </c>
      <c r="M803">
        <v>2</v>
      </c>
      <c r="N803">
        <v>1</v>
      </c>
    </row>
    <row r="804" spans="1:14">
      <c r="A804">
        <v>61</v>
      </c>
      <c r="B804">
        <v>1</v>
      </c>
      <c r="C804">
        <v>3229</v>
      </c>
      <c r="D804" s="131">
        <v>0.22826889295504083</v>
      </c>
      <c r="E804">
        <v>18</v>
      </c>
      <c r="F804">
        <v>0</v>
      </c>
      <c r="G804">
        <v>0.19636255386068643</v>
      </c>
      <c r="H804">
        <v>17.523193581999926</v>
      </c>
      <c r="I804">
        <v>39</v>
      </c>
      <c r="J804">
        <v>8040</v>
      </c>
      <c r="K804">
        <v>1</v>
      </c>
      <c r="L804">
        <v>5</v>
      </c>
      <c r="M804">
        <v>5</v>
      </c>
      <c r="N804">
        <v>7</v>
      </c>
    </row>
    <row r="805" spans="1:14">
      <c r="A805">
        <v>61</v>
      </c>
      <c r="B805">
        <v>2</v>
      </c>
      <c r="C805">
        <v>1603</v>
      </c>
      <c r="D805" s="131">
        <v>0.1786402094542735</v>
      </c>
      <c r="E805">
        <v>9</v>
      </c>
      <c r="F805">
        <v>0</v>
      </c>
      <c r="G805">
        <v>0.10775580064281186</v>
      </c>
      <c r="H805">
        <v>22.391375448000016</v>
      </c>
      <c r="I805">
        <v>42</v>
      </c>
      <c r="J805">
        <v>8040</v>
      </c>
      <c r="K805">
        <v>2</v>
      </c>
      <c r="L805">
        <v>1</v>
      </c>
      <c r="M805">
        <v>1</v>
      </c>
      <c r="N805">
        <v>5</v>
      </c>
    </row>
    <row r="806" spans="1:14">
      <c r="A806">
        <v>62</v>
      </c>
      <c r="B806">
        <v>1</v>
      </c>
      <c r="C806">
        <v>2091</v>
      </c>
      <c r="D806" s="131">
        <v>0.20976764900084777</v>
      </c>
      <c r="E806">
        <v>16</v>
      </c>
      <c r="F806">
        <v>0</v>
      </c>
      <c r="G806">
        <v>0.17683011808259563</v>
      </c>
      <c r="H806">
        <v>19.068717311999976</v>
      </c>
      <c r="I806">
        <v>42</v>
      </c>
      <c r="J806">
        <v>8040</v>
      </c>
      <c r="K806">
        <v>3</v>
      </c>
      <c r="L806">
        <v>1</v>
      </c>
      <c r="M806">
        <v>5</v>
      </c>
      <c r="N806">
        <v>7</v>
      </c>
    </row>
    <row r="807" spans="1:14">
      <c r="A807">
        <v>62</v>
      </c>
      <c r="B807">
        <v>2</v>
      </c>
      <c r="C807">
        <v>1301</v>
      </c>
      <c r="D807" s="131">
        <v>0.16469160989127035</v>
      </c>
      <c r="E807">
        <v>9</v>
      </c>
      <c r="F807">
        <v>0</v>
      </c>
      <c r="G807">
        <v>0.10824355659892555</v>
      </c>
      <c r="H807">
        <v>24.287818928000071</v>
      </c>
      <c r="I807">
        <v>41</v>
      </c>
      <c r="J807">
        <v>8040</v>
      </c>
      <c r="K807">
        <v>1</v>
      </c>
      <c r="L807">
        <v>1</v>
      </c>
      <c r="M807">
        <v>1</v>
      </c>
      <c r="N807">
        <v>6</v>
      </c>
    </row>
    <row r="808" spans="1:14">
      <c r="A808">
        <v>63</v>
      </c>
      <c r="B808">
        <v>1</v>
      </c>
      <c r="C808">
        <v>3011</v>
      </c>
      <c r="D808" s="131">
        <v>0.21147528839586135</v>
      </c>
      <c r="E808">
        <v>12</v>
      </c>
      <c r="F808">
        <v>0</v>
      </c>
      <c r="G808">
        <v>0.13678469515776159</v>
      </c>
      <c r="H808">
        <v>18.914739543999985</v>
      </c>
      <c r="I808">
        <v>43</v>
      </c>
      <c r="J808">
        <v>8040</v>
      </c>
      <c r="K808">
        <v>2</v>
      </c>
      <c r="L808">
        <v>3</v>
      </c>
      <c r="M808">
        <v>2</v>
      </c>
      <c r="N808">
        <v>5</v>
      </c>
    </row>
    <row r="809" spans="1:14">
      <c r="A809">
        <v>63</v>
      </c>
      <c r="B809">
        <v>2</v>
      </c>
      <c r="C809">
        <v>2021</v>
      </c>
      <c r="D809" s="131">
        <v>0.16531765447869606</v>
      </c>
      <c r="E809">
        <v>7</v>
      </c>
      <c r="F809">
        <v>0</v>
      </c>
      <c r="G809">
        <v>8.8220498510215822E-2</v>
      </c>
      <c r="H809">
        <v>24.195842922000001</v>
      </c>
      <c r="I809">
        <v>41</v>
      </c>
      <c r="J809">
        <v>8040</v>
      </c>
      <c r="K809">
        <v>1</v>
      </c>
      <c r="L809">
        <v>1</v>
      </c>
      <c r="M809">
        <v>2</v>
      </c>
      <c r="N809">
        <v>3</v>
      </c>
    </row>
    <row r="810" spans="1:14">
      <c r="A810">
        <v>64</v>
      </c>
      <c r="B810">
        <v>1</v>
      </c>
      <c r="C810">
        <v>3900</v>
      </c>
      <c r="D810" s="131">
        <v>0.22932439012486755</v>
      </c>
      <c r="E810">
        <v>20</v>
      </c>
      <c r="F810">
        <v>0</v>
      </c>
      <c r="G810">
        <v>0.21633741160977299</v>
      </c>
      <c r="H810">
        <v>17.442540663999988</v>
      </c>
      <c r="I810">
        <v>40</v>
      </c>
      <c r="J810">
        <v>8040</v>
      </c>
      <c r="K810">
        <v>1</v>
      </c>
      <c r="L810">
        <v>7</v>
      </c>
      <c r="M810">
        <v>4</v>
      </c>
      <c r="N810">
        <v>8</v>
      </c>
    </row>
    <row r="811" spans="1:14">
      <c r="A811">
        <v>64</v>
      </c>
      <c r="B811">
        <v>2</v>
      </c>
      <c r="C811">
        <v>1631</v>
      </c>
      <c r="D811" s="131">
        <v>0.18373662978792699</v>
      </c>
      <c r="E811">
        <v>8</v>
      </c>
      <c r="F811">
        <v>0</v>
      </c>
      <c r="G811">
        <v>9.7590090936601856E-2</v>
      </c>
      <c r="H811">
        <v>21.770291555999972</v>
      </c>
      <c r="I811">
        <v>40</v>
      </c>
      <c r="J811">
        <v>8040</v>
      </c>
      <c r="K811">
        <v>1</v>
      </c>
      <c r="L811">
        <v>2</v>
      </c>
      <c r="M811">
        <v>2</v>
      </c>
      <c r="N811">
        <v>3</v>
      </c>
    </row>
    <row r="812" spans="1:14">
      <c r="A812">
        <v>65</v>
      </c>
      <c r="B812">
        <v>1</v>
      </c>
      <c r="C812">
        <v>2703</v>
      </c>
      <c r="D812" s="131">
        <v>0.21380612842398744</v>
      </c>
      <c r="E812">
        <v>17</v>
      </c>
      <c r="F812">
        <v>0</v>
      </c>
      <c r="G812">
        <v>0.18672347852603097</v>
      </c>
      <c r="H812">
        <v>18.70853763399997</v>
      </c>
      <c r="I812">
        <v>40</v>
      </c>
      <c r="J812">
        <v>8040</v>
      </c>
      <c r="K812">
        <v>1</v>
      </c>
      <c r="L812">
        <v>6</v>
      </c>
      <c r="M812">
        <v>4</v>
      </c>
      <c r="N812">
        <v>6</v>
      </c>
    </row>
    <row r="813" spans="1:14">
      <c r="A813">
        <v>65</v>
      </c>
      <c r="B813">
        <v>2</v>
      </c>
      <c r="C813">
        <v>2357</v>
      </c>
      <c r="D813" s="131">
        <v>0.17069103729026261</v>
      </c>
      <c r="E813">
        <v>8</v>
      </c>
      <c r="F813">
        <v>0</v>
      </c>
      <c r="G813">
        <v>9.8027261592325984E-2</v>
      </c>
      <c r="H813">
        <v>23.434153681999959</v>
      </c>
      <c r="I813">
        <v>44</v>
      </c>
      <c r="J813">
        <v>8040</v>
      </c>
      <c r="K813">
        <v>2</v>
      </c>
      <c r="L813">
        <v>2</v>
      </c>
      <c r="M813">
        <v>1</v>
      </c>
      <c r="N813">
        <v>3</v>
      </c>
    </row>
    <row r="814" spans="1:14">
      <c r="A814">
        <v>66</v>
      </c>
      <c r="B814">
        <v>1</v>
      </c>
      <c r="C814">
        <v>4462</v>
      </c>
      <c r="D814" s="131">
        <v>0.22895914809748402</v>
      </c>
      <c r="E814">
        <v>17</v>
      </c>
      <c r="F814">
        <v>0</v>
      </c>
      <c r="G814">
        <v>0.18634609429287846</v>
      </c>
      <c r="H814">
        <v>17.470365491999988</v>
      </c>
      <c r="I814">
        <v>43</v>
      </c>
      <c r="J814">
        <v>8040</v>
      </c>
      <c r="K814">
        <v>3</v>
      </c>
      <c r="L814">
        <v>3</v>
      </c>
      <c r="M814">
        <v>4</v>
      </c>
      <c r="N814">
        <v>7</v>
      </c>
    </row>
    <row r="815" spans="1:14">
      <c r="A815">
        <v>66</v>
      </c>
      <c r="B815">
        <v>2</v>
      </c>
      <c r="C815">
        <v>1766</v>
      </c>
      <c r="D815" s="131">
        <v>0.1776332935726016</v>
      </c>
      <c r="E815">
        <v>8</v>
      </c>
      <c r="F815">
        <v>0</v>
      </c>
      <c r="G815">
        <v>9.7789287086750235E-2</v>
      </c>
      <c r="H815">
        <v>22.518301155999989</v>
      </c>
      <c r="I815">
        <v>43</v>
      </c>
      <c r="J815">
        <v>8040</v>
      </c>
      <c r="K815">
        <v>2</v>
      </c>
      <c r="L815">
        <v>2</v>
      </c>
      <c r="M815">
        <v>1</v>
      </c>
      <c r="N815">
        <v>3</v>
      </c>
    </row>
    <row r="816" spans="1:14">
      <c r="A816">
        <v>67</v>
      </c>
      <c r="B816">
        <v>1</v>
      </c>
      <c r="C816">
        <v>2009</v>
      </c>
      <c r="D816" s="131">
        <v>0.20967239872557858</v>
      </c>
      <c r="E816">
        <v>16</v>
      </c>
      <c r="F816">
        <v>0</v>
      </c>
      <c r="G816">
        <v>0.17683266623342894</v>
      </c>
      <c r="H816">
        <v>19.077379875999995</v>
      </c>
      <c r="I816">
        <v>43</v>
      </c>
      <c r="J816">
        <v>8040</v>
      </c>
      <c r="K816">
        <v>3</v>
      </c>
      <c r="L816">
        <v>1</v>
      </c>
      <c r="M816">
        <v>6</v>
      </c>
      <c r="N816">
        <v>6</v>
      </c>
    </row>
    <row r="817" spans="1:14">
      <c r="A817">
        <v>67</v>
      </c>
      <c r="B817">
        <v>2</v>
      </c>
      <c r="C817">
        <v>2528</v>
      </c>
      <c r="D817" s="131">
        <v>0.16599392561347248</v>
      </c>
      <c r="E817">
        <v>7</v>
      </c>
      <c r="F817">
        <v>0</v>
      </c>
      <c r="G817">
        <v>8.8195720959467538E-2</v>
      </c>
      <c r="H817">
        <v>24.097267325999969</v>
      </c>
      <c r="I817">
        <v>42</v>
      </c>
      <c r="J817">
        <v>8040</v>
      </c>
      <c r="K817">
        <v>1</v>
      </c>
      <c r="L817">
        <v>2</v>
      </c>
      <c r="M817">
        <v>1</v>
      </c>
      <c r="N817">
        <v>3</v>
      </c>
    </row>
    <row r="818" spans="1:14">
      <c r="A818">
        <v>68</v>
      </c>
      <c r="B818">
        <v>1</v>
      </c>
      <c r="C818">
        <v>2303</v>
      </c>
      <c r="D818" s="131">
        <v>0.22375312461770966</v>
      </c>
      <c r="E818">
        <v>18</v>
      </c>
      <c r="F818">
        <v>0</v>
      </c>
      <c r="G818">
        <v>0.19647189747287236</v>
      </c>
      <c r="H818">
        <v>17.876845326000009</v>
      </c>
      <c r="I818">
        <v>40</v>
      </c>
      <c r="J818">
        <v>8040</v>
      </c>
      <c r="K818">
        <v>1</v>
      </c>
      <c r="L818">
        <v>6</v>
      </c>
      <c r="M818">
        <v>4</v>
      </c>
      <c r="N818">
        <v>7</v>
      </c>
    </row>
    <row r="819" spans="1:14">
      <c r="A819">
        <v>68</v>
      </c>
      <c r="B819">
        <v>2</v>
      </c>
      <c r="C819">
        <v>1884</v>
      </c>
      <c r="D819" s="131">
        <v>0.17720199632345479</v>
      </c>
      <c r="E819">
        <v>8</v>
      </c>
      <c r="F819">
        <v>0</v>
      </c>
      <c r="G819">
        <v>9.7803708019537292E-2</v>
      </c>
      <c r="H819">
        <v>22.573109124000045</v>
      </c>
      <c r="I819">
        <v>44</v>
      </c>
      <c r="J819">
        <v>8040</v>
      </c>
      <c r="K819">
        <v>2</v>
      </c>
      <c r="L819">
        <v>2</v>
      </c>
      <c r="M819">
        <v>1</v>
      </c>
      <c r="N819">
        <v>3</v>
      </c>
    </row>
    <row r="820" spans="1:14">
      <c r="A820">
        <v>69</v>
      </c>
      <c r="B820">
        <v>1</v>
      </c>
      <c r="C820">
        <v>2878</v>
      </c>
      <c r="D820" s="131">
        <v>0.22241928543727357</v>
      </c>
      <c r="E820">
        <v>21</v>
      </c>
      <c r="F820">
        <v>0</v>
      </c>
      <c r="G820">
        <v>0.22650475896459002</v>
      </c>
      <c r="H820">
        <v>17.984052022000022</v>
      </c>
      <c r="I820">
        <v>52</v>
      </c>
      <c r="J820">
        <v>8040</v>
      </c>
      <c r="K820">
        <v>4</v>
      </c>
      <c r="L820">
        <v>1</v>
      </c>
      <c r="M820">
        <v>9</v>
      </c>
      <c r="N820">
        <v>7</v>
      </c>
    </row>
    <row r="821" spans="1:14">
      <c r="A821">
        <v>69</v>
      </c>
      <c r="B821">
        <v>2</v>
      </c>
      <c r="C821">
        <v>2745</v>
      </c>
      <c r="D821" s="131">
        <v>0.18033254797507833</v>
      </c>
      <c r="E821">
        <v>8</v>
      </c>
      <c r="F821">
        <v>0</v>
      </c>
      <c r="G821">
        <v>9.7700082624339005E-2</v>
      </c>
      <c r="H821">
        <v>22.181242626000014</v>
      </c>
      <c r="I821">
        <v>44</v>
      </c>
      <c r="J821">
        <v>8040</v>
      </c>
      <c r="K821">
        <v>2</v>
      </c>
      <c r="L821">
        <v>2</v>
      </c>
      <c r="M821">
        <v>1</v>
      </c>
      <c r="N821">
        <v>3</v>
      </c>
    </row>
    <row r="822" spans="1:14">
      <c r="A822">
        <v>70</v>
      </c>
      <c r="B822">
        <v>1</v>
      </c>
      <c r="C822">
        <v>4446</v>
      </c>
      <c r="D822" s="131">
        <v>0.23286317136246665</v>
      </c>
      <c r="E822">
        <v>22</v>
      </c>
      <c r="F822">
        <v>0</v>
      </c>
      <c r="G822">
        <v>0.23625422987259706</v>
      </c>
      <c r="H822">
        <v>17.177469397999996</v>
      </c>
      <c r="I822">
        <v>38</v>
      </c>
      <c r="J822">
        <v>8040</v>
      </c>
      <c r="K822">
        <v>1</v>
      </c>
      <c r="L822">
        <v>8</v>
      </c>
      <c r="M822">
        <v>5</v>
      </c>
      <c r="N822">
        <v>8</v>
      </c>
    </row>
    <row r="823" spans="1:14">
      <c r="A823">
        <v>70</v>
      </c>
      <c r="B823">
        <v>2</v>
      </c>
      <c r="C823">
        <v>3748</v>
      </c>
      <c r="D823" s="131">
        <v>0.18557821487715206</v>
      </c>
      <c r="E823">
        <v>8</v>
      </c>
      <c r="F823">
        <v>0</v>
      </c>
      <c r="G823">
        <v>9.7531712323110059E-2</v>
      </c>
      <c r="H823">
        <v>21.554254105999973</v>
      </c>
      <c r="I823">
        <v>43</v>
      </c>
      <c r="J823">
        <v>8040</v>
      </c>
      <c r="K823">
        <v>1</v>
      </c>
      <c r="L823">
        <v>2</v>
      </c>
      <c r="M823">
        <v>2</v>
      </c>
      <c r="N823">
        <v>3</v>
      </c>
    </row>
    <row r="824" spans="1:14">
      <c r="A824">
        <v>71</v>
      </c>
      <c r="B824">
        <v>1</v>
      </c>
      <c r="C824">
        <v>1584</v>
      </c>
      <c r="D824" s="131">
        <v>0.22989020999789853</v>
      </c>
      <c r="E824">
        <v>7</v>
      </c>
      <c r="F824">
        <v>0</v>
      </c>
      <c r="G824">
        <v>8.6323997051953191E-2</v>
      </c>
      <c r="H824">
        <v>17.399610014000007</v>
      </c>
      <c r="I824">
        <v>43</v>
      </c>
      <c r="J824">
        <v>8040</v>
      </c>
      <c r="K824">
        <v>1</v>
      </c>
      <c r="L824">
        <v>2</v>
      </c>
      <c r="M824">
        <v>2</v>
      </c>
      <c r="N824">
        <v>2</v>
      </c>
    </row>
    <row r="825" spans="1:14">
      <c r="A825">
        <v>71</v>
      </c>
      <c r="B825">
        <v>2</v>
      </c>
      <c r="C825">
        <v>1385</v>
      </c>
      <c r="D825" s="131">
        <v>0.19778012759600211</v>
      </c>
      <c r="E825">
        <v>5</v>
      </c>
      <c r="F825">
        <v>0</v>
      </c>
      <c r="G825">
        <v>6.7163497157054775E-2</v>
      </c>
      <c r="H825">
        <v>20.224478811999994</v>
      </c>
      <c r="I825">
        <v>42</v>
      </c>
      <c r="J825">
        <v>8040</v>
      </c>
      <c r="K825">
        <v>1</v>
      </c>
      <c r="L825">
        <v>1</v>
      </c>
      <c r="M825">
        <v>1</v>
      </c>
      <c r="N825">
        <v>2</v>
      </c>
    </row>
    <row r="826" spans="1:14">
      <c r="A826">
        <v>72</v>
      </c>
      <c r="B826">
        <v>1</v>
      </c>
      <c r="C826">
        <v>2475</v>
      </c>
      <c r="D826" s="131">
        <v>0.23345399998630331</v>
      </c>
      <c r="E826">
        <v>7</v>
      </c>
      <c r="F826">
        <v>0</v>
      </c>
      <c r="G826">
        <v>8.6240506145146584E-2</v>
      </c>
      <c r="H826">
        <v>17.133996419999995</v>
      </c>
      <c r="I826">
        <v>43</v>
      </c>
      <c r="J826">
        <v>8040</v>
      </c>
      <c r="K826">
        <v>1</v>
      </c>
      <c r="L826">
        <v>2</v>
      </c>
      <c r="M826">
        <v>2</v>
      </c>
      <c r="N826">
        <v>2</v>
      </c>
    </row>
    <row r="827" spans="1:14">
      <c r="A827">
        <v>72</v>
      </c>
      <c r="B827">
        <v>2</v>
      </c>
      <c r="C827">
        <v>1522</v>
      </c>
      <c r="D827" s="131">
        <v>0.19986146979958963</v>
      </c>
      <c r="E827">
        <v>5</v>
      </c>
      <c r="F827">
        <v>0</v>
      </c>
      <c r="G827">
        <v>6.7103709346009094E-2</v>
      </c>
      <c r="H827">
        <v>20.013862622000055</v>
      </c>
      <c r="I827">
        <v>43</v>
      </c>
      <c r="J827">
        <v>8040</v>
      </c>
      <c r="K827">
        <v>1</v>
      </c>
      <c r="L827">
        <v>1</v>
      </c>
      <c r="M827">
        <v>1</v>
      </c>
      <c r="N827">
        <v>2</v>
      </c>
    </row>
    <row r="828" spans="1:14">
      <c r="A828">
        <v>73</v>
      </c>
      <c r="B828">
        <v>1</v>
      </c>
      <c r="C828">
        <v>2355</v>
      </c>
      <c r="D828" s="131">
        <v>0.22870910980882733</v>
      </c>
      <c r="E828">
        <v>7</v>
      </c>
      <c r="F828">
        <v>0</v>
      </c>
      <c r="G828">
        <v>8.6352048961544664E-2</v>
      </c>
      <c r="H828">
        <v>17.489465126000042</v>
      </c>
      <c r="I828">
        <v>43</v>
      </c>
      <c r="J828">
        <v>8040</v>
      </c>
      <c r="K828">
        <v>1</v>
      </c>
      <c r="L828">
        <v>2</v>
      </c>
      <c r="M828">
        <v>2</v>
      </c>
      <c r="N828">
        <v>2</v>
      </c>
    </row>
    <row r="829" spans="1:14">
      <c r="A829">
        <v>73</v>
      </c>
      <c r="B829">
        <v>2</v>
      </c>
      <c r="C829">
        <v>1201</v>
      </c>
      <c r="D829" s="131">
        <v>0.19728840423107552</v>
      </c>
      <c r="E829">
        <v>5</v>
      </c>
      <c r="F829">
        <v>0</v>
      </c>
      <c r="G829">
        <v>6.7177744810686835E-2</v>
      </c>
      <c r="H829">
        <v>20.274886482000078</v>
      </c>
      <c r="I829">
        <v>44</v>
      </c>
      <c r="J829">
        <v>8040</v>
      </c>
      <c r="K829">
        <v>1</v>
      </c>
      <c r="L829">
        <v>1</v>
      </c>
      <c r="M829">
        <v>1</v>
      </c>
      <c r="N829">
        <v>2</v>
      </c>
    </row>
    <row r="830" spans="1:14">
      <c r="A830">
        <v>74</v>
      </c>
      <c r="B830">
        <v>1</v>
      </c>
      <c r="C830">
        <v>2214</v>
      </c>
      <c r="D830" s="131">
        <v>0.23016745126648028</v>
      </c>
      <c r="E830">
        <v>7</v>
      </c>
      <c r="F830">
        <v>0</v>
      </c>
      <c r="G830">
        <v>8.6317440225700814E-2</v>
      </c>
      <c r="H830">
        <v>17.378651838000032</v>
      </c>
      <c r="I830">
        <v>43</v>
      </c>
      <c r="J830">
        <v>8040</v>
      </c>
      <c r="K830">
        <v>1</v>
      </c>
      <c r="L830">
        <v>2</v>
      </c>
      <c r="M830">
        <v>2</v>
      </c>
      <c r="N830">
        <v>2</v>
      </c>
    </row>
    <row r="831" spans="1:14">
      <c r="A831">
        <v>74</v>
      </c>
      <c r="B831">
        <v>2</v>
      </c>
      <c r="C831">
        <v>1236</v>
      </c>
      <c r="D831" s="131">
        <v>0.19793621698454861</v>
      </c>
      <c r="E831">
        <v>5</v>
      </c>
      <c r="F831">
        <v>0</v>
      </c>
      <c r="G831">
        <v>6.7158984349272088E-2</v>
      </c>
      <c r="H831">
        <v>20.208530106000005</v>
      </c>
      <c r="I831">
        <v>43</v>
      </c>
      <c r="J831">
        <v>8040</v>
      </c>
      <c r="K831">
        <v>1</v>
      </c>
      <c r="L831">
        <v>1</v>
      </c>
      <c r="M831">
        <v>1</v>
      </c>
      <c r="N831">
        <v>2</v>
      </c>
    </row>
    <row r="832" spans="1:14">
      <c r="A832">
        <v>75</v>
      </c>
      <c r="B832">
        <v>1</v>
      </c>
      <c r="C832">
        <v>1885</v>
      </c>
      <c r="D832" s="131">
        <v>0.228512228992065</v>
      </c>
      <c r="E832">
        <v>7</v>
      </c>
      <c r="F832">
        <v>0</v>
      </c>
      <c r="G832">
        <v>8.6356743795053467E-2</v>
      </c>
      <c r="H832">
        <v>17.504533641999959</v>
      </c>
      <c r="I832">
        <v>45</v>
      </c>
      <c r="J832">
        <v>8040</v>
      </c>
      <c r="K832">
        <v>2</v>
      </c>
      <c r="L832">
        <v>1</v>
      </c>
      <c r="M832">
        <v>2</v>
      </c>
      <c r="N832">
        <v>2</v>
      </c>
    </row>
    <row r="833" spans="1:14">
      <c r="A833">
        <v>75</v>
      </c>
      <c r="B833">
        <v>2</v>
      </c>
      <c r="C833">
        <v>1503</v>
      </c>
      <c r="D833" s="131">
        <v>0.1999626168488064</v>
      </c>
      <c r="E833">
        <v>5</v>
      </c>
      <c r="F833">
        <v>0</v>
      </c>
      <c r="G833">
        <v>6.7100825004369438E-2</v>
      </c>
      <c r="H833">
        <v>20.00373901399999</v>
      </c>
      <c r="I833">
        <v>43</v>
      </c>
      <c r="J833">
        <v>8040</v>
      </c>
      <c r="K833">
        <v>1</v>
      </c>
      <c r="L833">
        <v>1</v>
      </c>
      <c r="M833">
        <v>1</v>
      </c>
      <c r="N833">
        <v>2</v>
      </c>
    </row>
    <row r="834" spans="1:14">
      <c r="A834">
        <v>76</v>
      </c>
      <c r="B834">
        <v>1</v>
      </c>
      <c r="C834">
        <v>1993</v>
      </c>
      <c r="D834" s="131">
        <v>0.22886862091015803</v>
      </c>
      <c r="E834">
        <v>7</v>
      </c>
      <c r="F834">
        <v>0</v>
      </c>
      <c r="G834">
        <v>8.6348249198567442E-2</v>
      </c>
      <c r="H834">
        <v>17.477275758000015</v>
      </c>
      <c r="I834">
        <v>42</v>
      </c>
      <c r="J834">
        <v>8040</v>
      </c>
      <c r="K834">
        <v>1</v>
      </c>
      <c r="L834">
        <v>2</v>
      </c>
      <c r="M834">
        <v>2</v>
      </c>
      <c r="N834">
        <v>2</v>
      </c>
    </row>
    <row r="835" spans="1:14">
      <c r="A835">
        <v>76</v>
      </c>
      <c r="B835">
        <v>2</v>
      </c>
      <c r="C835">
        <v>1087</v>
      </c>
      <c r="D835" s="131">
        <v>0.19806233490572267</v>
      </c>
      <c r="E835">
        <v>5</v>
      </c>
      <c r="F835">
        <v>0</v>
      </c>
      <c r="G835">
        <v>6.7155341531593429E-2</v>
      </c>
      <c r="H835">
        <v>20.195662147999986</v>
      </c>
      <c r="I835">
        <v>41</v>
      </c>
      <c r="J835">
        <v>8040</v>
      </c>
      <c r="K835">
        <v>1</v>
      </c>
      <c r="L835">
        <v>1</v>
      </c>
      <c r="M835">
        <v>1</v>
      </c>
      <c r="N835">
        <v>2</v>
      </c>
    </row>
    <row r="836" spans="1:14">
      <c r="A836">
        <v>77</v>
      </c>
      <c r="B836">
        <v>1</v>
      </c>
      <c r="C836">
        <v>1946</v>
      </c>
      <c r="D836" s="131">
        <v>0.23062115247524351</v>
      </c>
      <c r="E836">
        <v>7</v>
      </c>
      <c r="F836">
        <v>0</v>
      </c>
      <c r="G836">
        <v>8.6306732762559554E-2</v>
      </c>
      <c r="H836">
        <v>17.344462800000048</v>
      </c>
      <c r="I836">
        <v>41</v>
      </c>
      <c r="J836">
        <v>8040</v>
      </c>
      <c r="K836">
        <v>1</v>
      </c>
      <c r="L836">
        <v>2</v>
      </c>
      <c r="M836">
        <v>2</v>
      </c>
      <c r="N836">
        <v>2</v>
      </c>
    </row>
    <row r="837" spans="1:14">
      <c r="A837">
        <v>77</v>
      </c>
      <c r="B837">
        <v>2</v>
      </c>
      <c r="C837">
        <v>1304</v>
      </c>
      <c r="D837" s="131">
        <v>0.19900480051499173</v>
      </c>
      <c r="E837">
        <v>5</v>
      </c>
      <c r="F837">
        <v>0</v>
      </c>
      <c r="G837">
        <v>6.7128216707554159E-2</v>
      </c>
      <c r="H837">
        <v>20.100017636000022</v>
      </c>
      <c r="I837">
        <v>42</v>
      </c>
      <c r="J837">
        <v>8040</v>
      </c>
      <c r="K837">
        <v>1</v>
      </c>
      <c r="L837">
        <v>1</v>
      </c>
      <c r="M837">
        <v>1</v>
      </c>
      <c r="N837">
        <v>2</v>
      </c>
    </row>
    <row r="838" spans="1:14">
      <c r="A838">
        <v>78</v>
      </c>
      <c r="B838">
        <v>1</v>
      </c>
      <c r="C838">
        <v>1698</v>
      </c>
      <c r="D838" s="131">
        <v>0.22411522971313128</v>
      </c>
      <c r="E838">
        <v>7</v>
      </c>
      <c r="F838">
        <v>0</v>
      </c>
      <c r="G838">
        <v>8.6463021423958744E-2</v>
      </c>
      <c r="H838">
        <v>17.847961537999993</v>
      </c>
      <c r="I838">
        <v>41</v>
      </c>
      <c r="J838">
        <v>8040</v>
      </c>
      <c r="K838">
        <v>1</v>
      </c>
      <c r="L838">
        <v>2</v>
      </c>
      <c r="M838">
        <v>1</v>
      </c>
      <c r="N838">
        <v>3</v>
      </c>
    </row>
    <row r="839" spans="1:14">
      <c r="A839">
        <v>78</v>
      </c>
      <c r="B839">
        <v>2</v>
      </c>
      <c r="C839">
        <v>1232</v>
      </c>
      <c r="D839" s="131">
        <v>0.19913207996198365</v>
      </c>
      <c r="E839">
        <v>5</v>
      </c>
      <c r="F839">
        <v>0</v>
      </c>
      <c r="G839">
        <v>6.7124566643410682E-2</v>
      </c>
      <c r="H839">
        <v>20.08717028800001</v>
      </c>
      <c r="I839">
        <v>41</v>
      </c>
      <c r="J839">
        <v>8040</v>
      </c>
      <c r="K839">
        <v>1</v>
      </c>
      <c r="L839">
        <v>1</v>
      </c>
      <c r="M839">
        <v>1</v>
      </c>
      <c r="N839">
        <v>2</v>
      </c>
    </row>
    <row r="840" spans="1:14">
      <c r="A840">
        <v>79</v>
      </c>
      <c r="B840">
        <v>1</v>
      </c>
      <c r="C840">
        <v>2461</v>
      </c>
      <c r="D840" s="131">
        <v>0.22992198825456853</v>
      </c>
      <c r="E840">
        <v>7</v>
      </c>
      <c r="F840">
        <v>0</v>
      </c>
      <c r="G840">
        <v>8.6323244953276521E-2</v>
      </c>
      <c r="H840">
        <v>17.397205158000023</v>
      </c>
      <c r="I840">
        <v>41</v>
      </c>
      <c r="J840">
        <v>8040</v>
      </c>
      <c r="K840">
        <v>1</v>
      </c>
      <c r="L840">
        <v>2</v>
      </c>
      <c r="M840">
        <v>2</v>
      </c>
      <c r="N840">
        <v>2</v>
      </c>
    </row>
    <row r="841" spans="1:14">
      <c r="A841">
        <v>79</v>
      </c>
      <c r="B841">
        <v>2</v>
      </c>
      <c r="C841">
        <v>1431</v>
      </c>
      <c r="D841" s="131">
        <v>0.19911811395747844</v>
      </c>
      <c r="E841">
        <v>5</v>
      </c>
      <c r="F841">
        <v>0</v>
      </c>
      <c r="G841">
        <v>6.7124967002405014E-2</v>
      </c>
      <c r="H841">
        <v>20.08857918799993</v>
      </c>
      <c r="I841">
        <v>42</v>
      </c>
      <c r="J841">
        <v>8040</v>
      </c>
      <c r="K841">
        <v>1</v>
      </c>
      <c r="L841">
        <v>1</v>
      </c>
      <c r="M841">
        <v>1</v>
      </c>
      <c r="N841">
        <v>2</v>
      </c>
    </row>
    <row r="842" spans="1:14">
      <c r="A842">
        <v>80</v>
      </c>
      <c r="B842">
        <v>1</v>
      </c>
      <c r="C842">
        <v>3127</v>
      </c>
      <c r="D842" s="131">
        <v>0.23293095183409837</v>
      </c>
      <c r="E842">
        <v>7</v>
      </c>
      <c r="F842">
        <v>0</v>
      </c>
      <c r="G842">
        <v>8.6252653115997002E-2</v>
      </c>
      <c r="H842">
        <v>17.172470933999964</v>
      </c>
      <c r="I842">
        <v>42</v>
      </c>
      <c r="J842">
        <v>8040</v>
      </c>
      <c r="K842">
        <v>1</v>
      </c>
      <c r="L842">
        <v>2</v>
      </c>
      <c r="M842">
        <v>2</v>
      </c>
      <c r="N842">
        <v>2</v>
      </c>
    </row>
    <row r="843" spans="1:14">
      <c r="A843">
        <v>80</v>
      </c>
      <c r="B843">
        <v>2</v>
      </c>
      <c r="C843">
        <v>1028</v>
      </c>
      <c r="D843" s="131">
        <v>0.19945357260451421</v>
      </c>
      <c r="E843">
        <v>5</v>
      </c>
      <c r="F843">
        <v>0</v>
      </c>
      <c r="G843">
        <v>6.7115360853871098E-2</v>
      </c>
      <c r="H843">
        <v>20.054792439999986</v>
      </c>
      <c r="I843">
        <v>42</v>
      </c>
      <c r="J843">
        <v>8040</v>
      </c>
      <c r="K843">
        <v>1</v>
      </c>
      <c r="L843">
        <v>1</v>
      </c>
      <c r="M843">
        <v>1</v>
      </c>
      <c r="N843">
        <v>2</v>
      </c>
    </row>
  </sheetData>
  <phoneticPr fontId="50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/>
  <dimension ref="A3:AF164"/>
  <sheetViews>
    <sheetView zoomScale="85" zoomScaleNormal="85" zoomScalePageLayoutView="85" workbookViewId="0">
      <selection activeCell="F6" sqref="F6"/>
    </sheetView>
  </sheetViews>
  <sheetFormatPr defaultColWidth="8.86328125" defaultRowHeight="13.5"/>
  <cols>
    <col min="15" max="15" width="8.86328125" style="84"/>
    <col min="16" max="16" width="8.86328125" style="121"/>
  </cols>
  <sheetData>
    <row r="3" spans="1:32" ht="15.75">
      <c r="C3" s="89"/>
      <c r="D3" s="89"/>
      <c r="E3" s="89"/>
      <c r="F3" s="89"/>
      <c r="G3" s="89"/>
      <c r="H3" s="89"/>
      <c r="I3" s="89"/>
      <c r="J3" s="89"/>
      <c r="K3" s="89"/>
      <c r="S3" s="89"/>
      <c r="T3" s="89"/>
      <c r="U3" s="89"/>
      <c r="V3" s="89"/>
      <c r="W3" s="89"/>
      <c r="X3" s="89"/>
      <c r="Y3" s="89"/>
      <c r="Z3" s="89"/>
      <c r="AA3" s="89"/>
      <c r="AE3" s="122"/>
      <c r="AF3" s="122"/>
    </row>
    <row r="4" spans="1:32">
      <c r="A4">
        <v>1</v>
      </c>
      <c r="B4">
        <v>1</v>
      </c>
      <c r="C4">
        <v>2067</v>
      </c>
      <c r="D4">
        <v>0.38492230945105993</v>
      </c>
      <c r="E4">
        <v>61</v>
      </c>
      <c r="F4">
        <v>0</v>
      </c>
      <c r="G4">
        <v>0.62298963421249998</v>
      </c>
      <c r="H4">
        <v>5195.853685</v>
      </c>
      <c r="I4">
        <v>30</v>
      </c>
      <c r="J4">
        <v>5019</v>
      </c>
      <c r="K4">
        <v>14</v>
      </c>
      <c r="L4">
        <v>19</v>
      </c>
      <c r="M4">
        <v>13</v>
      </c>
      <c r="N4">
        <v>15</v>
      </c>
      <c r="AE4" s="123"/>
      <c r="AF4" s="123"/>
    </row>
    <row r="5" spans="1:32">
      <c r="A5">
        <v>1</v>
      </c>
      <c r="B5">
        <v>2</v>
      </c>
      <c r="C5">
        <v>435</v>
      </c>
      <c r="D5">
        <v>0.32438839382009033</v>
      </c>
      <c r="E5">
        <v>28</v>
      </c>
      <c r="F5">
        <v>0</v>
      </c>
      <c r="G5">
        <v>0.29541362174250002</v>
      </c>
      <c r="H5">
        <v>6165.4486970000034</v>
      </c>
      <c r="I5">
        <v>30</v>
      </c>
      <c r="J5">
        <v>5019</v>
      </c>
      <c r="K5">
        <v>7</v>
      </c>
      <c r="L5">
        <v>7</v>
      </c>
      <c r="M5">
        <v>8</v>
      </c>
      <c r="N5">
        <v>6</v>
      </c>
      <c r="AE5" s="123"/>
      <c r="AF5" s="123"/>
    </row>
    <row r="6" spans="1:32">
      <c r="AE6" s="123"/>
      <c r="AF6" s="123"/>
    </row>
    <row r="7" spans="1:32">
      <c r="AE7" s="123"/>
      <c r="AF7" s="123"/>
    </row>
    <row r="8" spans="1:32">
      <c r="AE8" s="123"/>
      <c r="AF8" s="123"/>
    </row>
    <row r="9" spans="1:32">
      <c r="AE9" s="123"/>
      <c r="AF9" s="123"/>
    </row>
    <row r="10" spans="1:32">
      <c r="AE10" s="123"/>
      <c r="AF10" s="123"/>
    </row>
    <row r="11" spans="1:32">
      <c r="AE11" s="123"/>
      <c r="AF11" s="123"/>
    </row>
    <row r="12" spans="1:32">
      <c r="AE12" s="123"/>
      <c r="AF12" s="123"/>
    </row>
    <row r="13" spans="1:32">
      <c r="AE13" s="123"/>
      <c r="AF13" s="123"/>
    </row>
    <row r="14" spans="1:32">
      <c r="AE14" s="123"/>
      <c r="AF14" s="123"/>
    </row>
    <row r="15" spans="1:32">
      <c r="AE15" s="123"/>
      <c r="AF15" s="123"/>
    </row>
    <row r="16" spans="1:32">
      <c r="AE16" s="123"/>
      <c r="AF16" s="123"/>
    </row>
    <row r="17" spans="31:32">
      <c r="AE17" s="123"/>
      <c r="AF17" s="123"/>
    </row>
    <row r="18" spans="31:32">
      <c r="AE18" s="123"/>
      <c r="AF18" s="123"/>
    </row>
    <row r="19" spans="31:32">
      <c r="AE19" s="123"/>
      <c r="AF19" s="123"/>
    </row>
    <row r="20" spans="31:32">
      <c r="AE20" s="123"/>
      <c r="AF20" s="123"/>
    </row>
    <row r="21" spans="31:32">
      <c r="AE21" s="123"/>
      <c r="AF21" s="123"/>
    </row>
    <row r="22" spans="31:32">
      <c r="AE22" s="123"/>
      <c r="AF22" s="123"/>
    </row>
    <row r="23" spans="31:32">
      <c r="AE23" s="123"/>
      <c r="AF23" s="123"/>
    </row>
    <row r="24" spans="31:32">
      <c r="AE24" s="123"/>
      <c r="AF24" s="123"/>
    </row>
    <row r="25" spans="31:32">
      <c r="AE25" s="123"/>
      <c r="AF25" s="123"/>
    </row>
    <row r="26" spans="31:32">
      <c r="AE26" s="123"/>
      <c r="AF26" s="123"/>
    </row>
    <row r="27" spans="31:32">
      <c r="AE27" s="123"/>
      <c r="AF27" s="123"/>
    </row>
    <row r="28" spans="31:32">
      <c r="AE28" s="123"/>
      <c r="AF28" s="123"/>
    </row>
    <row r="29" spans="31:32">
      <c r="AE29" s="123"/>
      <c r="AF29" s="123"/>
    </row>
    <row r="30" spans="31:32">
      <c r="AE30" s="123"/>
      <c r="AF30" s="123"/>
    </row>
    <row r="31" spans="31:32">
      <c r="AE31" s="123"/>
      <c r="AF31" s="123"/>
    </row>
    <row r="32" spans="31:32">
      <c r="AE32" s="123"/>
      <c r="AF32" s="123"/>
    </row>
    <row r="33" spans="31:32">
      <c r="AE33" s="123"/>
      <c r="AF33" s="123"/>
    </row>
    <row r="34" spans="31:32">
      <c r="AE34" s="123"/>
      <c r="AF34" s="123"/>
    </row>
    <row r="35" spans="31:32">
      <c r="AE35" s="123"/>
      <c r="AF35" s="123"/>
    </row>
    <row r="36" spans="31:32">
      <c r="AE36" s="123"/>
      <c r="AF36" s="123"/>
    </row>
    <row r="37" spans="31:32">
      <c r="AE37" s="123"/>
      <c r="AF37" s="123"/>
    </row>
    <row r="38" spans="31:32">
      <c r="AE38" s="123"/>
      <c r="AF38" s="123"/>
    </row>
    <row r="39" spans="31:32">
      <c r="AE39" s="123"/>
      <c r="AF39" s="123"/>
    </row>
    <row r="40" spans="31:32">
      <c r="AE40" s="123"/>
      <c r="AF40" s="123"/>
    </row>
    <row r="41" spans="31:32">
      <c r="AE41" s="123"/>
      <c r="AF41" s="123"/>
    </row>
    <row r="42" spans="31:32">
      <c r="AE42" s="123"/>
      <c r="AF42" s="123"/>
    </row>
    <row r="43" spans="31:32">
      <c r="AE43" s="123"/>
      <c r="AF43" s="123"/>
    </row>
    <row r="44" spans="31:32">
      <c r="AE44" s="123"/>
      <c r="AF44" s="123"/>
    </row>
    <row r="45" spans="31:32">
      <c r="AE45" s="123"/>
      <c r="AF45" s="123"/>
    </row>
    <row r="46" spans="31:32">
      <c r="AE46" s="123"/>
      <c r="AF46" s="123"/>
    </row>
    <row r="47" spans="31:32">
      <c r="AE47" s="123"/>
      <c r="AF47" s="123"/>
    </row>
    <row r="48" spans="31:32">
      <c r="AE48" s="123"/>
      <c r="AF48" s="123"/>
    </row>
    <row r="49" spans="10:32">
      <c r="AE49" s="123"/>
      <c r="AF49" s="123"/>
    </row>
    <row r="50" spans="10:32">
      <c r="AE50" s="123"/>
      <c r="AF50" s="123"/>
    </row>
    <row r="51" spans="10:32">
      <c r="AE51" s="123"/>
      <c r="AF51" s="123"/>
    </row>
    <row r="52" spans="10:32" s="84" customFormat="1">
      <c r="J52"/>
      <c r="P52" s="121"/>
      <c r="Z52"/>
      <c r="AE52" s="123"/>
      <c r="AF52" s="123"/>
    </row>
    <row r="53" spans="10:32">
      <c r="AE53" s="123"/>
      <c r="AF53" s="123"/>
    </row>
    <row r="54" spans="10:32">
      <c r="AE54" s="123"/>
      <c r="AF54" s="123"/>
    </row>
    <row r="55" spans="10:32">
      <c r="AE55" s="123"/>
      <c r="AF55" s="123"/>
    </row>
    <row r="56" spans="10:32">
      <c r="AE56" s="123"/>
      <c r="AF56" s="123"/>
    </row>
    <row r="57" spans="10:32">
      <c r="AE57" s="123"/>
      <c r="AF57" s="123"/>
    </row>
    <row r="58" spans="10:32">
      <c r="AE58" s="123"/>
      <c r="AF58" s="123"/>
    </row>
    <row r="59" spans="10:32">
      <c r="AE59" s="123"/>
      <c r="AF59" s="123"/>
    </row>
    <row r="60" spans="10:32">
      <c r="AE60" s="123"/>
      <c r="AF60" s="123"/>
    </row>
    <row r="61" spans="10:32">
      <c r="AE61" s="123"/>
      <c r="AF61" s="123"/>
    </row>
    <row r="62" spans="10:32" s="83" customFormat="1">
      <c r="J62"/>
      <c r="O62" s="84"/>
      <c r="P62" s="121"/>
      <c r="Z62"/>
      <c r="AE62" s="123"/>
      <c r="AF62" s="123"/>
    </row>
    <row r="63" spans="10:32">
      <c r="AE63" s="123"/>
      <c r="AF63" s="123"/>
    </row>
    <row r="64" spans="10:32">
      <c r="AE64" s="123"/>
      <c r="AF64" s="123"/>
    </row>
    <row r="65" spans="31:32">
      <c r="AE65" s="123"/>
      <c r="AF65" s="123"/>
    </row>
    <row r="66" spans="31:32">
      <c r="AE66" s="123"/>
      <c r="AF66" s="123"/>
    </row>
    <row r="67" spans="31:32">
      <c r="AE67" s="123"/>
      <c r="AF67" s="123"/>
    </row>
    <row r="68" spans="31:32">
      <c r="AE68" s="123"/>
      <c r="AF68" s="123"/>
    </row>
    <row r="69" spans="31:32">
      <c r="AE69" s="123"/>
      <c r="AF69" s="123"/>
    </row>
    <row r="70" spans="31:32">
      <c r="AE70" s="123"/>
      <c r="AF70" s="123"/>
    </row>
    <row r="71" spans="31:32">
      <c r="AE71" s="123"/>
      <c r="AF71" s="123"/>
    </row>
    <row r="72" spans="31:32">
      <c r="AE72" s="123"/>
      <c r="AF72" s="123"/>
    </row>
    <row r="73" spans="31:32">
      <c r="AE73" s="123"/>
      <c r="AF73" s="123"/>
    </row>
    <row r="74" spans="31:32">
      <c r="AE74" s="123"/>
      <c r="AF74" s="123"/>
    </row>
    <row r="75" spans="31:32">
      <c r="AE75" s="123"/>
      <c r="AF75" s="123"/>
    </row>
    <row r="76" spans="31:32">
      <c r="AE76" s="123"/>
      <c r="AF76" s="123"/>
    </row>
    <row r="77" spans="31:32">
      <c r="AE77" s="123"/>
      <c r="AF77" s="123"/>
    </row>
    <row r="78" spans="31:32">
      <c r="AE78" s="123"/>
      <c r="AF78" s="123"/>
    </row>
    <row r="79" spans="31:32">
      <c r="AE79" s="123"/>
      <c r="AF79" s="123"/>
    </row>
    <row r="80" spans="31:32">
      <c r="AE80" s="123"/>
      <c r="AF80" s="123"/>
    </row>
    <row r="81" spans="10:32">
      <c r="AE81" s="123"/>
      <c r="AF81" s="123"/>
    </row>
    <row r="82" spans="10:32">
      <c r="AE82" s="123"/>
      <c r="AF82" s="123"/>
    </row>
    <row r="83" spans="10:32">
      <c r="AE83" s="123"/>
      <c r="AF83" s="123"/>
    </row>
    <row r="84" spans="10:32" s="83" customFormat="1">
      <c r="J84"/>
      <c r="O84" s="84"/>
      <c r="P84" s="121"/>
      <c r="Z84"/>
      <c r="AE84" s="123"/>
      <c r="AF84" s="123"/>
    </row>
    <row r="85" spans="10:32">
      <c r="AE85" s="123"/>
      <c r="AF85" s="123"/>
    </row>
    <row r="86" spans="10:32">
      <c r="AE86" s="123"/>
      <c r="AF86" s="123"/>
    </row>
    <row r="87" spans="10:32">
      <c r="AE87" s="123"/>
      <c r="AF87" s="123"/>
    </row>
    <row r="88" spans="10:32">
      <c r="AE88" s="123"/>
      <c r="AF88" s="123"/>
    </row>
    <row r="89" spans="10:32">
      <c r="AE89" s="123"/>
      <c r="AF89" s="123"/>
    </row>
    <row r="90" spans="10:32">
      <c r="AE90" s="123"/>
      <c r="AF90" s="123"/>
    </row>
    <row r="91" spans="10:32">
      <c r="AE91" s="123"/>
      <c r="AF91" s="123"/>
    </row>
    <row r="92" spans="10:32">
      <c r="AE92" s="123"/>
      <c r="AF92" s="123"/>
    </row>
    <row r="93" spans="10:32">
      <c r="AE93" s="123"/>
      <c r="AF93" s="123"/>
    </row>
    <row r="94" spans="10:32">
      <c r="AE94" s="123"/>
      <c r="AF94" s="123"/>
    </row>
    <row r="95" spans="10:32">
      <c r="AE95" s="123"/>
      <c r="AF95" s="123"/>
    </row>
    <row r="96" spans="10:32">
      <c r="AE96" s="123"/>
      <c r="AF96" s="123"/>
    </row>
    <row r="97" spans="31:32">
      <c r="AE97" s="123"/>
      <c r="AF97" s="123"/>
    </row>
    <row r="98" spans="31:32">
      <c r="AE98" s="123"/>
      <c r="AF98" s="123"/>
    </row>
    <row r="99" spans="31:32">
      <c r="AE99" s="123"/>
      <c r="AF99" s="123"/>
    </row>
    <row r="100" spans="31:32">
      <c r="AE100" s="123"/>
      <c r="AF100" s="123"/>
    </row>
    <row r="101" spans="31:32">
      <c r="AE101" s="123"/>
      <c r="AF101" s="123"/>
    </row>
    <row r="102" spans="31:32">
      <c r="AE102" s="123"/>
      <c r="AF102" s="123"/>
    </row>
    <row r="103" spans="31:32">
      <c r="AE103" s="123"/>
      <c r="AF103" s="123"/>
    </row>
    <row r="104" spans="31:32">
      <c r="AE104" s="123"/>
      <c r="AF104" s="123"/>
    </row>
    <row r="105" spans="31:32">
      <c r="AE105" s="123"/>
      <c r="AF105" s="123"/>
    </row>
    <row r="106" spans="31:32">
      <c r="AE106" s="123"/>
      <c r="AF106" s="123"/>
    </row>
    <row r="107" spans="31:32">
      <c r="AE107" s="123"/>
      <c r="AF107" s="123"/>
    </row>
    <row r="108" spans="31:32">
      <c r="AE108" s="123"/>
      <c r="AF108" s="123"/>
    </row>
    <row r="109" spans="31:32">
      <c r="AE109" s="123"/>
      <c r="AF109" s="123"/>
    </row>
    <row r="110" spans="31:32">
      <c r="AE110" s="123"/>
      <c r="AF110" s="123"/>
    </row>
    <row r="111" spans="31:32">
      <c r="AE111" s="123"/>
      <c r="AF111" s="123"/>
    </row>
    <row r="112" spans="31:32">
      <c r="AE112" s="123"/>
      <c r="AF112" s="123"/>
    </row>
    <row r="113" spans="31:32">
      <c r="AE113" s="123"/>
      <c r="AF113" s="123"/>
    </row>
    <row r="114" spans="31:32">
      <c r="AE114" s="123"/>
      <c r="AF114" s="123"/>
    </row>
    <row r="115" spans="31:32">
      <c r="AE115" s="123"/>
      <c r="AF115" s="123"/>
    </row>
    <row r="116" spans="31:32">
      <c r="AE116" s="123"/>
      <c r="AF116" s="123"/>
    </row>
    <row r="117" spans="31:32">
      <c r="AE117" s="123"/>
      <c r="AF117" s="123"/>
    </row>
    <row r="118" spans="31:32">
      <c r="AE118" s="123"/>
      <c r="AF118" s="123"/>
    </row>
    <row r="119" spans="31:32">
      <c r="AE119" s="123"/>
      <c r="AF119" s="123"/>
    </row>
    <row r="120" spans="31:32">
      <c r="AE120" s="123"/>
      <c r="AF120" s="123"/>
    </row>
    <row r="121" spans="31:32">
      <c r="AE121" s="123"/>
      <c r="AF121" s="123"/>
    </row>
    <row r="122" spans="31:32">
      <c r="AE122" s="123"/>
      <c r="AF122" s="123"/>
    </row>
    <row r="123" spans="31:32">
      <c r="AE123" s="123"/>
      <c r="AF123" s="123"/>
    </row>
    <row r="124" spans="31:32">
      <c r="AE124" s="123"/>
      <c r="AF124" s="123"/>
    </row>
    <row r="125" spans="31:32">
      <c r="AE125" s="123"/>
      <c r="AF125" s="123"/>
    </row>
    <row r="126" spans="31:32">
      <c r="AE126" s="123"/>
      <c r="AF126" s="123"/>
    </row>
    <row r="127" spans="31:32">
      <c r="AE127" s="123"/>
      <c r="AF127" s="123"/>
    </row>
    <row r="128" spans="31:32">
      <c r="AE128" s="123"/>
      <c r="AF128" s="123"/>
    </row>
    <row r="129" spans="31:32">
      <c r="AE129" s="123"/>
      <c r="AF129" s="123"/>
    </row>
    <row r="130" spans="31:32">
      <c r="AE130" s="123"/>
      <c r="AF130" s="123"/>
    </row>
    <row r="131" spans="31:32">
      <c r="AE131" s="123"/>
      <c r="AF131" s="123"/>
    </row>
    <row r="132" spans="31:32">
      <c r="AE132" s="123"/>
      <c r="AF132" s="123"/>
    </row>
    <row r="133" spans="31:32">
      <c r="AE133" s="123"/>
      <c r="AF133" s="123"/>
    </row>
    <row r="134" spans="31:32">
      <c r="AE134" s="123"/>
      <c r="AF134" s="123"/>
    </row>
    <row r="135" spans="31:32">
      <c r="AE135" s="123"/>
      <c r="AF135" s="123"/>
    </row>
    <row r="136" spans="31:32">
      <c r="AE136" s="123"/>
      <c r="AF136" s="123"/>
    </row>
    <row r="137" spans="31:32">
      <c r="AE137" s="123"/>
      <c r="AF137" s="123"/>
    </row>
    <row r="138" spans="31:32">
      <c r="AE138" s="123"/>
      <c r="AF138" s="123"/>
    </row>
    <row r="139" spans="31:32">
      <c r="AE139" s="123"/>
      <c r="AF139" s="123"/>
    </row>
    <row r="140" spans="31:32">
      <c r="AE140" s="123"/>
      <c r="AF140" s="123"/>
    </row>
    <row r="141" spans="31:32">
      <c r="AE141" s="123"/>
      <c r="AF141" s="123"/>
    </row>
    <row r="142" spans="31:32">
      <c r="AE142" s="123"/>
      <c r="AF142" s="123"/>
    </row>
    <row r="143" spans="31:32">
      <c r="AE143" s="123"/>
      <c r="AF143" s="123"/>
    </row>
    <row r="144" spans="31:32">
      <c r="AE144" s="123"/>
      <c r="AF144" s="123"/>
    </row>
    <row r="145" spans="31:32">
      <c r="AE145" s="123"/>
      <c r="AF145" s="123"/>
    </row>
    <row r="146" spans="31:32">
      <c r="AE146" s="123"/>
      <c r="AF146" s="123"/>
    </row>
    <row r="147" spans="31:32">
      <c r="AE147" s="123"/>
      <c r="AF147" s="123"/>
    </row>
    <row r="148" spans="31:32">
      <c r="AE148" s="123"/>
      <c r="AF148" s="123"/>
    </row>
    <row r="149" spans="31:32">
      <c r="AE149" s="123"/>
      <c r="AF149" s="123"/>
    </row>
    <row r="150" spans="31:32">
      <c r="AE150" s="123"/>
      <c r="AF150" s="123"/>
    </row>
    <row r="151" spans="31:32">
      <c r="AE151" s="123"/>
      <c r="AF151" s="123"/>
    </row>
    <row r="152" spans="31:32">
      <c r="AE152" s="123"/>
      <c r="AF152" s="123"/>
    </row>
    <row r="153" spans="31:32">
      <c r="AE153" s="123"/>
      <c r="AF153" s="123"/>
    </row>
    <row r="154" spans="31:32">
      <c r="AE154" s="123"/>
      <c r="AF154" s="123"/>
    </row>
    <row r="155" spans="31:32">
      <c r="AE155" s="123"/>
      <c r="AF155" s="123"/>
    </row>
    <row r="156" spans="31:32">
      <c r="AE156" s="123"/>
      <c r="AF156" s="123"/>
    </row>
    <row r="157" spans="31:32">
      <c r="AE157" s="123"/>
      <c r="AF157" s="123"/>
    </row>
    <row r="158" spans="31:32">
      <c r="AE158" s="123"/>
      <c r="AF158" s="123"/>
    </row>
    <row r="159" spans="31:32">
      <c r="AE159" s="123"/>
      <c r="AF159" s="123"/>
    </row>
    <row r="160" spans="31:32">
      <c r="AE160" s="123"/>
      <c r="AF160" s="123"/>
    </row>
    <row r="161" spans="5:32">
      <c r="AE161" s="123"/>
      <c r="AF161" s="123"/>
    </row>
    <row r="162" spans="5:32">
      <c r="AE162" s="123"/>
      <c r="AF162" s="123"/>
    </row>
    <row r="163" spans="5:32">
      <c r="AE163" s="123"/>
      <c r="AF163" s="123"/>
    </row>
    <row r="164" spans="5:32">
      <c r="E164" s="13"/>
      <c r="P164" s="84"/>
    </row>
  </sheetData>
  <phoneticPr fontId="50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3"/>
  <dimension ref="A1:C82"/>
  <sheetViews>
    <sheetView topLeftCell="A58" zoomScale="130" zoomScaleNormal="130" zoomScalePageLayoutView="130" workbookViewId="0">
      <selection activeCell="J13" sqref="J13"/>
    </sheetView>
  </sheetViews>
  <sheetFormatPr defaultRowHeight="13.5"/>
  <cols>
    <col min="1" max="1" width="11.3984375" bestFit="1" customWidth="1"/>
    <col min="2" max="3" width="8.86328125"/>
  </cols>
  <sheetData>
    <row r="1" spans="1:3">
      <c r="A1" t="s">
        <v>159</v>
      </c>
    </row>
    <row r="2" spans="1:3">
      <c r="A2" t="s">
        <v>182</v>
      </c>
      <c r="B2" t="s">
        <v>161</v>
      </c>
      <c r="C2" t="s">
        <v>160</v>
      </c>
    </row>
    <row r="3" spans="1:3">
      <c r="A3" t="s">
        <v>162</v>
      </c>
      <c r="B3">
        <v>2.6</v>
      </c>
      <c r="C3">
        <v>3.1</v>
      </c>
    </row>
    <row r="4" spans="1:3">
      <c r="A4" t="s">
        <v>163</v>
      </c>
      <c r="B4">
        <v>2.7</v>
      </c>
      <c r="C4">
        <v>3.2</v>
      </c>
    </row>
    <row r="5" spans="1:3">
      <c r="A5" t="s">
        <v>164</v>
      </c>
      <c r="B5">
        <v>2.4500000000000002</v>
      </c>
      <c r="C5">
        <v>3</v>
      </c>
    </row>
    <row r="6" spans="1:3">
      <c r="A6" t="s">
        <v>165</v>
      </c>
      <c r="B6">
        <v>2.4</v>
      </c>
      <c r="C6">
        <v>2.9</v>
      </c>
    </row>
    <row r="7" spans="1:3">
      <c r="A7" t="s">
        <v>166</v>
      </c>
      <c r="B7">
        <v>2.5</v>
      </c>
      <c r="C7">
        <v>3.2</v>
      </c>
    </row>
    <row r="8" spans="1:3">
      <c r="A8" t="s">
        <v>167</v>
      </c>
      <c r="B8">
        <v>2.35</v>
      </c>
      <c r="C8">
        <v>3</v>
      </c>
    </row>
    <row r="9" spans="1:3">
      <c r="A9" t="s">
        <v>168</v>
      </c>
      <c r="B9">
        <v>2.35</v>
      </c>
      <c r="C9">
        <v>3</v>
      </c>
    </row>
    <row r="10" spans="1:3">
      <c r="A10" t="s">
        <v>169</v>
      </c>
      <c r="B10">
        <v>2.5499999999999998</v>
      </c>
      <c r="C10">
        <v>3.1</v>
      </c>
    </row>
    <row r="11" spans="1:3">
      <c r="A11" t="s">
        <v>170</v>
      </c>
      <c r="B11">
        <v>2.5</v>
      </c>
      <c r="C11">
        <v>3</v>
      </c>
    </row>
    <row r="12" spans="1:3">
      <c r="A12" t="s">
        <v>171</v>
      </c>
      <c r="B12">
        <v>2.5499999999999998</v>
      </c>
      <c r="C12">
        <v>3.2</v>
      </c>
    </row>
    <row r="13" spans="1:3">
      <c r="A13" t="s">
        <v>172</v>
      </c>
      <c r="B13">
        <v>2.2999999999999998</v>
      </c>
      <c r="C13">
        <v>2.9</v>
      </c>
    </row>
    <row r="14" spans="1:3">
      <c r="A14" t="s">
        <v>173</v>
      </c>
      <c r="B14">
        <v>2.2999999999999998</v>
      </c>
      <c r="C14">
        <v>2.9</v>
      </c>
    </row>
    <row r="15" spans="1:3">
      <c r="A15" t="s">
        <v>174</v>
      </c>
      <c r="B15">
        <v>2.2999999999999998</v>
      </c>
      <c r="C15">
        <v>2.9</v>
      </c>
    </row>
    <row r="16" spans="1:3">
      <c r="A16" t="s">
        <v>175</v>
      </c>
      <c r="B16">
        <v>2.35</v>
      </c>
      <c r="C16">
        <v>3</v>
      </c>
    </row>
    <row r="17" spans="1:3">
      <c r="A17" t="s">
        <v>176</v>
      </c>
      <c r="B17">
        <v>2.2999999999999998</v>
      </c>
      <c r="C17">
        <v>2.9</v>
      </c>
    </row>
    <row r="18" spans="1:3">
      <c r="A18" t="s">
        <v>177</v>
      </c>
      <c r="B18">
        <v>2.2999999999999998</v>
      </c>
      <c r="C18">
        <v>3</v>
      </c>
    </row>
    <row r="19" spans="1:3">
      <c r="A19" t="s">
        <v>178</v>
      </c>
      <c r="B19">
        <v>2.35</v>
      </c>
      <c r="C19">
        <v>3</v>
      </c>
    </row>
    <row r="20" spans="1:3">
      <c r="A20" t="s">
        <v>179</v>
      </c>
      <c r="B20">
        <v>2.2999999999999998</v>
      </c>
      <c r="C20">
        <v>2.9</v>
      </c>
    </row>
    <row r="21" spans="1:3">
      <c r="A21" t="s">
        <v>180</v>
      </c>
      <c r="B21">
        <v>2.2999999999999998</v>
      </c>
      <c r="C21">
        <v>2.9</v>
      </c>
    </row>
    <row r="22" spans="1:3">
      <c r="A22" t="s">
        <v>181</v>
      </c>
      <c r="B22">
        <v>2.2999999999999998</v>
      </c>
      <c r="C22">
        <v>2.9</v>
      </c>
    </row>
    <row r="23" spans="1:3">
      <c r="A23" t="s">
        <v>198</v>
      </c>
      <c r="B23">
        <v>4.25</v>
      </c>
      <c r="C23">
        <v>5.5</v>
      </c>
    </row>
    <row r="24" spans="1:3">
      <c r="A24" t="s">
        <v>163</v>
      </c>
      <c r="B24">
        <v>4.8</v>
      </c>
      <c r="C24">
        <v>6</v>
      </c>
    </row>
    <row r="25" spans="1:3">
      <c r="A25" t="s">
        <v>164</v>
      </c>
      <c r="B25">
        <v>4.4000000000000004</v>
      </c>
      <c r="C25">
        <v>5.6</v>
      </c>
    </row>
    <row r="26" spans="1:3">
      <c r="A26" t="s">
        <v>165</v>
      </c>
      <c r="B26">
        <v>4.3499999999999996</v>
      </c>
      <c r="C26">
        <v>5.6</v>
      </c>
    </row>
    <row r="27" spans="1:3">
      <c r="A27" t="s">
        <v>166</v>
      </c>
      <c r="B27">
        <v>5</v>
      </c>
      <c r="C27">
        <v>6.3</v>
      </c>
    </row>
    <row r="28" spans="1:3">
      <c r="A28" t="s">
        <v>167</v>
      </c>
      <c r="B28">
        <v>5</v>
      </c>
      <c r="C28">
        <v>6.3</v>
      </c>
    </row>
    <row r="29" spans="1:3">
      <c r="A29" t="s">
        <v>168</v>
      </c>
      <c r="B29">
        <v>4.7</v>
      </c>
      <c r="C29">
        <v>6</v>
      </c>
    </row>
    <row r="30" spans="1:3">
      <c r="A30" t="s">
        <v>169</v>
      </c>
      <c r="B30">
        <v>4.5</v>
      </c>
      <c r="C30">
        <v>8</v>
      </c>
    </row>
    <row r="31" spans="1:3">
      <c r="A31" t="s">
        <v>170</v>
      </c>
      <c r="B31">
        <v>4.5999999999999996</v>
      </c>
      <c r="C31">
        <v>5.9</v>
      </c>
    </row>
    <row r="32" spans="1:3">
      <c r="A32" t="s">
        <v>171</v>
      </c>
      <c r="B32">
        <v>5</v>
      </c>
      <c r="C32">
        <v>6.3</v>
      </c>
    </row>
    <row r="33" spans="1:3">
      <c r="A33" t="s">
        <v>172</v>
      </c>
      <c r="B33">
        <v>4.5</v>
      </c>
      <c r="C33">
        <v>5.8</v>
      </c>
    </row>
    <row r="34" spans="1:3">
      <c r="A34" t="s">
        <v>173</v>
      </c>
      <c r="B34">
        <v>4.5</v>
      </c>
      <c r="C34">
        <v>5.8</v>
      </c>
    </row>
    <row r="35" spans="1:3">
      <c r="A35" t="s">
        <v>174</v>
      </c>
      <c r="B35">
        <v>4.5</v>
      </c>
      <c r="C35">
        <v>5.8</v>
      </c>
    </row>
    <row r="36" spans="1:3">
      <c r="A36" t="s">
        <v>175</v>
      </c>
      <c r="B36">
        <v>4.5</v>
      </c>
      <c r="C36">
        <v>5.8</v>
      </c>
    </row>
    <row r="37" spans="1:3">
      <c r="A37" t="s">
        <v>176</v>
      </c>
      <c r="B37">
        <v>4.4000000000000004</v>
      </c>
      <c r="C37">
        <v>5.7</v>
      </c>
    </row>
    <row r="38" spans="1:3">
      <c r="A38" t="s">
        <v>177</v>
      </c>
      <c r="B38">
        <v>4.4000000000000004</v>
      </c>
      <c r="C38">
        <v>5.7</v>
      </c>
    </row>
    <row r="39" spans="1:3">
      <c r="A39" t="s">
        <v>178</v>
      </c>
      <c r="B39">
        <v>4.5</v>
      </c>
      <c r="C39">
        <v>5.7</v>
      </c>
    </row>
    <row r="40" spans="1:3">
      <c r="A40" t="s">
        <v>179</v>
      </c>
      <c r="B40">
        <v>4.5</v>
      </c>
      <c r="C40">
        <v>5.7</v>
      </c>
    </row>
    <row r="41" spans="1:3">
      <c r="A41" t="s">
        <v>180</v>
      </c>
      <c r="B41">
        <v>4.5</v>
      </c>
      <c r="C41">
        <v>5.7</v>
      </c>
    </row>
    <row r="42" spans="1:3">
      <c r="A42" t="s">
        <v>181</v>
      </c>
      <c r="B42">
        <v>4.4000000000000004</v>
      </c>
      <c r="C42">
        <v>5.7</v>
      </c>
    </row>
    <row r="43" spans="1:3">
      <c r="A43" t="s">
        <v>199</v>
      </c>
      <c r="B43">
        <v>4.5</v>
      </c>
      <c r="C43">
        <v>5.7</v>
      </c>
    </row>
    <row r="44" spans="1:3">
      <c r="A44" t="s">
        <v>163</v>
      </c>
      <c r="B44">
        <v>4.8</v>
      </c>
      <c r="C44">
        <v>6</v>
      </c>
    </row>
    <row r="45" spans="1:3">
      <c r="A45" t="s">
        <v>164</v>
      </c>
      <c r="B45">
        <v>4.2</v>
      </c>
      <c r="C45">
        <v>5.4</v>
      </c>
    </row>
    <row r="46" spans="1:3">
      <c r="A46" t="s">
        <v>165</v>
      </c>
      <c r="B46">
        <v>4.5999999999999996</v>
      </c>
      <c r="C46">
        <v>5.9</v>
      </c>
    </row>
    <row r="47" spans="1:3">
      <c r="A47" t="s">
        <v>166</v>
      </c>
      <c r="B47">
        <v>4.3</v>
      </c>
      <c r="C47">
        <v>5.6</v>
      </c>
    </row>
    <row r="48" spans="1:3">
      <c r="A48" t="s">
        <v>167</v>
      </c>
      <c r="B48">
        <v>4.5</v>
      </c>
      <c r="C48">
        <v>5.9</v>
      </c>
    </row>
    <row r="49" spans="1:3">
      <c r="A49" t="s">
        <v>168</v>
      </c>
      <c r="B49">
        <v>4.5</v>
      </c>
      <c r="C49">
        <v>5.7</v>
      </c>
    </row>
    <row r="50" spans="1:3">
      <c r="A50" t="s">
        <v>169</v>
      </c>
      <c r="B50">
        <v>4.5999999999999996</v>
      </c>
      <c r="C50">
        <v>5.9</v>
      </c>
    </row>
    <row r="51" spans="1:3">
      <c r="A51" t="s">
        <v>170</v>
      </c>
      <c r="B51">
        <v>4.4000000000000004</v>
      </c>
      <c r="C51">
        <v>5.6</v>
      </c>
    </row>
    <row r="52" spans="1:3">
      <c r="A52" t="s">
        <v>171</v>
      </c>
      <c r="B52">
        <v>4.2</v>
      </c>
      <c r="C52">
        <v>5.6</v>
      </c>
    </row>
    <row r="53" spans="1:3">
      <c r="A53" t="s">
        <v>172</v>
      </c>
      <c r="B53">
        <v>4.4000000000000004</v>
      </c>
      <c r="C53">
        <v>5.7</v>
      </c>
    </row>
    <row r="54" spans="1:3">
      <c r="A54" t="s">
        <v>173</v>
      </c>
      <c r="B54">
        <v>4.4000000000000004</v>
      </c>
      <c r="C54">
        <v>5.7</v>
      </c>
    </row>
    <row r="55" spans="1:3">
      <c r="A55" t="s">
        <v>174</v>
      </c>
      <c r="B55">
        <v>4.4000000000000004</v>
      </c>
      <c r="C55">
        <v>5.7</v>
      </c>
    </row>
    <row r="56" spans="1:3">
      <c r="A56" t="s">
        <v>175</v>
      </c>
      <c r="B56">
        <v>4.5</v>
      </c>
      <c r="C56">
        <v>5.7</v>
      </c>
    </row>
    <row r="57" spans="1:3">
      <c r="A57" t="s">
        <v>176</v>
      </c>
      <c r="B57">
        <v>4.3</v>
      </c>
      <c r="C57">
        <v>5.6</v>
      </c>
    </row>
    <row r="58" spans="1:3">
      <c r="A58" t="s">
        <v>177</v>
      </c>
      <c r="B58">
        <v>4.4000000000000004</v>
      </c>
      <c r="C58">
        <v>5.7</v>
      </c>
    </row>
    <row r="59" spans="1:3">
      <c r="A59" t="s">
        <v>178</v>
      </c>
      <c r="B59">
        <v>4.4000000000000004</v>
      </c>
      <c r="C59">
        <v>5.7</v>
      </c>
    </row>
    <row r="60" spans="1:3">
      <c r="A60" t="s">
        <v>179</v>
      </c>
      <c r="B60">
        <v>4.4000000000000004</v>
      </c>
      <c r="C60">
        <v>5.7</v>
      </c>
    </row>
    <row r="61" spans="1:3">
      <c r="A61" t="s">
        <v>180</v>
      </c>
      <c r="B61">
        <v>4.4000000000000004</v>
      </c>
      <c r="C61">
        <v>5.7</v>
      </c>
    </row>
    <row r="62" spans="1:3">
      <c r="A62" t="s">
        <v>181</v>
      </c>
      <c r="B62">
        <v>4.4000000000000004</v>
      </c>
      <c r="C62">
        <v>5.7</v>
      </c>
    </row>
    <row r="63" spans="1:3">
      <c r="A63" t="s">
        <v>200</v>
      </c>
      <c r="B63">
        <v>4.4000000000000004</v>
      </c>
      <c r="C63">
        <v>5.7</v>
      </c>
    </row>
    <row r="64" spans="1:3">
      <c r="A64" t="s">
        <v>163</v>
      </c>
      <c r="B64">
        <v>4.8</v>
      </c>
      <c r="C64">
        <v>6.1</v>
      </c>
    </row>
    <row r="65" spans="1:3">
      <c r="A65" t="s">
        <v>164</v>
      </c>
      <c r="B65">
        <v>4.8</v>
      </c>
      <c r="C65">
        <v>6.1</v>
      </c>
    </row>
    <row r="66" spans="1:3">
      <c r="A66" t="s">
        <v>165</v>
      </c>
      <c r="B66">
        <v>4.4000000000000004</v>
      </c>
      <c r="C66">
        <v>5.7</v>
      </c>
    </row>
    <row r="67" spans="1:3">
      <c r="A67" t="s">
        <v>166</v>
      </c>
      <c r="B67">
        <v>4.7</v>
      </c>
      <c r="C67">
        <v>6</v>
      </c>
    </row>
    <row r="68" spans="1:3">
      <c r="A68" t="s">
        <v>167</v>
      </c>
      <c r="B68">
        <v>4.4000000000000004</v>
      </c>
      <c r="C68">
        <v>5.7</v>
      </c>
    </row>
    <row r="69" spans="1:3">
      <c r="A69" t="s">
        <v>168</v>
      </c>
      <c r="B69">
        <v>4.8</v>
      </c>
      <c r="C69">
        <v>6.1</v>
      </c>
    </row>
    <row r="70" spans="1:3">
      <c r="A70" t="s">
        <v>169</v>
      </c>
      <c r="B70">
        <v>4.5</v>
      </c>
      <c r="C70">
        <v>5.8</v>
      </c>
    </row>
    <row r="71" spans="1:3">
      <c r="A71" t="s">
        <v>170</v>
      </c>
      <c r="B71">
        <v>4.5</v>
      </c>
      <c r="C71">
        <v>5.8</v>
      </c>
    </row>
    <row r="72" spans="1:3">
      <c r="A72" t="s">
        <v>171</v>
      </c>
      <c r="B72">
        <v>4.3</v>
      </c>
      <c r="C72">
        <v>5.5</v>
      </c>
    </row>
    <row r="73" spans="1:3">
      <c r="A73" t="s">
        <v>172</v>
      </c>
      <c r="B73">
        <v>4.5999999999999996</v>
      </c>
      <c r="C73">
        <v>5.8</v>
      </c>
    </row>
    <row r="74" spans="1:3">
      <c r="A74" t="s">
        <v>173</v>
      </c>
      <c r="B74">
        <v>4.4000000000000004</v>
      </c>
      <c r="C74">
        <v>5.7</v>
      </c>
    </row>
    <row r="75" spans="1:3">
      <c r="A75" t="s">
        <v>174</v>
      </c>
      <c r="B75">
        <v>4.5</v>
      </c>
      <c r="C75">
        <v>5.8</v>
      </c>
    </row>
    <row r="76" spans="1:3">
      <c r="A76" t="s">
        <v>175</v>
      </c>
      <c r="B76">
        <v>4.5999999999999996</v>
      </c>
      <c r="C76">
        <v>5.9</v>
      </c>
    </row>
    <row r="77" spans="1:3">
      <c r="A77" t="s">
        <v>176</v>
      </c>
      <c r="B77">
        <v>4.4000000000000004</v>
      </c>
      <c r="C77">
        <v>5.7</v>
      </c>
    </row>
    <row r="78" spans="1:3">
      <c r="A78" t="s">
        <v>177</v>
      </c>
      <c r="B78">
        <v>4.4000000000000004</v>
      </c>
      <c r="C78">
        <v>5.7</v>
      </c>
    </row>
    <row r="79" spans="1:3">
      <c r="A79" t="s">
        <v>178</v>
      </c>
      <c r="B79">
        <v>4.5</v>
      </c>
      <c r="C79">
        <v>5.7</v>
      </c>
    </row>
    <row r="80" spans="1:3">
      <c r="A80" t="s">
        <v>179</v>
      </c>
      <c r="B80">
        <v>4.5</v>
      </c>
      <c r="C80">
        <v>5.7</v>
      </c>
    </row>
    <row r="81" spans="1:3">
      <c r="A81" t="s">
        <v>180</v>
      </c>
      <c r="B81">
        <v>4.5</v>
      </c>
      <c r="C81">
        <v>5.7</v>
      </c>
    </row>
    <row r="82" spans="1:3">
      <c r="A82" t="s">
        <v>181</v>
      </c>
      <c r="B82">
        <v>4.5</v>
      </c>
      <c r="C82">
        <v>5.7</v>
      </c>
    </row>
  </sheetData>
  <phoneticPr fontId="50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10"/>
  <dimension ref="A1:DE800"/>
  <sheetViews>
    <sheetView topLeftCell="A40" zoomScale="90" zoomScaleNormal="90" zoomScalePageLayoutView="90" workbookViewId="0">
      <selection activeCell="I69" sqref="I69"/>
    </sheetView>
  </sheetViews>
  <sheetFormatPr defaultColWidth="8.86328125" defaultRowHeight="13.5"/>
  <cols>
    <col min="2" max="3" width="9" customWidth="1"/>
    <col min="4" max="4" width="8.86328125" customWidth="1"/>
    <col min="9" max="9" width="12.1328125" bestFit="1" customWidth="1"/>
    <col min="10" max="16" width="13.86328125" bestFit="1" customWidth="1"/>
    <col min="50" max="50" width="13" bestFit="1" customWidth="1"/>
  </cols>
  <sheetData>
    <row r="1" spans="1:69">
      <c r="B1">
        <v>0</v>
      </c>
      <c r="C1">
        <v>0.78605000000000003</v>
      </c>
      <c r="D1">
        <v>1.089534</v>
      </c>
      <c r="E1">
        <v>1.6628449999999999</v>
      </c>
      <c r="F1">
        <v>1.857829</v>
      </c>
    </row>
    <row r="2" spans="1:69">
      <c r="A2">
        <v>1</v>
      </c>
      <c r="B2">
        <v>0.78605000000000003</v>
      </c>
      <c r="C2">
        <v>0.30348399999999998</v>
      </c>
      <c r="D2">
        <v>0.5733109999999999</v>
      </c>
      <c r="E2">
        <v>0.19498400000000005</v>
      </c>
      <c r="F2">
        <v>1.0896860000000002</v>
      </c>
    </row>
    <row r="3" spans="1:69">
      <c r="B3">
        <v>0</v>
      </c>
      <c r="C3">
        <v>0.29078099999999996</v>
      </c>
      <c r="D3">
        <v>0</v>
      </c>
      <c r="E3">
        <v>9.409999999999985E-2</v>
      </c>
      <c r="F3">
        <v>2.1603669999999999</v>
      </c>
    </row>
    <row r="4" spans="1:69">
      <c r="A4">
        <v>2</v>
      </c>
      <c r="B4">
        <v>0.59426499999999993</v>
      </c>
      <c r="C4">
        <v>0.21229199999999993</v>
      </c>
      <c r="D4">
        <v>0.2890839999999999</v>
      </c>
      <c r="E4">
        <v>3.1559530000000002</v>
      </c>
      <c r="F4">
        <v>1.1263899999999998</v>
      </c>
    </row>
    <row r="5" spans="1:69">
      <c r="B5">
        <v>0</v>
      </c>
      <c r="C5">
        <v>1.7964020000000003</v>
      </c>
      <c r="D5">
        <v>1.8393270000000004</v>
      </c>
      <c r="E5">
        <v>13.252475</v>
      </c>
      <c r="F5">
        <v>13.831641000000001</v>
      </c>
    </row>
    <row r="6" spans="1:69">
      <c r="A6">
        <v>3</v>
      </c>
      <c r="B6">
        <v>2.0086940000000002</v>
      </c>
      <c r="C6">
        <v>0.40224700000000002</v>
      </c>
      <c r="D6">
        <v>14.569101</v>
      </c>
      <c r="E6">
        <v>1.7055560000000014</v>
      </c>
      <c r="F6">
        <v>3.9793270000000014</v>
      </c>
    </row>
    <row r="7" spans="1:69">
      <c r="B7">
        <v>0</v>
      </c>
      <c r="C7">
        <v>0</v>
      </c>
      <c r="D7">
        <v>0</v>
      </c>
      <c r="E7">
        <v>0</v>
      </c>
      <c r="F7">
        <v>0</v>
      </c>
    </row>
    <row r="8" spans="1:69">
      <c r="A8">
        <v>4</v>
      </c>
      <c r="B8">
        <v>0.33328300000000022</v>
      </c>
      <c r="C8">
        <v>3.705136</v>
      </c>
      <c r="D8">
        <v>0.65729500000000129</v>
      </c>
      <c r="E8">
        <v>0.38453099999999907</v>
      </c>
      <c r="F8">
        <v>3.4267670000000017</v>
      </c>
    </row>
    <row r="9" spans="1:69">
      <c r="B9">
        <v>0</v>
      </c>
      <c r="C9">
        <v>0</v>
      </c>
      <c r="D9">
        <v>0</v>
      </c>
      <c r="E9">
        <v>0</v>
      </c>
      <c r="F9">
        <v>0</v>
      </c>
    </row>
    <row r="10" spans="1:69">
      <c r="A10">
        <v>5</v>
      </c>
      <c r="B10">
        <v>2.8420000000000112E-2</v>
      </c>
      <c r="C10">
        <v>3.6929110000000005</v>
      </c>
      <c r="D10">
        <v>0.64827500000000171</v>
      </c>
      <c r="E10">
        <v>2.19848</v>
      </c>
      <c r="F10">
        <v>4.5579929999999962</v>
      </c>
    </row>
    <row r="11" spans="1:69">
      <c r="B11">
        <v>0</v>
      </c>
      <c r="C11">
        <v>0</v>
      </c>
      <c r="D11">
        <v>0</v>
      </c>
      <c r="E11">
        <v>0</v>
      </c>
      <c r="F11">
        <v>0</v>
      </c>
      <c r="AV11" t="s">
        <v>207</v>
      </c>
      <c r="AW11">
        <v>243</v>
      </c>
    </row>
    <row r="12" spans="1:69">
      <c r="A12">
        <v>6</v>
      </c>
      <c r="B12">
        <v>5.8085710000000006</v>
      </c>
      <c r="C12">
        <v>0.39041100000000029</v>
      </c>
      <c r="D12">
        <v>2.1499440000000014</v>
      </c>
      <c r="E12">
        <v>3.8881000000000014</v>
      </c>
      <c r="F12">
        <v>1.900699000000003</v>
      </c>
      <c r="AV12" t="s">
        <v>208</v>
      </c>
      <c r="AW12">
        <f>10+8</f>
        <v>18</v>
      </c>
    </row>
    <row r="13" spans="1:69">
      <c r="B13">
        <v>0</v>
      </c>
      <c r="C13">
        <v>1.2696629999999995</v>
      </c>
      <c r="D13">
        <v>0</v>
      </c>
      <c r="E13">
        <v>0</v>
      </c>
      <c r="F13">
        <v>0</v>
      </c>
      <c r="AV13" t="s">
        <v>209</v>
      </c>
      <c r="AW13">
        <v>10000</v>
      </c>
    </row>
    <row r="14" spans="1:69">
      <c r="A14">
        <v>7</v>
      </c>
      <c r="B14">
        <v>3.2900939999999999</v>
      </c>
      <c r="C14">
        <v>2.8352389999999996</v>
      </c>
      <c r="D14">
        <v>0.53166299999999822</v>
      </c>
      <c r="E14">
        <v>0.74028399999999905</v>
      </c>
      <c r="F14">
        <v>0.18057699999999954</v>
      </c>
      <c r="AX14">
        <f>+AX15/($AW$16*$BQ$15)</f>
        <v>2.0408163265306121E-2</v>
      </c>
      <c r="AY14">
        <f t="shared" ref="AY14:BQ14" si="0">+AY15/($AW$16*$BQ$15)</f>
        <v>4.0816326530612242E-2</v>
      </c>
      <c r="AZ14">
        <f t="shared" si="0"/>
        <v>6.1224489795918366E-2</v>
      </c>
      <c r="BA14">
        <f t="shared" si="0"/>
        <v>8.1632653061224483E-2</v>
      </c>
      <c r="BB14">
        <f t="shared" si="0"/>
        <v>0.10204081632653061</v>
      </c>
      <c r="BC14">
        <f t="shared" si="0"/>
        <v>0.12244897959183673</v>
      </c>
      <c r="BD14">
        <f t="shared" si="0"/>
        <v>0.14285714285714285</v>
      </c>
      <c r="BE14">
        <f t="shared" si="0"/>
        <v>0.16326530612244897</v>
      </c>
      <c r="BF14">
        <f t="shared" si="0"/>
        <v>0.18367346938775511</v>
      </c>
      <c r="BG14">
        <f t="shared" si="0"/>
        <v>0.20408163265306123</v>
      </c>
      <c r="BH14">
        <f t="shared" si="0"/>
        <v>0.22448979591836735</v>
      </c>
      <c r="BI14">
        <f t="shared" si="0"/>
        <v>0.24489795918367346</v>
      </c>
      <c r="BJ14">
        <f t="shared" si="0"/>
        <v>0.26530612244897961</v>
      </c>
      <c r="BK14">
        <f t="shared" si="0"/>
        <v>0.2857142857142857</v>
      </c>
      <c r="BL14">
        <f t="shared" si="0"/>
        <v>0.30612244897959184</v>
      </c>
      <c r="BM14">
        <f t="shared" si="0"/>
        <v>0.32653061224489793</v>
      </c>
      <c r="BN14">
        <f t="shared" si="0"/>
        <v>0.34693877551020408</v>
      </c>
      <c r="BO14">
        <f t="shared" si="0"/>
        <v>0.36734693877551022</v>
      </c>
      <c r="BP14">
        <f t="shared" si="0"/>
        <v>0.38775510204081631</v>
      </c>
      <c r="BQ14">
        <f t="shared" si="0"/>
        <v>1.4285714285714286</v>
      </c>
    </row>
    <row r="15" spans="1:69">
      <c r="B15">
        <v>0</v>
      </c>
      <c r="C15">
        <v>0</v>
      </c>
      <c r="D15">
        <v>0</v>
      </c>
      <c r="E15">
        <v>0</v>
      </c>
      <c r="F15">
        <v>0</v>
      </c>
      <c r="AX15">
        <v>100</v>
      </c>
      <c r="AY15">
        <v>200</v>
      </c>
      <c r="AZ15">
        <v>300</v>
      </c>
      <c r="BA15">
        <v>400</v>
      </c>
      <c r="BB15">
        <v>500</v>
      </c>
      <c r="BC15">
        <v>600</v>
      </c>
      <c r="BD15">
        <v>700</v>
      </c>
      <c r="BE15">
        <v>800</v>
      </c>
      <c r="BF15">
        <v>900</v>
      </c>
      <c r="BG15">
        <v>1000</v>
      </c>
      <c r="BH15">
        <v>1100</v>
      </c>
      <c r="BI15">
        <v>1200</v>
      </c>
      <c r="BJ15">
        <v>1300</v>
      </c>
      <c r="BK15">
        <v>1400</v>
      </c>
      <c r="BL15">
        <v>1500</v>
      </c>
      <c r="BM15">
        <v>1600</v>
      </c>
      <c r="BN15">
        <v>1700</v>
      </c>
      <c r="BO15">
        <v>1800</v>
      </c>
      <c r="BP15">
        <v>1900</v>
      </c>
      <c r="BQ15">
        <v>7000</v>
      </c>
    </row>
    <row r="16" spans="1:69">
      <c r="A16">
        <v>8</v>
      </c>
      <c r="B16">
        <v>1.4155049999999996</v>
      </c>
      <c r="C16">
        <v>2.5766049999999989</v>
      </c>
      <c r="D16">
        <v>0.67795800000000028</v>
      </c>
      <c r="E16">
        <v>1.4445520000000016</v>
      </c>
      <c r="F16">
        <v>2.6878400000000013</v>
      </c>
      <c r="AW16">
        <v>0.7</v>
      </c>
      <c r="AX16" s="95">
        <f>+$AW$11/4*EXP(-(($AW$12*AX15)/(($AW$13))))</f>
        <v>50.742665343234776</v>
      </c>
      <c r="AY16" s="95">
        <f t="shared" ref="AY16:BQ16" si="1">+$AW$11/4*EXP(-(($AW$12*AY15)/(($AW$13))))</f>
        <v>42.383836808815133</v>
      </c>
      <c r="AZ16" s="95">
        <f t="shared" si="1"/>
        <v>35.401956331719873</v>
      </c>
      <c r="BA16" s="95">
        <f t="shared" si="1"/>
        <v>29.570199549568279</v>
      </c>
      <c r="BB16" s="95">
        <f t="shared" si="1"/>
        <v>24.699106829241394</v>
      </c>
      <c r="BC16" s="95">
        <f t="shared" si="1"/>
        <v>20.63042818293005</v>
      </c>
      <c r="BD16" s="95">
        <f t="shared" si="1"/>
        <v>17.23198210986105</v>
      </c>
      <c r="BE16" s="95">
        <f t="shared" si="1"/>
        <v>14.393361339938897</v>
      </c>
      <c r="BF16" s="95">
        <f t="shared" si="1"/>
        <v>12.02234596932959</v>
      </c>
      <c r="BG16" s="95">
        <f t="shared" si="1"/>
        <v>10.041907459461381</v>
      </c>
      <c r="BH16" s="95">
        <f t="shared" si="1"/>
        <v>8.3877061666367396</v>
      </c>
      <c r="BI16" s="95">
        <f t="shared" si="1"/>
        <v>7.0060011030622977</v>
      </c>
      <c r="BJ16" s="95">
        <f t="shared" si="1"/>
        <v>5.8519040225024517</v>
      </c>
      <c r="BK16" s="95">
        <f t="shared" si="1"/>
        <v>4.887921110034096</v>
      </c>
      <c r="BL16" s="95">
        <f t="shared" si="1"/>
        <v>4.0827348989397976</v>
      </c>
      <c r="BM16" s="95">
        <f t="shared" si="1"/>
        <v>3.4101868421736237</v>
      </c>
      <c r="BN16" s="95">
        <f t="shared" si="1"/>
        <v>2.8484274846143007</v>
      </c>
      <c r="BO16" s="95">
        <f t="shared" si="1"/>
        <v>2.3792066272634642</v>
      </c>
      <c r="BP16" s="95">
        <f t="shared" si="1"/>
        <v>1.9872804225454539</v>
      </c>
      <c r="BQ16" s="95">
        <f t="shared" si="1"/>
        <v>2.0484992547395545E-4</v>
      </c>
    </row>
    <row r="17" spans="1:69">
      <c r="B17">
        <v>0</v>
      </c>
      <c r="C17">
        <v>1.2382260000000009</v>
      </c>
      <c r="D17">
        <v>0</v>
      </c>
      <c r="E17">
        <v>0</v>
      </c>
      <c r="F17">
        <v>0</v>
      </c>
      <c r="AX17">
        <f>+(1-AX14)^0.5</f>
        <v>0.98974331861078702</v>
      </c>
      <c r="AY17">
        <f t="shared" ref="AY17:BQ17" si="2">+(1-AY14^2)^0.5</f>
        <v>0.99916666652193042</v>
      </c>
      <c r="AZ17">
        <f t="shared" si="2"/>
        <v>0.99812402127652933</v>
      </c>
      <c r="BA17">
        <f t="shared" si="2"/>
        <v>0.99666248547549219</v>
      </c>
      <c r="BB17">
        <f t="shared" si="2"/>
        <v>0.99478021281256657</v>
      </c>
      <c r="BC17">
        <f t="shared" si="2"/>
        <v>0.99247480945206767</v>
      </c>
      <c r="BD17">
        <f t="shared" si="2"/>
        <v>0.98974331861078702</v>
      </c>
      <c r="BE17">
        <f t="shared" si="2"/>
        <v>0.98658220124667917</v>
      </c>
      <c r="BF17">
        <f t="shared" si="2"/>
        <v>0.98298731255447314</v>
      </c>
      <c r="BG17">
        <f t="shared" si="2"/>
        <v>0.97895387389481281</v>
      </c>
      <c r="BH17">
        <f t="shared" si="2"/>
        <v>0.97447643969904663</v>
      </c>
      <c r="BI17">
        <f t="shared" si="2"/>
        <v>0.9695488587934451</v>
      </c>
      <c r="BJ17">
        <f t="shared" si="2"/>
        <v>0.96416422947083402</v>
      </c>
      <c r="BK17">
        <f t="shared" si="2"/>
        <v>0.95831484749990992</v>
      </c>
      <c r="BL17">
        <f t="shared" si="2"/>
        <v>0.95199214609719185</v>
      </c>
      <c r="BM17">
        <f t="shared" si="2"/>
        <v>0.94518662668648257</v>
      </c>
      <c r="BN17">
        <f t="shared" si="2"/>
        <v>0.93788777902661691</v>
      </c>
      <c r="BO17">
        <f t="shared" si="2"/>
        <v>0.93008398898823197</v>
      </c>
      <c r="BP17">
        <f t="shared" si="2"/>
        <v>0.92176243188867057</v>
      </c>
      <c r="BQ17" t="e">
        <f t="shared" si="2"/>
        <v>#NUM!</v>
      </c>
    </row>
    <row r="18" spans="1:69">
      <c r="A18">
        <v>9</v>
      </c>
      <c r="B18">
        <v>5.2345649999999999</v>
      </c>
      <c r="C18">
        <v>0.24322300000000041</v>
      </c>
      <c r="D18">
        <v>0.38004700000000113</v>
      </c>
      <c r="E18">
        <v>0.73010999999999981</v>
      </c>
      <c r="F18">
        <v>6.3339599999999976</v>
      </c>
      <c r="AX18" s="95">
        <f>+EXP((-AX15/$BQ$15))</f>
        <v>0.9858158423524046</v>
      </c>
      <c r="AY18" s="95">
        <f t="shared" ref="AY18:BQ18" si="3">+EXP((-AY15/$BQ$15))</f>
        <v>0.9718328750329811</v>
      </c>
      <c r="AZ18" s="95">
        <f t="shared" si="3"/>
        <v>0.95804824432639746</v>
      </c>
      <c r="BA18" s="95">
        <f t="shared" si="3"/>
        <v>0.94445913699486983</v>
      </c>
      <c r="BB18" s="95">
        <f t="shared" si="3"/>
        <v>0.93106277970402274</v>
      </c>
      <c r="BC18" s="95">
        <f t="shared" si="3"/>
        <v>0.91785643845689258</v>
      </c>
      <c r="BD18" s="95">
        <f t="shared" si="3"/>
        <v>0.90483741803595952</v>
      </c>
      <c r="BE18" s="95">
        <f t="shared" si="3"/>
        <v>0.89200306145309438</v>
      </c>
      <c r="BF18" s="95">
        <f t="shared" si="3"/>
        <v>0.87935074940730595</v>
      </c>
      <c r="BG18" s="95">
        <f t="shared" si="3"/>
        <v>0.86687789975018159</v>
      </c>
      <c r="BH18" s="95">
        <f t="shared" si="3"/>
        <v>0.85458196695890865</v>
      </c>
      <c r="BI18" s="95">
        <f t="shared" si="3"/>
        <v>0.84246044161677136</v>
      </c>
      <c r="BJ18" s="95">
        <f t="shared" si="3"/>
        <v>0.83051084990101631</v>
      </c>
      <c r="BK18" s="95">
        <f t="shared" si="3"/>
        <v>0.81873075307798182</v>
      </c>
      <c r="BL18" s="95">
        <f t="shared" si="3"/>
        <v>0.8071177470053893</v>
      </c>
      <c r="BM18" s="95">
        <f t="shared" si="3"/>
        <v>0.79566946164169283</v>
      </c>
      <c r="BN18" s="95">
        <f t="shared" si="3"/>
        <v>0.78438356056238978</v>
      </c>
      <c r="BO18" s="95">
        <f t="shared" si="3"/>
        <v>0.77325774048319063</v>
      </c>
      <c r="BP18" s="95">
        <f t="shared" si="3"/>
        <v>0.76228973078995366</v>
      </c>
      <c r="BQ18" s="95">
        <f t="shared" si="3"/>
        <v>0.36787944117144233</v>
      </c>
    </row>
    <row r="19" spans="1:69">
      <c r="B19">
        <v>0</v>
      </c>
      <c r="C19">
        <v>0.42710999999999899</v>
      </c>
      <c r="D19">
        <v>0</v>
      </c>
      <c r="E19">
        <v>0</v>
      </c>
      <c r="F19">
        <v>0</v>
      </c>
    </row>
    <row r="20" spans="1:69">
      <c r="A20">
        <v>10</v>
      </c>
      <c r="B20">
        <v>0.6703329999999994</v>
      </c>
      <c r="C20">
        <v>1.220873000000001</v>
      </c>
      <c r="D20">
        <v>1.2093330000000009</v>
      </c>
      <c r="E20">
        <v>1.8376270000000012</v>
      </c>
      <c r="F20">
        <v>2.801281000000003</v>
      </c>
    </row>
    <row r="21" spans="1:69">
      <c r="B21">
        <v>0</v>
      </c>
      <c r="C21">
        <v>0</v>
      </c>
      <c r="D21">
        <v>0</v>
      </c>
      <c r="E21">
        <v>0</v>
      </c>
      <c r="F21">
        <v>0</v>
      </c>
    </row>
    <row r="22" spans="1:69">
      <c r="A22">
        <v>11</v>
      </c>
      <c r="B22">
        <v>0.7087210000000006</v>
      </c>
      <c r="C22">
        <v>2.2970389999999981</v>
      </c>
      <c r="D22">
        <v>0.39347100000000168</v>
      </c>
      <c r="E22">
        <v>0.12705499999999859</v>
      </c>
      <c r="F22">
        <v>0.43051700000000181</v>
      </c>
    </row>
    <row r="23" spans="1:69">
      <c r="B23">
        <v>0</v>
      </c>
      <c r="C23">
        <v>0</v>
      </c>
      <c r="D23">
        <v>0.87393799999999189</v>
      </c>
      <c r="E23">
        <v>0</v>
      </c>
      <c r="F23">
        <v>0</v>
      </c>
    </row>
    <row r="24" spans="1:69">
      <c r="A24">
        <v>12</v>
      </c>
      <c r="B24">
        <v>0.82094199999999873</v>
      </c>
      <c r="C24">
        <v>2.1945890000000006</v>
      </c>
      <c r="D24">
        <v>3.0520139999999998</v>
      </c>
      <c r="E24">
        <v>6.1982779999999984</v>
      </c>
      <c r="F24">
        <v>0.85240000000000293</v>
      </c>
    </row>
    <row r="25" spans="1:69">
      <c r="B25">
        <v>0</v>
      </c>
      <c r="C25">
        <v>0</v>
      </c>
      <c r="D25">
        <v>0</v>
      </c>
      <c r="E25">
        <v>0</v>
      </c>
      <c r="F25">
        <v>0</v>
      </c>
    </row>
    <row r="26" spans="1:69">
      <c r="A26">
        <v>13</v>
      </c>
      <c r="B26">
        <v>0.50842199999999949</v>
      </c>
      <c r="C26">
        <v>1.5229320000000008</v>
      </c>
      <c r="D26">
        <v>0.54910999999999888</v>
      </c>
      <c r="E26">
        <v>0.67359700000000089</v>
      </c>
      <c r="F26">
        <v>1.9096150000000023</v>
      </c>
    </row>
    <row r="27" spans="1:69">
      <c r="B27">
        <v>0</v>
      </c>
      <c r="C27">
        <v>0</v>
      </c>
      <c r="D27">
        <v>0.87433400000000105</v>
      </c>
      <c r="E27">
        <v>0</v>
      </c>
      <c r="F27">
        <v>0</v>
      </c>
      <c r="H27">
        <v>0</v>
      </c>
      <c r="I27">
        <v>339</v>
      </c>
      <c r="J27">
        <v>138</v>
      </c>
      <c r="K27">
        <v>3</v>
      </c>
    </row>
    <row r="28" spans="1:69">
      <c r="A28">
        <v>14</v>
      </c>
      <c r="B28">
        <v>3.1823599999999992</v>
      </c>
      <c r="C28">
        <v>2.9525259999999989</v>
      </c>
      <c r="D28">
        <v>0.60531800000000047</v>
      </c>
      <c r="E28">
        <v>0.41000199999999865</v>
      </c>
      <c r="F28">
        <v>1.5989900000000006</v>
      </c>
      <c r="H28">
        <v>0</v>
      </c>
    </row>
    <row r="29" spans="1:69">
      <c r="B29">
        <v>0</v>
      </c>
      <c r="C29">
        <v>0</v>
      </c>
      <c r="D29">
        <v>12.052484999999997</v>
      </c>
      <c r="E29">
        <v>4.9664309999999929</v>
      </c>
      <c r="F29">
        <v>0</v>
      </c>
    </row>
    <row r="30" spans="1:69">
      <c r="A30">
        <v>15</v>
      </c>
      <c r="B30">
        <v>2.0840589999999999</v>
      </c>
      <c r="C30">
        <v>12.657802999999998</v>
      </c>
      <c r="D30">
        <v>0.64941799999999716</v>
      </c>
      <c r="E30">
        <v>1.4758110000000002</v>
      </c>
      <c r="F30">
        <v>4.3935960000000023</v>
      </c>
    </row>
    <row r="31" spans="1:69">
      <c r="B31">
        <v>0</v>
      </c>
      <c r="C31">
        <v>0</v>
      </c>
      <c r="D31">
        <v>0.32499800000000079</v>
      </c>
      <c r="E31">
        <v>0</v>
      </c>
      <c r="F31">
        <v>0</v>
      </c>
    </row>
    <row r="32" spans="1:69">
      <c r="A32">
        <v>16</v>
      </c>
      <c r="B32">
        <v>0.47710000000000008</v>
      </c>
      <c r="C32">
        <v>0.97441599999999795</v>
      </c>
      <c r="D32">
        <v>0.56239200000000267</v>
      </c>
      <c r="E32">
        <v>8.5608930000000001</v>
      </c>
      <c r="F32">
        <v>1.0565209999999965</v>
      </c>
    </row>
    <row r="33" spans="1:109">
      <c r="B33">
        <v>0</v>
      </c>
      <c r="C33">
        <v>0</v>
      </c>
      <c r="D33">
        <v>4.7310899999999947</v>
      </c>
      <c r="E33">
        <v>0</v>
      </c>
      <c r="F33">
        <v>0</v>
      </c>
    </row>
    <row r="34" spans="1:109">
      <c r="A34">
        <v>17</v>
      </c>
      <c r="B34">
        <v>0.18357699999999966</v>
      </c>
      <c r="C34">
        <v>5.2934819999999974</v>
      </c>
      <c r="D34">
        <v>2.2384950000000003</v>
      </c>
      <c r="E34">
        <v>0.49861700000000297</v>
      </c>
      <c r="F34">
        <v>3.2608329999999981</v>
      </c>
    </row>
    <row r="35" spans="1:109">
      <c r="B35">
        <v>0</v>
      </c>
      <c r="C35">
        <v>0</v>
      </c>
      <c r="D35">
        <v>0</v>
      </c>
      <c r="E35">
        <v>0.12718099999999311</v>
      </c>
      <c r="F35">
        <v>1.0806759999999827</v>
      </c>
    </row>
    <row r="36" spans="1:109">
      <c r="A36">
        <v>18</v>
      </c>
      <c r="B36">
        <v>1.0918509999999984</v>
      </c>
      <c r="C36">
        <v>0.18550299999999709</v>
      </c>
      <c r="D36">
        <v>2.8055269999999979</v>
      </c>
      <c r="E36">
        <v>6.1900430000000028</v>
      </c>
      <c r="F36">
        <v>1.6479720000000029</v>
      </c>
    </row>
    <row r="37" spans="1:109">
      <c r="B37">
        <v>0</v>
      </c>
      <c r="C37">
        <v>0</v>
      </c>
      <c r="D37">
        <v>0</v>
      </c>
      <c r="E37">
        <v>0</v>
      </c>
      <c r="F37">
        <v>0</v>
      </c>
    </row>
    <row r="38" spans="1:109">
      <c r="A38">
        <v>19</v>
      </c>
      <c r="B38">
        <v>1.3771589999999989</v>
      </c>
      <c r="C38">
        <v>0.62791599999999903</v>
      </c>
      <c r="D38">
        <v>0.41812900000000042</v>
      </c>
      <c r="E38">
        <v>0.55666599999999988</v>
      </c>
      <c r="F38">
        <v>1.1917029999999968</v>
      </c>
    </row>
    <row r="39" spans="1:109">
      <c r="B39">
        <v>0</v>
      </c>
      <c r="C39">
        <v>0</v>
      </c>
      <c r="D39">
        <v>0</v>
      </c>
      <c r="E39">
        <v>0</v>
      </c>
      <c r="F39">
        <v>0</v>
      </c>
    </row>
    <row r="40" spans="1:109">
      <c r="A40">
        <v>20</v>
      </c>
      <c r="B40">
        <v>0.52392299999999992</v>
      </c>
      <c r="C40">
        <v>0.45342999999999734</v>
      </c>
      <c r="D40">
        <v>1.1313120000000012</v>
      </c>
      <c r="E40">
        <v>1.9102099999999993</v>
      </c>
      <c r="F40">
        <v>4.4555580000000035</v>
      </c>
    </row>
    <row r="41" spans="1:109">
      <c r="B41">
        <v>0</v>
      </c>
      <c r="C41">
        <v>0</v>
      </c>
      <c r="D41">
        <v>0</v>
      </c>
      <c r="E41">
        <v>0</v>
      </c>
      <c r="F41">
        <v>0</v>
      </c>
    </row>
    <row r="42" spans="1:109">
      <c r="A42">
        <v>21</v>
      </c>
      <c r="B42">
        <v>0.40313199999999938</v>
      </c>
      <c r="C42">
        <v>0.12973800000000324</v>
      </c>
      <c r="D42">
        <v>0.32093900000000275</v>
      </c>
      <c r="E42">
        <v>2.9673550000000048</v>
      </c>
      <c r="F42">
        <v>2.6963650000000001</v>
      </c>
    </row>
    <row r="43" spans="1:109">
      <c r="B43">
        <v>0</v>
      </c>
      <c r="C43">
        <v>0</v>
      </c>
      <c r="D43">
        <v>0</v>
      </c>
      <c r="E43">
        <v>0</v>
      </c>
      <c r="F43">
        <v>0</v>
      </c>
      <c r="I43" t="s">
        <v>218</v>
      </c>
      <c r="J43">
        <v>0.125</v>
      </c>
    </row>
    <row r="44" spans="1:109">
      <c r="A44">
        <v>22</v>
      </c>
      <c r="B44">
        <v>1.3602179999999997</v>
      </c>
      <c r="C44">
        <v>3.6951660000000004</v>
      </c>
      <c r="D44">
        <v>5.2749420000000029</v>
      </c>
      <c r="E44">
        <v>0.84365400000000079</v>
      </c>
      <c r="F44">
        <v>0.53472899999999868</v>
      </c>
      <c r="I44" t="s">
        <v>214</v>
      </c>
      <c r="J44">
        <v>4</v>
      </c>
      <c r="L44">
        <f>+J45/J43</f>
        <v>2000</v>
      </c>
    </row>
    <row r="45" spans="1:109">
      <c r="B45">
        <v>0</v>
      </c>
      <c r="C45">
        <v>0</v>
      </c>
      <c r="D45">
        <v>0</v>
      </c>
      <c r="E45">
        <v>0</v>
      </c>
      <c r="F45">
        <v>0</v>
      </c>
      <c r="I45" t="s">
        <v>215</v>
      </c>
      <c r="J45">
        <v>250</v>
      </c>
    </row>
    <row r="46" spans="1:109">
      <c r="A46">
        <v>23</v>
      </c>
      <c r="B46">
        <v>1.3609310000000008</v>
      </c>
      <c r="C46">
        <v>1.1132980000000003</v>
      </c>
      <c r="D46">
        <v>5.0169469999999947</v>
      </c>
      <c r="E46">
        <v>1.3483889999999974</v>
      </c>
      <c r="F46">
        <v>0.14504999999999768</v>
      </c>
      <c r="I46" t="s">
        <v>212</v>
      </c>
      <c r="J46">
        <v>0.35</v>
      </c>
    </row>
    <row r="47" spans="1:109">
      <c r="B47">
        <v>0</v>
      </c>
      <c r="C47">
        <v>0</v>
      </c>
      <c r="D47">
        <v>0</v>
      </c>
      <c r="E47">
        <v>0</v>
      </c>
      <c r="F47">
        <v>0</v>
      </c>
      <c r="I47" t="s">
        <v>184</v>
      </c>
      <c r="J47">
        <v>10</v>
      </c>
      <c r="K47">
        <v>20</v>
      </c>
      <c r="L47">
        <v>30</v>
      </c>
      <c r="M47">
        <v>40</v>
      </c>
      <c r="N47">
        <v>50</v>
      </c>
      <c r="O47">
        <v>60</v>
      </c>
      <c r="P47">
        <v>70</v>
      </c>
      <c r="Q47">
        <v>80</v>
      </c>
      <c r="R47">
        <v>90</v>
      </c>
      <c r="S47">
        <v>100</v>
      </c>
      <c r="T47">
        <v>110</v>
      </c>
      <c r="U47">
        <v>120</v>
      </c>
      <c r="V47">
        <v>130</v>
      </c>
      <c r="W47">
        <v>140</v>
      </c>
      <c r="X47">
        <v>150</v>
      </c>
      <c r="Y47">
        <v>160</v>
      </c>
      <c r="Z47">
        <v>170</v>
      </c>
      <c r="AA47">
        <v>180</v>
      </c>
      <c r="AB47">
        <v>190</v>
      </c>
      <c r="AC47">
        <v>200</v>
      </c>
      <c r="AD47">
        <v>210</v>
      </c>
      <c r="AE47">
        <v>220</v>
      </c>
      <c r="AF47">
        <v>230</v>
      </c>
      <c r="AG47">
        <v>240</v>
      </c>
      <c r="AH47">
        <v>250</v>
      </c>
      <c r="AI47">
        <v>260</v>
      </c>
      <c r="AJ47">
        <v>270</v>
      </c>
      <c r="AK47">
        <v>280</v>
      </c>
      <c r="AL47">
        <v>290</v>
      </c>
      <c r="AM47">
        <v>300</v>
      </c>
      <c r="AN47">
        <v>310</v>
      </c>
      <c r="AO47">
        <v>320</v>
      </c>
      <c r="AP47">
        <v>330</v>
      </c>
      <c r="AQ47">
        <v>340</v>
      </c>
      <c r="AR47">
        <v>350</v>
      </c>
      <c r="AS47">
        <v>360</v>
      </c>
      <c r="AT47">
        <v>370</v>
      </c>
      <c r="AU47">
        <v>380</v>
      </c>
      <c r="AV47">
        <v>390</v>
      </c>
      <c r="AW47">
        <v>400</v>
      </c>
      <c r="AX47">
        <v>410</v>
      </c>
      <c r="AY47">
        <v>420</v>
      </c>
      <c r="AZ47">
        <v>430</v>
      </c>
      <c r="BA47">
        <v>440</v>
      </c>
      <c r="BB47">
        <v>450</v>
      </c>
      <c r="BC47">
        <v>460</v>
      </c>
      <c r="BD47">
        <v>470</v>
      </c>
      <c r="BE47">
        <v>480</v>
      </c>
      <c r="BF47">
        <v>490</v>
      </c>
      <c r="BG47">
        <v>500</v>
      </c>
      <c r="BH47">
        <v>510</v>
      </c>
      <c r="BI47">
        <v>520</v>
      </c>
      <c r="BJ47">
        <v>530</v>
      </c>
      <c r="BK47">
        <v>540</v>
      </c>
      <c r="BL47">
        <v>550</v>
      </c>
      <c r="BM47">
        <v>560</v>
      </c>
      <c r="BN47">
        <v>570</v>
      </c>
      <c r="BO47">
        <v>580</v>
      </c>
      <c r="BP47">
        <v>590</v>
      </c>
      <c r="BQ47">
        <v>600</v>
      </c>
      <c r="BR47">
        <v>610</v>
      </c>
      <c r="BS47">
        <v>620</v>
      </c>
      <c r="BT47">
        <v>630</v>
      </c>
      <c r="BU47">
        <v>640</v>
      </c>
      <c r="BV47">
        <v>650</v>
      </c>
      <c r="BW47">
        <v>660</v>
      </c>
      <c r="BX47">
        <v>670</v>
      </c>
      <c r="BY47">
        <v>680</v>
      </c>
      <c r="BZ47">
        <v>690</v>
      </c>
      <c r="CA47">
        <v>700</v>
      </c>
      <c r="CB47">
        <v>710</v>
      </c>
      <c r="CC47">
        <v>720</v>
      </c>
      <c r="CD47">
        <v>730</v>
      </c>
      <c r="CE47">
        <v>740</v>
      </c>
      <c r="CF47">
        <v>750</v>
      </c>
      <c r="CG47">
        <v>760</v>
      </c>
      <c r="CH47">
        <v>770</v>
      </c>
      <c r="CI47">
        <v>780</v>
      </c>
      <c r="CJ47">
        <v>790</v>
      </c>
      <c r="CK47">
        <v>800</v>
      </c>
      <c r="CL47">
        <v>810</v>
      </c>
      <c r="CM47">
        <v>820</v>
      </c>
      <c r="CN47">
        <v>830</v>
      </c>
      <c r="CO47">
        <v>840</v>
      </c>
      <c r="CP47">
        <v>850</v>
      </c>
      <c r="CQ47">
        <v>860</v>
      </c>
      <c r="CR47">
        <v>870</v>
      </c>
      <c r="CS47">
        <v>880</v>
      </c>
      <c r="CT47">
        <v>890</v>
      </c>
      <c r="CU47">
        <v>900</v>
      </c>
      <c r="CV47">
        <v>910</v>
      </c>
      <c r="CW47">
        <v>920</v>
      </c>
      <c r="CX47">
        <v>930</v>
      </c>
      <c r="CY47">
        <v>940</v>
      </c>
      <c r="CZ47">
        <v>950</v>
      </c>
      <c r="DA47">
        <v>960</v>
      </c>
      <c r="DB47">
        <v>970</v>
      </c>
      <c r="DC47">
        <v>980</v>
      </c>
      <c r="DD47">
        <v>990</v>
      </c>
      <c r="DE47">
        <v>1000</v>
      </c>
    </row>
    <row r="48" spans="1:109">
      <c r="A48">
        <v>24</v>
      </c>
      <c r="B48">
        <v>2.3365739999999988</v>
      </c>
      <c r="C48">
        <v>0.37844700000000131</v>
      </c>
      <c r="D48">
        <v>0.55548799999999687</v>
      </c>
      <c r="E48">
        <v>0.62420099999999934</v>
      </c>
      <c r="F48">
        <v>2.3749449999999968</v>
      </c>
      <c r="I48" t="s">
        <v>155</v>
      </c>
      <c r="J48">
        <v>0.27</v>
      </c>
      <c r="K48">
        <v>0.28000000000000003</v>
      </c>
      <c r="L48">
        <v>0.28999999999999998</v>
      </c>
      <c r="M48">
        <v>0.3</v>
      </c>
      <c r="N48">
        <v>0.31</v>
      </c>
      <c r="O48">
        <v>0.32</v>
      </c>
      <c r="P48">
        <v>0.33</v>
      </c>
      <c r="Q48">
        <v>0.33500000000000002</v>
      </c>
      <c r="R48">
        <v>0.33600000000000002</v>
      </c>
      <c r="S48">
        <v>0.33700000000000002</v>
      </c>
      <c r="T48">
        <v>0.33800000000000002</v>
      </c>
      <c r="U48">
        <v>0.33900000000000002</v>
      </c>
      <c r="V48">
        <v>0.34</v>
      </c>
      <c r="W48">
        <v>0.34100000000000003</v>
      </c>
      <c r="X48">
        <v>0.34200000000000003</v>
      </c>
      <c r="Y48">
        <v>0.34300000000000003</v>
      </c>
      <c r="Z48">
        <v>0.34399999999999997</v>
      </c>
      <c r="AA48">
        <v>0.34499999999999997</v>
      </c>
      <c r="AB48">
        <v>0.34599999999999997</v>
      </c>
      <c r="AC48">
        <v>0.34699999999999998</v>
      </c>
      <c r="AD48">
        <v>0.34799999999999998</v>
      </c>
      <c r="AE48">
        <v>0.34899999999999998</v>
      </c>
      <c r="AF48">
        <v>0.35</v>
      </c>
      <c r="AG48">
        <v>0.35099999999999998</v>
      </c>
      <c r="AH48">
        <v>0.35199999999999998</v>
      </c>
      <c r="AI48">
        <v>0.35299999999999998</v>
      </c>
      <c r="AJ48">
        <v>0.35399999999999998</v>
      </c>
      <c r="AK48">
        <v>0.35499999999999998</v>
      </c>
      <c r="AL48">
        <v>0.35599999999999998</v>
      </c>
      <c r="AM48">
        <v>0.35699999999999998</v>
      </c>
      <c r="AN48">
        <v>0.35799999999999998</v>
      </c>
      <c r="AO48">
        <v>0.35899999999999999</v>
      </c>
      <c r="AP48">
        <v>0.36</v>
      </c>
      <c r="AQ48">
        <v>0.36099999999999999</v>
      </c>
      <c r="AR48">
        <v>0.36199999999999999</v>
      </c>
      <c r="AS48">
        <v>0.36299999999999999</v>
      </c>
      <c r="AT48">
        <v>0.36399999999999999</v>
      </c>
      <c r="AU48">
        <v>0.36499999999999999</v>
      </c>
      <c r="AV48">
        <v>0.36599999999999999</v>
      </c>
      <c r="AW48">
        <v>0.36699999999999999</v>
      </c>
      <c r="AX48">
        <v>0.36799999999999999</v>
      </c>
      <c r="AY48">
        <v>0.36899999999999999</v>
      </c>
      <c r="AZ48">
        <v>0.37</v>
      </c>
      <c r="BA48">
        <v>0.371</v>
      </c>
      <c r="BB48">
        <v>0.372</v>
      </c>
      <c r="BC48">
        <v>0.373</v>
      </c>
      <c r="BD48">
        <v>0.374</v>
      </c>
      <c r="BE48">
        <v>0.375</v>
      </c>
      <c r="BF48">
        <v>0.376</v>
      </c>
      <c r="BG48">
        <v>0.377</v>
      </c>
      <c r="BH48">
        <v>1.377</v>
      </c>
      <c r="BI48">
        <v>2.3769999999999998</v>
      </c>
      <c r="BJ48">
        <v>3.3769999999999998</v>
      </c>
      <c r="BK48">
        <v>4.3769999999999998</v>
      </c>
      <c r="BL48">
        <v>5.3769999999999998</v>
      </c>
      <c r="BM48">
        <v>6.3769999999999998</v>
      </c>
      <c r="BN48">
        <v>7.3769999999999998</v>
      </c>
      <c r="BO48">
        <v>8.3770000000000007</v>
      </c>
      <c r="BP48">
        <v>9.3770000000000007</v>
      </c>
      <c r="BQ48">
        <v>10.377000000000001</v>
      </c>
      <c r="BR48">
        <v>11.377000000000001</v>
      </c>
      <c r="BS48">
        <v>12.377000000000001</v>
      </c>
      <c r="BT48">
        <v>13.377000000000001</v>
      </c>
      <c r="BU48">
        <v>14.377000000000001</v>
      </c>
      <c r="BV48">
        <v>15.377000000000001</v>
      </c>
      <c r="BW48">
        <v>16.376999999999999</v>
      </c>
      <c r="BX48">
        <v>17.376999999999999</v>
      </c>
      <c r="BY48">
        <v>18.376999999999999</v>
      </c>
      <c r="BZ48">
        <v>19.376999999999999</v>
      </c>
      <c r="CA48">
        <v>20.376999999999999</v>
      </c>
      <c r="CB48">
        <v>21.376999999999999</v>
      </c>
      <c r="CC48">
        <v>22.376999999999999</v>
      </c>
      <c r="CD48">
        <v>23.376999999999999</v>
      </c>
      <c r="CE48">
        <v>24.376999999999999</v>
      </c>
      <c r="CF48">
        <v>25.376999999999999</v>
      </c>
      <c r="CG48">
        <v>26.376999999999999</v>
      </c>
      <c r="CH48">
        <v>27.376999999999999</v>
      </c>
      <c r="CI48">
        <v>28.376999999999999</v>
      </c>
      <c r="CJ48">
        <v>29.376999999999999</v>
      </c>
      <c r="CK48">
        <v>30.376999999999999</v>
      </c>
      <c r="CL48">
        <v>31.376999999999999</v>
      </c>
      <c r="CM48">
        <v>32.377000000000002</v>
      </c>
      <c r="CN48">
        <v>33.377000000000002</v>
      </c>
      <c r="CO48">
        <v>34.377000000000002</v>
      </c>
      <c r="CP48">
        <v>35.377000000000002</v>
      </c>
      <c r="CQ48">
        <v>36.377000000000002</v>
      </c>
      <c r="CR48">
        <v>37.377000000000002</v>
      </c>
      <c r="CS48">
        <v>38.377000000000002</v>
      </c>
      <c r="CT48">
        <v>39.377000000000002</v>
      </c>
      <c r="CU48">
        <v>40.377000000000002</v>
      </c>
      <c r="CV48">
        <v>41.377000000000002</v>
      </c>
      <c r="CW48">
        <v>42.377000000000002</v>
      </c>
      <c r="CX48">
        <v>43.377000000000002</v>
      </c>
      <c r="CY48">
        <v>44.377000000000002</v>
      </c>
      <c r="CZ48">
        <v>45.377000000000002</v>
      </c>
      <c r="DA48">
        <v>46.377000000000002</v>
      </c>
      <c r="DB48">
        <v>47.377000000000002</v>
      </c>
      <c r="DC48">
        <v>48.377000000000002</v>
      </c>
      <c r="DD48">
        <v>49.377000000000002</v>
      </c>
      <c r="DE48">
        <v>50.377000000000002</v>
      </c>
    </row>
    <row r="49" spans="1:109">
      <c r="B49">
        <v>0</v>
      </c>
      <c r="C49">
        <v>0</v>
      </c>
      <c r="D49">
        <v>0</v>
      </c>
      <c r="E49">
        <v>0</v>
      </c>
      <c r="F49">
        <v>1.9665310000000034</v>
      </c>
      <c r="I49" t="s">
        <v>185</v>
      </c>
      <c r="J49" s="68">
        <f>+IF(J48&lt;$J$46,$J$46/J48-1,-1)</f>
        <v>0.29629629629629606</v>
      </c>
      <c r="K49" s="68">
        <f t="shared" ref="K49:AK49" si="4">+IF(K48&lt;$J$46,$J$46/K48-1,-1)</f>
        <v>0.24999999999999978</v>
      </c>
      <c r="L49" s="68">
        <f t="shared" si="4"/>
        <v>0.2068965517241379</v>
      </c>
      <c r="M49" s="68">
        <f t="shared" si="4"/>
        <v>0.16666666666666674</v>
      </c>
      <c r="N49" s="68">
        <f t="shared" si="4"/>
        <v>0.12903225806451601</v>
      </c>
      <c r="O49" s="68">
        <f t="shared" si="4"/>
        <v>9.375E-2</v>
      </c>
      <c r="P49" s="68">
        <f t="shared" si="4"/>
        <v>6.0606060606060552E-2</v>
      </c>
      <c r="Q49">
        <f t="shared" si="4"/>
        <v>4.4776119402984982E-2</v>
      </c>
      <c r="R49">
        <f t="shared" si="4"/>
        <v>4.1666666666666519E-2</v>
      </c>
      <c r="S49">
        <f t="shared" si="4"/>
        <v>3.8575667655786239E-2</v>
      </c>
      <c r="T49">
        <f t="shared" si="4"/>
        <v>3.5502958579881616E-2</v>
      </c>
      <c r="U49">
        <f t="shared" si="4"/>
        <v>3.2448377581120846E-2</v>
      </c>
      <c r="V49">
        <f t="shared" si="4"/>
        <v>2.9411764705882248E-2</v>
      </c>
      <c r="W49">
        <f t="shared" si="4"/>
        <v>2.6392961876832599E-2</v>
      </c>
      <c r="X49">
        <f t="shared" si="4"/>
        <v>2.3391812865496853E-2</v>
      </c>
      <c r="Y49">
        <f t="shared" si="4"/>
        <v>2.0408163265305923E-2</v>
      </c>
      <c r="Z49">
        <f t="shared" si="4"/>
        <v>1.744186046511631E-2</v>
      </c>
      <c r="AA49">
        <f t="shared" si="4"/>
        <v>1.449275362318847E-2</v>
      </c>
      <c r="AB49">
        <f t="shared" si="4"/>
        <v>1.1560693641618602E-2</v>
      </c>
      <c r="AC49">
        <f t="shared" si="4"/>
        <v>8.6455331412103043E-3</v>
      </c>
      <c r="AD49">
        <f t="shared" si="4"/>
        <v>5.7471264367816577E-3</v>
      </c>
      <c r="AE49">
        <f t="shared" si="4"/>
        <v>2.8653295128939771E-3</v>
      </c>
      <c r="AF49">
        <f t="shared" si="4"/>
        <v>-1</v>
      </c>
      <c r="AG49">
        <f t="shared" si="4"/>
        <v>-1</v>
      </c>
      <c r="AH49">
        <f t="shared" si="4"/>
        <v>-1</v>
      </c>
      <c r="AI49">
        <f t="shared" si="4"/>
        <v>-1</v>
      </c>
      <c r="AJ49">
        <f t="shared" si="4"/>
        <v>-1</v>
      </c>
      <c r="AK49">
        <f t="shared" si="4"/>
        <v>-1</v>
      </c>
      <c r="AL49">
        <f t="shared" ref="AL49" si="5">+IF(AL48&lt;$J$46,$J$46/AL48-1,-1)</f>
        <v>-1</v>
      </c>
      <c r="AM49">
        <f t="shared" ref="AM49" si="6">+IF(AM48&lt;$J$46,$J$46/AM48-1,-1)</f>
        <v>-1</v>
      </c>
      <c r="AN49">
        <f t="shared" ref="AN49" si="7">+IF(AN48&lt;$J$46,$J$46/AN48-1,-1)</f>
        <v>-1</v>
      </c>
      <c r="AO49">
        <f t="shared" ref="AO49" si="8">+IF(AO48&lt;$J$46,$J$46/AO48-1,-1)</f>
        <v>-1</v>
      </c>
      <c r="AP49">
        <f t="shared" ref="AP49" si="9">+IF(AP48&lt;$J$46,$J$46/AP48-1,-1)</f>
        <v>-1</v>
      </c>
      <c r="AQ49">
        <f t="shared" ref="AQ49" si="10">+IF(AQ48&lt;$J$46,$J$46/AQ48-1,-1)</f>
        <v>-1</v>
      </c>
      <c r="AR49">
        <f t="shared" ref="AR49" si="11">+IF(AR48&lt;$J$46,$J$46/AR48-1,-1)</f>
        <v>-1</v>
      </c>
      <c r="AS49">
        <f t="shared" ref="AS49" si="12">+IF(AS48&lt;$J$46,$J$46/AS48-1,-1)</f>
        <v>-1</v>
      </c>
      <c r="AT49">
        <f t="shared" ref="AT49" si="13">+IF(AT48&lt;$J$46,$J$46/AT48-1,-1)</f>
        <v>-1</v>
      </c>
      <c r="AU49">
        <f t="shared" ref="AU49" si="14">+IF(AU48&lt;$J$46,$J$46/AU48-1,-1)</f>
        <v>-1</v>
      </c>
      <c r="AV49">
        <f t="shared" ref="AV49" si="15">+IF(AV48&lt;$J$46,$J$46/AV48-1,-1)</f>
        <v>-1</v>
      </c>
      <c r="AW49">
        <f t="shared" ref="AW49" si="16">+IF(AW48&lt;$J$46,$J$46/AW48-1,-1)</f>
        <v>-1</v>
      </c>
      <c r="AX49">
        <f t="shared" ref="AX49" si="17">+IF(AX48&lt;$J$46,$J$46/AX48-1,-1)</f>
        <v>-1</v>
      </c>
      <c r="AY49">
        <f t="shared" ref="AY49" si="18">+IF(AY48&lt;$J$46,$J$46/AY48-1,-1)</f>
        <v>-1</v>
      </c>
      <c r="AZ49">
        <f t="shared" ref="AZ49" si="19">+IF(AZ48&lt;$J$46,$J$46/AZ48-1,-1)</f>
        <v>-1</v>
      </c>
      <c r="BA49">
        <f t="shared" ref="BA49" si="20">+IF(BA48&lt;$J$46,$J$46/BA48-1,-1)</f>
        <v>-1</v>
      </c>
      <c r="BB49">
        <f t="shared" ref="BB49" si="21">+IF(BB48&lt;$J$46,$J$46/BB48-1,-1)</f>
        <v>-1</v>
      </c>
      <c r="BC49">
        <f t="shared" ref="BC49" si="22">+IF(BC48&lt;$J$46,$J$46/BC48-1,-1)</f>
        <v>-1</v>
      </c>
      <c r="BD49">
        <f t="shared" ref="BD49" si="23">+IF(BD48&lt;$J$46,$J$46/BD48-1,-1)</f>
        <v>-1</v>
      </c>
      <c r="BE49">
        <f t="shared" ref="BE49" si="24">+IF(BE48&lt;$J$46,$J$46/BE48-1,-1)</f>
        <v>-1</v>
      </c>
      <c r="BF49">
        <f t="shared" ref="BF49" si="25">+IF(BF48&lt;$J$46,$J$46/BF48-1,-1)</f>
        <v>-1</v>
      </c>
      <c r="BG49">
        <f t="shared" ref="BG49" si="26">+IF(BG48&lt;$J$46,$J$46/BG48-1,-1)</f>
        <v>-1</v>
      </c>
      <c r="BH49">
        <f t="shared" ref="BH49" si="27">+IF(BH48&lt;$J$46,$J$46/BH48-1,-1)</f>
        <v>-1</v>
      </c>
      <c r="BI49">
        <f t="shared" ref="BI49" si="28">+IF(BI48&lt;$J$46,$J$46/BI48-1,-1)</f>
        <v>-1</v>
      </c>
      <c r="BJ49">
        <f t="shared" ref="BJ49" si="29">+IF(BJ48&lt;$J$46,$J$46/BJ48-1,-1)</f>
        <v>-1</v>
      </c>
      <c r="BK49">
        <f t="shared" ref="BK49" si="30">+IF(BK48&lt;$J$46,$J$46/BK48-1,-1)</f>
        <v>-1</v>
      </c>
      <c r="BL49">
        <f t="shared" ref="BL49" si="31">+IF(BL48&lt;$J$46,$J$46/BL48-1,-1)</f>
        <v>-1</v>
      </c>
      <c r="BM49">
        <f t="shared" ref="BM49" si="32">+IF(BM48&lt;$J$46,$J$46/BM48-1,-1)</f>
        <v>-1</v>
      </c>
      <c r="BN49">
        <f t="shared" ref="BN49" si="33">+IF(BN48&lt;$J$46,$J$46/BN48-1,-1)</f>
        <v>-1</v>
      </c>
      <c r="BO49">
        <f t="shared" ref="BO49" si="34">+IF(BO48&lt;$J$46,$J$46/BO48-1,-1)</f>
        <v>-1</v>
      </c>
      <c r="BP49">
        <f t="shared" ref="BP49" si="35">+IF(BP48&lt;$J$46,$J$46/BP48-1,-1)</f>
        <v>-1</v>
      </c>
      <c r="BQ49">
        <f t="shared" ref="BQ49" si="36">+IF(BQ48&lt;$J$46,$J$46/BQ48-1,-1)</f>
        <v>-1</v>
      </c>
      <c r="BR49">
        <f t="shared" ref="BR49" si="37">+IF(BR48&lt;$J$46,$J$46/BR48-1,-1)</f>
        <v>-1</v>
      </c>
      <c r="BS49">
        <f t="shared" ref="BS49" si="38">+IF(BS48&lt;$J$46,$J$46/BS48-1,-1)</f>
        <v>-1</v>
      </c>
      <c r="BT49">
        <f t="shared" ref="BT49" si="39">+IF(BT48&lt;$J$46,$J$46/BT48-1,-1)</f>
        <v>-1</v>
      </c>
      <c r="BU49">
        <f t="shared" ref="BU49" si="40">+IF(BU48&lt;$J$46,$J$46/BU48-1,-1)</f>
        <v>-1</v>
      </c>
      <c r="BV49">
        <f t="shared" ref="BV49" si="41">+IF(BV48&lt;$J$46,$J$46/BV48-1,-1)</f>
        <v>-1</v>
      </c>
      <c r="BW49">
        <f t="shared" ref="BW49" si="42">+IF(BW48&lt;$J$46,$J$46/BW48-1,-1)</f>
        <v>-1</v>
      </c>
      <c r="BX49">
        <f t="shared" ref="BX49" si="43">+IF(BX48&lt;$J$46,$J$46/BX48-1,-1)</f>
        <v>-1</v>
      </c>
      <c r="BY49">
        <f t="shared" ref="BY49" si="44">+IF(BY48&lt;$J$46,$J$46/BY48-1,-1)</f>
        <v>-1</v>
      </c>
      <c r="BZ49">
        <f t="shared" ref="BZ49" si="45">+IF(BZ48&lt;$J$46,$J$46/BZ48-1,-1)</f>
        <v>-1</v>
      </c>
      <c r="CA49">
        <f t="shared" ref="CA49" si="46">+IF(CA48&lt;$J$46,$J$46/CA48-1,-1)</f>
        <v>-1</v>
      </c>
      <c r="CB49">
        <f t="shared" ref="CB49" si="47">+IF(CB48&lt;$J$46,$J$46/CB48-1,-1)</f>
        <v>-1</v>
      </c>
      <c r="CC49">
        <f t="shared" ref="CC49" si="48">+IF(CC48&lt;$J$46,$J$46/CC48-1,-1)</f>
        <v>-1</v>
      </c>
      <c r="CD49">
        <f t="shared" ref="CD49" si="49">+IF(CD48&lt;$J$46,$J$46/CD48-1,-1)</f>
        <v>-1</v>
      </c>
      <c r="CE49">
        <f t="shared" ref="CE49" si="50">+IF(CE48&lt;$J$46,$J$46/CE48-1,-1)</f>
        <v>-1</v>
      </c>
      <c r="CF49">
        <f t="shared" ref="CF49" si="51">+IF(CF48&lt;$J$46,$J$46/CF48-1,-1)</f>
        <v>-1</v>
      </c>
      <c r="CG49">
        <f t="shared" ref="CG49" si="52">+IF(CG48&lt;$J$46,$J$46/CG48-1,-1)</f>
        <v>-1</v>
      </c>
      <c r="CH49">
        <f t="shared" ref="CH49" si="53">+IF(CH48&lt;$J$46,$J$46/CH48-1,-1)</f>
        <v>-1</v>
      </c>
      <c r="CI49">
        <f t="shared" ref="CI49" si="54">+IF(CI48&lt;$J$46,$J$46/CI48-1,-1)</f>
        <v>-1</v>
      </c>
      <c r="CJ49">
        <f t="shared" ref="CJ49" si="55">+IF(CJ48&lt;$J$46,$J$46/CJ48-1,-1)</f>
        <v>-1</v>
      </c>
      <c r="CK49">
        <f t="shared" ref="CK49" si="56">+IF(CK48&lt;$J$46,$J$46/CK48-1,-1)</f>
        <v>-1</v>
      </c>
      <c r="CL49">
        <f t="shared" ref="CL49" si="57">+IF(CL48&lt;$J$46,$J$46/CL48-1,-1)</f>
        <v>-1</v>
      </c>
      <c r="CM49">
        <f t="shared" ref="CM49" si="58">+IF(CM48&lt;$J$46,$J$46/CM48-1,-1)</f>
        <v>-1</v>
      </c>
      <c r="CN49">
        <f t="shared" ref="CN49" si="59">+IF(CN48&lt;$J$46,$J$46/CN48-1,-1)</f>
        <v>-1</v>
      </c>
      <c r="CO49">
        <f t="shared" ref="CO49" si="60">+IF(CO48&lt;$J$46,$J$46/CO48-1,-1)</f>
        <v>-1</v>
      </c>
      <c r="CP49">
        <f t="shared" ref="CP49" si="61">+IF(CP48&lt;$J$46,$J$46/CP48-1,-1)</f>
        <v>-1</v>
      </c>
      <c r="CQ49">
        <f t="shared" ref="CQ49" si="62">+IF(CQ48&lt;$J$46,$J$46/CQ48-1,-1)</f>
        <v>-1</v>
      </c>
      <c r="CR49">
        <f t="shared" ref="CR49" si="63">+IF(CR48&lt;$J$46,$J$46/CR48-1,-1)</f>
        <v>-1</v>
      </c>
      <c r="CS49">
        <f t="shared" ref="CS49" si="64">+IF(CS48&lt;$J$46,$J$46/CS48-1,-1)</f>
        <v>-1</v>
      </c>
      <c r="CT49">
        <f t="shared" ref="CT49" si="65">+IF(CT48&lt;$J$46,$J$46/CT48-1,-1)</f>
        <v>-1</v>
      </c>
      <c r="CU49">
        <f t="shared" ref="CU49" si="66">+IF(CU48&lt;$J$46,$J$46/CU48-1,-1)</f>
        <v>-1</v>
      </c>
      <c r="CV49">
        <f t="shared" ref="CV49" si="67">+IF(CV48&lt;$J$46,$J$46/CV48-1,-1)</f>
        <v>-1</v>
      </c>
      <c r="CW49">
        <f t="shared" ref="CW49" si="68">+IF(CW48&lt;$J$46,$J$46/CW48-1,-1)</f>
        <v>-1</v>
      </c>
      <c r="CX49">
        <f t="shared" ref="CX49" si="69">+IF(CX48&lt;$J$46,$J$46/CX48-1,-1)</f>
        <v>-1</v>
      </c>
      <c r="CY49">
        <f t="shared" ref="CY49" si="70">+IF(CY48&lt;$J$46,$J$46/CY48-1,-1)</f>
        <v>-1</v>
      </c>
      <c r="CZ49">
        <f t="shared" ref="CZ49" si="71">+IF(CZ48&lt;$J$46,$J$46/CZ48-1,-1)</f>
        <v>-1</v>
      </c>
      <c r="DA49">
        <f t="shared" ref="DA49" si="72">+IF(DA48&lt;$J$46,$J$46/DA48-1,-1)</f>
        <v>-1</v>
      </c>
      <c r="DB49">
        <f t="shared" ref="DB49" si="73">+IF(DB48&lt;$J$46,$J$46/DB48-1,-1)</f>
        <v>-1</v>
      </c>
      <c r="DC49">
        <f t="shared" ref="DC49" si="74">+IF(DC48&lt;$J$46,$J$46/DC48-1,-1)</f>
        <v>-1</v>
      </c>
      <c r="DD49">
        <f t="shared" ref="DD49" si="75">+IF(DD48&lt;$J$46,$J$46/DD48-1,-1)</f>
        <v>-1</v>
      </c>
      <c r="DE49">
        <f t="shared" ref="DE49" si="76">+IF(DE48&lt;$J$46,$J$46/DE48-1,-1)</f>
        <v>-1</v>
      </c>
    </row>
    <row r="50" spans="1:109">
      <c r="A50">
        <v>25</v>
      </c>
      <c r="B50">
        <v>7.0562759999999969</v>
      </c>
      <c r="C50">
        <v>4.092331999999999</v>
      </c>
      <c r="D50">
        <v>0.12810899999999492</v>
      </c>
      <c r="E50">
        <v>6.7623779999999982</v>
      </c>
      <c r="F50">
        <v>0.44609499999999969</v>
      </c>
      <c r="I50" t="s">
        <v>217</v>
      </c>
      <c r="J50">
        <f>+J47+(J48^(-1/3))</f>
        <v>11.547196277870926</v>
      </c>
      <c r="K50">
        <f t="shared" ref="K50:BG50" si="77">+K47+(K48^(-1/3))</f>
        <v>21.528553543664398</v>
      </c>
      <c r="L50">
        <f t="shared" si="77"/>
        <v>31.510778053489524</v>
      </c>
      <c r="M50">
        <f t="shared" si="77"/>
        <v>41.493801582185725</v>
      </c>
      <c r="N50">
        <f t="shared" si="77"/>
        <v>51.477563322381627</v>
      </c>
      <c r="O50">
        <f t="shared" si="77"/>
        <v>61.462008869106434</v>
      </c>
      <c r="P50">
        <f t="shared" si="77"/>
        <v>71.447089370238729</v>
      </c>
      <c r="Q50">
        <f t="shared" si="77"/>
        <v>81.439853802490731</v>
      </c>
      <c r="R50">
        <f t="shared" si="77"/>
        <v>91.438423956661964</v>
      </c>
      <c r="S50">
        <f t="shared" si="77"/>
        <v>101.43699977359545</v>
      </c>
      <c r="T50">
        <f t="shared" si="77"/>
        <v>111.43558121416048</v>
      </c>
      <c r="U50">
        <f t="shared" si="77"/>
        <v>121.43416823961149</v>
      </c>
      <c r="V50">
        <f t="shared" si="77"/>
        <v>131.43276081158319</v>
      </c>
      <c r="W50">
        <f t="shared" si="77"/>
        <v>141.4313588920856</v>
      </c>
      <c r="X50">
        <f t="shared" si="77"/>
        <v>151.42996244349948</v>
      </c>
      <c r="Y50">
        <f t="shared" si="77"/>
        <v>161.42857142857142</v>
      </c>
      <c r="Z50">
        <f t="shared" si="77"/>
        <v>171.42718581040947</v>
      </c>
      <c r="AA50">
        <f t="shared" si="77"/>
        <v>181.42580555247838</v>
      </c>
      <c r="AB50">
        <f t="shared" si="77"/>
        <v>191.42443061859524</v>
      </c>
      <c r="AC50">
        <f t="shared" si="77"/>
        <v>201.42306097292504</v>
      </c>
      <c r="AD50">
        <f t="shared" si="77"/>
        <v>211.42169657997638</v>
      </c>
      <c r="AE50">
        <f t="shared" si="77"/>
        <v>221.42033740459718</v>
      </c>
      <c r="AF50">
        <f t="shared" si="77"/>
        <v>231.41898341197037</v>
      </c>
      <c r="AG50">
        <f t="shared" si="77"/>
        <v>241.41763456760998</v>
      </c>
      <c r="AH50">
        <f t="shared" si="77"/>
        <v>251.41629083735677</v>
      </c>
      <c r="AI50">
        <f t="shared" si="77"/>
        <v>261.41495218737447</v>
      </c>
      <c r="AJ50">
        <f t="shared" si="77"/>
        <v>271.41361858414569</v>
      </c>
      <c r="AK50">
        <f t="shared" si="77"/>
        <v>281.4122899944681</v>
      </c>
      <c r="AL50">
        <f t="shared" si="77"/>
        <v>291.41096638545042</v>
      </c>
      <c r="AM50">
        <f t="shared" si="77"/>
        <v>301.40964772450889</v>
      </c>
      <c r="AN50">
        <f t="shared" si="77"/>
        <v>311.40833397936336</v>
      </c>
      <c r="AO50">
        <f t="shared" si="77"/>
        <v>321.40702511803374</v>
      </c>
      <c r="AP50">
        <f t="shared" si="77"/>
        <v>331.40572110883625</v>
      </c>
      <c r="AQ50">
        <f t="shared" si="77"/>
        <v>341.40442192037995</v>
      </c>
      <c r="AR50">
        <f t="shared" si="77"/>
        <v>351.40312752156331</v>
      </c>
      <c r="AS50">
        <f t="shared" si="77"/>
        <v>361.40183788157054</v>
      </c>
      <c r="AT50">
        <f t="shared" si="77"/>
        <v>371.40055296986833</v>
      </c>
      <c r="AU50">
        <f t="shared" si="77"/>
        <v>381.39927275620255</v>
      </c>
      <c r="AV50">
        <f t="shared" si="77"/>
        <v>391.39799721059478</v>
      </c>
      <c r="AW50">
        <f t="shared" si="77"/>
        <v>401.39672630333916</v>
      </c>
      <c r="AX50">
        <f t="shared" si="77"/>
        <v>411.39546000499911</v>
      </c>
      <c r="AY50">
        <f t="shared" si="77"/>
        <v>421.39419828640428</v>
      </c>
      <c r="AZ50">
        <f t="shared" si="77"/>
        <v>431.39294111864734</v>
      </c>
      <c r="BA50">
        <f t="shared" si="77"/>
        <v>441.39168847308082</v>
      </c>
      <c r="BB50">
        <f t="shared" si="77"/>
        <v>451.39044032131426</v>
      </c>
      <c r="BC50">
        <f t="shared" si="77"/>
        <v>461.38919663521119</v>
      </c>
      <c r="BD50">
        <f t="shared" si="77"/>
        <v>471.387957386886</v>
      </c>
      <c r="BE50">
        <f t="shared" si="77"/>
        <v>481.38672254870124</v>
      </c>
      <c r="BF50">
        <f t="shared" si="77"/>
        <v>491.38549209326482</v>
      </c>
      <c r="BG50">
        <f t="shared" si="77"/>
        <v>501.38426599342682</v>
      </c>
      <c r="BH50">
        <f t="shared" ref="BH50:DE50" si="78">+BH47+(BH48^(-1/3))</f>
        <v>510.89885302964575</v>
      </c>
      <c r="BI50">
        <f t="shared" si="78"/>
        <v>520.74930208217211</v>
      </c>
      <c r="BJ50">
        <f t="shared" si="78"/>
        <v>530.66653503142447</v>
      </c>
      <c r="BK50">
        <f t="shared" si="78"/>
        <v>540.61132827687209</v>
      </c>
      <c r="BL50">
        <f t="shared" si="78"/>
        <v>550.57080353560525</v>
      </c>
      <c r="BM50">
        <f t="shared" si="78"/>
        <v>560.53925543095886</v>
      </c>
      <c r="BN50">
        <f t="shared" si="78"/>
        <v>570.51369665627328</v>
      </c>
      <c r="BO50">
        <f t="shared" si="78"/>
        <v>580.49238388218066</v>
      </c>
      <c r="BP50">
        <f t="shared" si="78"/>
        <v>590.47421872077632</v>
      </c>
      <c r="BQ50">
        <f t="shared" si="78"/>
        <v>600.45846838648083</v>
      </c>
      <c r="BR50">
        <f t="shared" si="78"/>
        <v>610.44462179464813</v>
      </c>
      <c r="BS50">
        <f t="shared" si="78"/>
        <v>620.43230959001437</v>
      </c>
      <c r="BT50">
        <f t="shared" si="78"/>
        <v>630.42125696158348</v>
      </c>
      <c r="BU50">
        <f t="shared" si="78"/>
        <v>640.41125441729662</v>
      </c>
      <c r="BV50">
        <f t="shared" si="78"/>
        <v>650.40213893973521</v>
      </c>
      <c r="BW50">
        <f t="shared" si="78"/>
        <v>660.39378141660484</v>
      </c>
      <c r="BX50">
        <f t="shared" si="78"/>
        <v>670.38607801022295</v>
      </c>
      <c r="BY50">
        <f t="shared" si="78"/>
        <v>680.3789440812842</v>
      </c>
      <c r="BZ50">
        <f t="shared" si="78"/>
        <v>690.37230981626465</v>
      </c>
      <c r="CA50">
        <f t="shared" si="78"/>
        <v>700.36611701949971</v>
      </c>
      <c r="CB50">
        <f t="shared" si="78"/>
        <v>710.36031671902697</v>
      </c>
      <c r="CC50">
        <f t="shared" si="78"/>
        <v>720.3548673521625</v>
      </c>
      <c r="CD50">
        <f t="shared" si="78"/>
        <v>730.34973337133306</v>
      </c>
      <c r="CE50">
        <f t="shared" si="78"/>
        <v>740.34488415937324</v>
      </c>
      <c r="CF50">
        <f t="shared" si="78"/>
        <v>750.34029317596855</v>
      </c>
      <c r="CG50">
        <f t="shared" si="78"/>
        <v>760.33593727899495</v>
      </c>
      <c r="CH50">
        <f t="shared" si="78"/>
        <v>770.33179617977066</v>
      </c>
      <c r="CI50">
        <f t="shared" si="78"/>
        <v>780.3278520019586</v>
      </c>
      <c r="CJ50">
        <f t="shared" si="78"/>
        <v>790.32408892150613</v>
      </c>
      <c r="CK50">
        <f t="shared" si="78"/>
        <v>800.32049287053007</v>
      </c>
      <c r="CL50">
        <f t="shared" si="78"/>
        <v>810.31705129209422</v>
      </c>
      <c r="CM50">
        <f t="shared" si="78"/>
        <v>820.313752935818</v>
      </c>
      <c r="CN50">
        <f t="shared" si="78"/>
        <v>830.31058768648472</v>
      </c>
      <c r="CO50">
        <f t="shared" si="78"/>
        <v>840.30754641951046</v>
      </c>
      <c r="CP50">
        <f t="shared" si="78"/>
        <v>850.30462087841534</v>
      </c>
      <c r="CQ50">
        <f t="shared" si="78"/>
        <v>860.30180357043048</v>
      </c>
      <c r="CR50">
        <f t="shared" si="78"/>
        <v>870.29908767713982</v>
      </c>
      <c r="CS50">
        <f t="shared" si="78"/>
        <v>880.29646697765122</v>
      </c>
      <c r="CT50">
        <f t="shared" si="78"/>
        <v>890.29393578226598</v>
      </c>
      <c r="CU50">
        <f t="shared" si="78"/>
        <v>900.29148887498411</v>
      </c>
      <c r="CV50">
        <f t="shared" si="78"/>
        <v>910.28912146348262</v>
      </c>
      <c r="CW50">
        <f t="shared" si="78"/>
        <v>920.28682913544048</v>
      </c>
      <c r="CX50">
        <f t="shared" si="78"/>
        <v>930.28460782027651</v>
      </c>
      <c r="CY50">
        <f t="shared" si="78"/>
        <v>940.28245375552069</v>
      </c>
      <c r="CZ50">
        <f t="shared" si="78"/>
        <v>950.28036345716862</v>
      </c>
      <c r="DA50">
        <f t="shared" si="78"/>
        <v>960.27833369347059</v>
      </c>
      <c r="DB50">
        <f t="shared" si="78"/>
        <v>970.27636146169164</v>
      </c>
      <c r="DC50">
        <f t="shared" si="78"/>
        <v>980.27444396745352</v>
      </c>
      <c r="DD50">
        <f t="shared" si="78"/>
        <v>990.27257860632187</v>
      </c>
      <c r="DE50">
        <f t="shared" si="78"/>
        <v>1000.2707629473572</v>
      </c>
    </row>
    <row r="51" spans="1:109">
      <c r="B51">
        <v>0</v>
      </c>
      <c r="C51">
        <v>0</v>
      </c>
      <c r="D51">
        <v>0</v>
      </c>
      <c r="E51">
        <v>0</v>
      </c>
      <c r="F51">
        <v>1.9633469999999988</v>
      </c>
      <c r="I51" s="83" t="s">
        <v>213</v>
      </c>
      <c r="J51" s="105">
        <f>+IF(J49&lt;0,J50,J52)</f>
        <v>7988.4528037221289</v>
      </c>
      <c r="K51" s="105">
        <f t="shared" ref="K51:BG51" si="79">+IF(K49&lt;0,K50,K52)</f>
        <v>7978.4714464563358</v>
      </c>
      <c r="L51" s="105">
        <f t="shared" si="79"/>
        <v>7968.48922194651</v>
      </c>
      <c r="M51" s="105">
        <f t="shared" si="79"/>
        <v>7958.5061984178146</v>
      </c>
      <c r="N51" s="105">
        <f t="shared" si="79"/>
        <v>7948.5224366776183</v>
      </c>
      <c r="O51" s="105">
        <f t="shared" si="79"/>
        <v>7938.5379911308937</v>
      </c>
      <c r="P51" s="105">
        <f t="shared" si="79"/>
        <v>7928.5529106297608</v>
      </c>
      <c r="Q51" s="105">
        <f t="shared" si="79"/>
        <v>7918.5601461975093</v>
      </c>
      <c r="R51" s="105">
        <f t="shared" si="79"/>
        <v>7908.5615760433384</v>
      </c>
      <c r="S51" s="105">
        <f t="shared" si="79"/>
        <v>7898.5630002264043</v>
      </c>
      <c r="T51" s="105">
        <f t="shared" si="79"/>
        <v>7888.5644187858397</v>
      </c>
      <c r="U51" s="105">
        <f t="shared" si="79"/>
        <v>7878.5658317603884</v>
      </c>
      <c r="V51" s="105">
        <f t="shared" si="79"/>
        <v>7868.5672391884173</v>
      </c>
      <c r="W51" s="105">
        <f t="shared" si="79"/>
        <v>7858.5686411079141</v>
      </c>
      <c r="X51" s="105">
        <f t="shared" si="79"/>
        <v>7848.5700375565002</v>
      </c>
      <c r="Y51" s="105">
        <f t="shared" si="79"/>
        <v>7838.5714285714284</v>
      </c>
      <c r="Z51" s="105">
        <f t="shared" si="79"/>
        <v>7828.5728141895906</v>
      </c>
      <c r="AA51" s="105">
        <f t="shared" si="79"/>
        <v>7818.5741944475212</v>
      </c>
      <c r="AB51" s="105">
        <f t="shared" si="79"/>
        <v>7808.5755693814044</v>
      </c>
      <c r="AC51" s="105">
        <f t="shared" si="79"/>
        <v>7798.5769390270752</v>
      </c>
      <c r="AD51" s="105">
        <f t="shared" si="79"/>
        <v>7788.578303420024</v>
      </c>
      <c r="AE51" s="105">
        <f t="shared" si="79"/>
        <v>7778.5796625954026</v>
      </c>
      <c r="AF51" s="105">
        <f t="shared" si="79"/>
        <v>231.41898341197037</v>
      </c>
      <c r="AG51" s="105">
        <f t="shared" si="79"/>
        <v>241.41763456760998</v>
      </c>
      <c r="AH51" s="105">
        <f t="shared" si="79"/>
        <v>251.41629083735677</v>
      </c>
      <c r="AI51" s="105">
        <f t="shared" si="79"/>
        <v>261.41495218737447</v>
      </c>
      <c r="AJ51" s="105">
        <f t="shared" si="79"/>
        <v>271.41361858414569</v>
      </c>
      <c r="AK51" s="105">
        <f t="shared" si="79"/>
        <v>281.4122899944681</v>
      </c>
      <c r="AL51" s="105">
        <f t="shared" si="79"/>
        <v>291.41096638545042</v>
      </c>
      <c r="AM51" s="105">
        <f t="shared" si="79"/>
        <v>301.40964772450889</v>
      </c>
      <c r="AN51" s="105">
        <f t="shared" si="79"/>
        <v>311.40833397936336</v>
      </c>
      <c r="AO51" s="105">
        <f t="shared" si="79"/>
        <v>321.40702511803374</v>
      </c>
      <c r="AP51" s="105">
        <f t="shared" si="79"/>
        <v>331.40572110883625</v>
      </c>
      <c r="AQ51" s="105">
        <f t="shared" si="79"/>
        <v>341.40442192037995</v>
      </c>
      <c r="AR51" s="105">
        <f t="shared" si="79"/>
        <v>351.40312752156331</v>
      </c>
      <c r="AS51" s="105">
        <f t="shared" si="79"/>
        <v>361.40183788157054</v>
      </c>
      <c r="AT51" s="105">
        <f t="shared" si="79"/>
        <v>371.40055296986833</v>
      </c>
      <c r="AU51" s="105">
        <f t="shared" si="79"/>
        <v>381.39927275620255</v>
      </c>
      <c r="AV51" s="105">
        <f t="shared" si="79"/>
        <v>391.39799721059478</v>
      </c>
      <c r="AW51" s="105">
        <f t="shared" si="79"/>
        <v>401.39672630333916</v>
      </c>
      <c r="AX51" s="105">
        <f t="shared" si="79"/>
        <v>411.39546000499911</v>
      </c>
      <c r="AY51" s="105">
        <f t="shared" si="79"/>
        <v>421.39419828640428</v>
      </c>
      <c r="AZ51" s="105">
        <f t="shared" si="79"/>
        <v>431.39294111864734</v>
      </c>
      <c r="BA51" s="105">
        <f t="shared" si="79"/>
        <v>441.39168847308082</v>
      </c>
      <c r="BB51" s="105">
        <f t="shared" si="79"/>
        <v>451.39044032131426</v>
      </c>
      <c r="BC51" s="105">
        <f t="shared" si="79"/>
        <v>461.38919663521119</v>
      </c>
      <c r="BD51" s="105">
        <f t="shared" si="79"/>
        <v>471.387957386886</v>
      </c>
      <c r="BE51" s="105">
        <f t="shared" si="79"/>
        <v>481.38672254870124</v>
      </c>
      <c r="BF51" s="105">
        <f t="shared" si="79"/>
        <v>491.38549209326482</v>
      </c>
      <c r="BG51" s="105">
        <f t="shared" si="79"/>
        <v>501.38426599342682</v>
      </c>
      <c r="BH51" s="105">
        <f t="shared" ref="BH51" si="80">+IF(BH49&lt;0,BH50,BH52)</f>
        <v>510.89885302964575</v>
      </c>
      <c r="BI51" s="105">
        <f t="shared" ref="BI51" si="81">+IF(BI49&lt;0,BI50,BI52)</f>
        <v>520.74930208217211</v>
      </c>
      <c r="BJ51" s="105">
        <f t="shared" ref="BJ51" si="82">+IF(BJ49&lt;0,BJ50,BJ52)</f>
        <v>530.66653503142447</v>
      </c>
      <c r="BK51" s="105">
        <f t="shared" ref="BK51" si="83">+IF(BK49&lt;0,BK50,BK52)</f>
        <v>540.61132827687209</v>
      </c>
      <c r="BL51" s="105">
        <f t="shared" ref="BL51" si="84">+IF(BL49&lt;0,BL50,BL52)</f>
        <v>550.57080353560525</v>
      </c>
      <c r="BM51" s="105">
        <f t="shared" ref="BM51" si="85">+IF(BM49&lt;0,BM50,BM52)</f>
        <v>560.53925543095886</v>
      </c>
      <c r="BN51" s="105">
        <f t="shared" ref="BN51" si="86">+IF(BN49&lt;0,BN50,BN52)</f>
        <v>570.51369665627328</v>
      </c>
      <c r="BO51" s="105">
        <f t="shared" ref="BO51" si="87">+IF(BO49&lt;0,BO50,BO52)</f>
        <v>580.49238388218066</v>
      </c>
      <c r="BP51" s="105">
        <f t="shared" ref="BP51" si="88">+IF(BP49&lt;0,BP50,BP52)</f>
        <v>590.47421872077632</v>
      </c>
      <c r="BQ51" s="105">
        <f t="shared" ref="BQ51" si="89">+IF(BQ49&lt;0,BQ50,BQ52)</f>
        <v>600.45846838648083</v>
      </c>
      <c r="BR51" s="105">
        <f t="shared" ref="BR51" si="90">+IF(BR49&lt;0,BR50,BR52)</f>
        <v>610.44462179464813</v>
      </c>
      <c r="BS51" s="105">
        <f t="shared" ref="BS51" si="91">+IF(BS49&lt;0,BS50,BS52)</f>
        <v>620.43230959001437</v>
      </c>
      <c r="BT51" s="105">
        <f t="shared" ref="BT51" si="92">+IF(BT49&lt;0,BT50,BT52)</f>
        <v>630.42125696158348</v>
      </c>
      <c r="BU51" s="105">
        <f t="shared" ref="BU51" si="93">+IF(BU49&lt;0,BU50,BU52)</f>
        <v>640.41125441729662</v>
      </c>
      <c r="BV51" s="105">
        <f t="shared" ref="BV51" si="94">+IF(BV49&lt;0,BV50,BV52)</f>
        <v>650.40213893973521</v>
      </c>
      <c r="BW51" s="105">
        <f t="shared" ref="BW51" si="95">+IF(BW49&lt;0,BW50,BW52)</f>
        <v>660.39378141660484</v>
      </c>
      <c r="BX51" s="105">
        <f t="shared" ref="BX51" si="96">+IF(BX49&lt;0,BX50,BX52)</f>
        <v>670.38607801022295</v>
      </c>
      <c r="BY51" s="105">
        <f t="shared" ref="BY51" si="97">+IF(BY49&lt;0,BY50,BY52)</f>
        <v>680.3789440812842</v>
      </c>
      <c r="BZ51" s="105">
        <f t="shared" ref="BZ51" si="98">+IF(BZ49&lt;0,BZ50,BZ52)</f>
        <v>690.37230981626465</v>
      </c>
      <c r="CA51" s="105">
        <f t="shared" ref="CA51" si="99">+IF(CA49&lt;0,CA50,CA52)</f>
        <v>700.36611701949971</v>
      </c>
      <c r="CB51" s="105">
        <f t="shared" ref="CB51" si="100">+IF(CB49&lt;0,CB50,CB52)</f>
        <v>710.36031671902697</v>
      </c>
      <c r="CC51" s="105">
        <f t="shared" ref="CC51" si="101">+IF(CC49&lt;0,CC50,CC52)</f>
        <v>720.3548673521625</v>
      </c>
      <c r="CD51" s="105">
        <f t="shared" ref="CD51" si="102">+IF(CD49&lt;0,CD50,CD52)</f>
        <v>730.34973337133306</v>
      </c>
      <c r="CE51" s="105">
        <f t="shared" ref="CE51" si="103">+IF(CE49&lt;0,CE50,CE52)</f>
        <v>740.34488415937324</v>
      </c>
      <c r="CF51" s="105">
        <f t="shared" ref="CF51" si="104">+IF(CF49&lt;0,CF50,CF52)</f>
        <v>750.34029317596855</v>
      </c>
      <c r="CG51" s="105">
        <f t="shared" ref="CG51" si="105">+IF(CG49&lt;0,CG50,CG52)</f>
        <v>760.33593727899495</v>
      </c>
      <c r="CH51" s="105">
        <f t="shared" ref="CH51" si="106">+IF(CH49&lt;0,CH50,CH52)</f>
        <v>770.33179617977066</v>
      </c>
      <c r="CI51" s="105">
        <f t="shared" ref="CI51" si="107">+IF(CI49&lt;0,CI50,CI52)</f>
        <v>780.3278520019586</v>
      </c>
      <c r="CJ51" s="105">
        <f t="shared" ref="CJ51" si="108">+IF(CJ49&lt;0,CJ50,CJ52)</f>
        <v>790.32408892150613</v>
      </c>
      <c r="CK51" s="105">
        <f t="shared" ref="CK51" si="109">+IF(CK49&lt;0,CK50,CK52)</f>
        <v>800.32049287053007</v>
      </c>
      <c r="CL51" s="105">
        <f t="shared" ref="CL51" si="110">+IF(CL49&lt;0,CL50,CL52)</f>
        <v>810.31705129209422</v>
      </c>
      <c r="CM51" s="105">
        <f t="shared" ref="CM51" si="111">+IF(CM49&lt;0,CM50,CM52)</f>
        <v>820.313752935818</v>
      </c>
      <c r="CN51" s="105">
        <f t="shared" ref="CN51" si="112">+IF(CN49&lt;0,CN50,CN52)</f>
        <v>830.31058768648472</v>
      </c>
      <c r="CO51" s="105">
        <f t="shared" ref="CO51" si="113">+IF(CO49&lt;0,CO50,CO52)</f>
        <v>840.30754641951046</v>
      </c>
      <c r="CP51" s="105">
        <f t="shared" ref="CP51" si="114">+IF(CP49&lt;0,CP50,CP52)</f>
        <v>850.30462087841534</v>
      </c>
      <c r="CQ51" s="105">
        <f t="shared" ref="CQ51" si="115">+IF(CQ49&lt;0,CQ50,CQ52)</f>
        <v>860.30180357043048</v>
      </c>
      <c r="CR51" s="105">
        <f t="shared" ref="CR51" si="116">+IF(CR49&lt;0,CR50,CR52)</f>
        <v>870.29908767713982</v>
      </c>
      <c r="CS51" s="105">
        <f t="shared" ref="CS51" si="117">+IF(CS49&lt;0,CS50,CS52)</f>
        <v>880.29646697765122</v>
      </c>
      <c r="CT51" s="105">
        <f t="shared" ref="CT51" si="118">+IF(CT49&lt;0,CT50,CT52)</f>
        <v>890.29393578226598</v>
      </c>
      <c r="CU51" s="105">
        <f t="shared" ref="CU51" si="119">+IF(CU49&lt;0,CU50,CU52)</f>
        <v>900.29148887498411</v>
      </c>
      <c r="CV51" s="105">
        <f t="shared" ref="CV51" si="120">+IF(CV49&lt;0,CV50,CV52)</f>
        <v>910.28912146348262</v>
      </c>
      <c r="CW51" s="105">
        <f t="shared" ref="CW51" si="121">+IF(CW49&lt;0,CW50,CW52)</f>
        <v>920.28682913544048</v>
      </c>
      <c r="CX51" s="105">
        <f t="shared" ref="CX51" si="122">+IF(CX49&lt;0,CX50,CX52)</f>
        <v>930.28460782027651</v>
      </c>
      <c r="CY51" s="105">
        <f t="shared" ref="CY51" si="123">+IF(CY49&lt;0,CY50,CY52)</f>
        <v>940.28245375552069</v>
      </c>
      <c r="CZ51" s="105">
        <f t="shared" ref="CZ51" si="124">+IF(CZ49&lt;0,CZ50,CZ52)</f>
        <v>950.28036345716862</v>
      </c>
      <c r="DA51" s="105">
        <f t="shared" ref="DA51" si="125">+IF(DA49&lt;0,DA50,DA52)</f>
        <v>960.27833369347059</v>
      </c>
      <c r="DB51" s="105">
        <f t="shared" ref="DB51" si="126">+IF(DB49&lt;0,DB50,DB52)</f>
        <v>970.27636146169164</v>
      </c>
      <c r="DC51" s="105">
        <f t="shared" ref="DC51" si="127">+IF(DC49&lt;0,DC50,DC52)</f>
        <v>980.27444396745352</v>
      </c>
      <c r="DD51" s="105">
        <f t="shared" ref="DD51" si="128">+IF(DD49&lt;0,DD50,DD52)</f>
        <v>990.27257860632187</v>
      </c>
      <c r="DE51" s="105">
        <f t="shared" ref="DE51" si="129">+IF(DE49&lt;0,DE50,DE52)</f>
        <v>1000.2707629473572</v>
      </c>
    </row>
    <row r="52" spans="1:109">
      <c r="A52">
        <v>26</v>
      </c>
      <c r="B52">
        <v>1.0659629999999964</v>
      </c>
      <c r="C52">
        <v>3.1397150000000025</v>
      </c>
      <c r="D52">
        <v>0.27382000000000062</v>
      </c>
      <c r="E52">
        <v>2.4094419999999985</v>
      </c>
      <c r="F52">
        <v>4.8850709999999964</v>
      </c>
      <c r="I52" t="s">
        <v>216</v>
      </c>
      <c r="J52">
        <f>($J$45*$J$44)/$J$43-J47-(J48^(-1/3))</f>
        <v>7988.4528037221289</v>
      </c>
      <c r="K52">
        <f t="shared" ref="K52:BV52" si="130">($J$45*$J$44)/$J$43-K47-(K48^(-1/3))</f>
        <v>7978.4714464563358</v>
      </c>
      <c r="L52">
        <f t="shared" si="130"/>
        <v>7968.48922194651</v>
      </c>
      <c r="M52">
        <f t="shared" si="130"/>
        <v>7958.5061984178146</v>
      </c>
      <c r="N52">
        <f t="shared" si="130"/>
        <v>7948.5224366776183</v>
      </c>
      <c r="O52">
        <f t="shared" si="130"/>
        <v>7938.5379911308937</v>
      </c>
      <c r="P52">
        <f t="shared" si="130"/>
        <v>7928.5529106297608</v>
      </c>
      <c r="Q52">
        <f t="shared" si="130"/>
        <v>7918.5601461975093</v>
      </c>
      <c r="R52">
        <f t="shared" si="130"/>
        <v>7908.5615760433384</v>
      </c>
      <c r="S52">
        <f t="shared" si="130"/>
        <v>7898.5630002264043</v>
      </c>
      <c r="T52">
        <f t="shared" si="130"/>
        <v>7888.5644187858397</v>
      </c>
      <c r="U52">
        <f t="shared" si="130"/>
        <v>7878.5658317603884</v>
      </c>
      <c r="V52">
        <f t="shared" si="130"/>
        <v>7868.5672391884173</v>
      </c>
      <c r="W52">
        <f t="shared" si="130"/>
        <v>7858.5686411079141</v>
      </c>
      <c r="X52">
        <f t="shared" si="130"/>
        <v>7848.5700375565002</v>
      </c>
      <c r="Y52">
        <f t="shared" si="130"/>
        <v>7838.5714285714284</v>
      </c>
      <c r="Z52">
        <f t="shared" si="130"/>
        <v>7828.5728141895906</v>
      </c>
      <c r="AA52">
        <f t="shared" si="130"/>
        <v>7818.5741944475212</v>
      </c>
      <c r="AB52">
        <f t="shared" si="130"/>
        <v>7808.5755693814044</v>
      </c>
      <c r="AC52">
        <f t="shared" si="130"/>
        <v>7798.5769390270752</v>
      </c>
      <c r="AD52">
        <f t="shared" si="130"/>
        <v>7788.578303420024</v>
      </c>
      <c r="AE52">
        <f t="shared" si="130"/>
        <v>7778.5796625954026</v>
      </c>
      <c r="AF52">
        <f t="shared" si="130"/>
        <v>7768.5810165880293</v>
      </c>
      <c r="AG52">
        <f t="shared" si="130"/>
        <v>7758.5823654323904</v>
      </c>
      <c r="AH52">
        <f t="shared" si="130"/>
        <v>7748.5837091626436</v>
      </c>
      <c r="AI52">
        <f t="shared" si="130"/>
        <v>7738.5850478126258</v>
      </c>
      <c r="AJ52">
        <f t="shared" si="130"/>
        <v>7728.5863814158547</v>
      </c>
      <c r="AK52">
        <f t="shared" si="130"/>
        <v>7718.5877100055322</v>
      </c>
      <c r="AL52">
        <f t="shared" si="130"/>
        <v>7708.5890336145494</v>
      </c>
      <c r="AM52">
        <f t="shared" si="130"/>
        <v>7698.5903522754907</v>
      </c>
      <c r="AN52">
        <f t="shared" si="130"/>
        <v>7688.5916660206367</v>
      </c>
      <c r="AO52">
        <f t="shared" si="130"/>
        <v>7678.5929748819663</v>
      </c>
      <c r="AP52">
        <f t="shared" si="130"/>
        <v>7668.5942788911634</v>
      </c>
      <c r="AQ52">
        <f t="shared" si="130"/>
        <v>7658.5955780796203</v>
      </c>
      <c r="AR52">
        <f t="shared" si="130"/>
        <v>7648.596872478437</v>
      </c>
      <c r="AS52">
        <f t="shared" si="130"/>
        <v>7638.5981621184292</v>
      </c>
      <c r="AT52">
        <f t="shared" si="130"/>
        <v>7628.5994470301321</v>
      </c>
      <c r="AU52">
        <f t="shared" si="130"/>
        <v>7618.6007272437973</v>
      </c>
      <c r="AV52">
        <f t="shared" si="130"/>
        <v>7608.6020027894056</v>
      </c>
      <c r="AW52">
        <f t="shared" si="130"/>
        <v>7598.6032736966608</v>
      </c>
      <c r="AX52">
        <f t="shared" si="130"/>
        <v>7588.6045399950008</v>
      </c>
      <c r="AY52">
        <f t="shared" si="130"/>
        <v>7578.6058017135956</v>
      </c>
      <c r="AZ52">
        <f t="shared" si="130"/>
        <v>7568.6070588813527</v>
      </c>
      <c r="BA52">
        <f t="shared" si="130"/>
        <v>7558.6083115269194</v>
      </c>
      <c r="BB52">
        <f t="shared" si="130"/>
        <v>7548.6095596786854</v>
      </c>
      <c r="BC52">
        <f t="shared" si="130"/>
        <v>7538.6108033647888</v>
      </c>
      <c r="BD52">
        <f t="shared" si="130"/>
        <v>7528.6120426131138</v>
      </c>
      <c r="BE52">
        <f t="shared" si="130"/>
        <v>7518.6132774512989</v>
      </c>
      <c r="BF52">
        <f t="shared" si="130"/>
        <v>7508.6145079067355</v>
      </c>
      <c r="BG52">
        <f t="shared" si="130"/>
        <v>7498.6157340065729</v>
      </c>
      <c r="BH52">
        <f t="shared" si="130"/>
        <v>7489.1011469703544</v>
      </c>
      <c r="BI52">
        <f t="shared" si="130"/>
        <v>7479.2506979178279</v>
      </c>
      <c r="BJ52">
        <f t="shared" si="130"/>
        <v>7469.3334649685758</v>
      </c>
      <c r="BK52">
        <f t="shared" si="130"/>
        <v>7459.388671723128</v>
      </c>
      <c r="BL52">
        <f t="shared" si="130"/>
        <v>7449.4291964643944</v>
      </c>
      <c r="BM52">
        <f t="shared" si="130"/>
        <v>7439.4607445690408</v>
      </c>
      <c r="BN52">
        <f t="shared" si="130"/>
        <v>7429.4863033437268</v>
      </c>
      <c r="BO52">
        <f t="shared" si="130"/>
        <v>7419.5076161178195</v>
      </c>
      <c r="BP52">
        <f t="shared" si="130"/>
        <v>7409.5257812792233</v>
      </c>
      <c r="BQ52">
        <f t="shared" si="130"/>
        <v>7399.5415316135195</v>
      </c>
      <c r="BR52">
        <f t="shared" si="130"/>
        <v>7389.5553782053521</v>
      </c>
      <c r="BS52">
        <f t="shared" si="130"/>
        <v>7379.5676904099855</v>
      </c>
      <c r="BT52">
        <f t="shared" si="130"/>
        <v>7369.5787430384162</v>
      </c>
      <c r="BU52">
        <f t="shared" si="130"/>
        <v>7359.5887455827033</v>
      </c>
      <c r="BV52">
        <f t="shared" si="130"/>
        <v>7349.5978610602651</v>
      </c>
      <c r="BW52">
        <f t="shared" ref="BW52:DE52" si="131">($J$45*$J$44)/$J$43-BW47-(BW48^(-1/3))</f>
        <v>7339.6062185833953</v>
      </c>
      <c r="BX52">
        <f t="shared" si="131"/>
        <v>7329.6139219897768</v>
      </c>
      <c r="BY52">
        <f t="shared" si="131"/>
        <v>7319.6210559187157</v>
      </c>
      <c r="BZ52">
        <f t="shared" si="131"/>
        <v>7309.6276901837355</v>
      </c>
      <c r="CA52">
        <f t="shared" si="131"/>
        <v>7299.6338829804999</v>
      </c>
      <c r="CB52">
        <f t="shared" si="131"/>
        <v>7289.6396832809733</v>
      </c>
      <c r="CC52">
        <f t="shared" si="131"/>
        <v>7279.6451326478373</v>
      </c>
      <c r="CD52">
        <f t="shared" si="131"/>
        <v>7269.6502666286669</v>
      </c>
      <c r="CE52">
        <f t="shared" si="131"/>
        <v>7259.6551158406264</v>
      </c>
      <c r="CF52">
        <f t="shared" si="131"/>
        <v>7249.6597068240317</v>
      </c>
      <c r="CG52">
        <f t="shared" si="131"/>
        <v>7239.6640627210054</v>
      </c>
      <c r="CH52">
        <f t="shared" si="131"/>
        <v>7229.6682038202298</v>
      </c>
      <c r="CI52">
        <f t="shared" si="131"/>
        <v>7219.6721479980415</v>
      </c>
      <c r="CJ52">
        <f t="shared" si="131"/>
        <v>7209.6759110784942</v>
      </c>
      <c r="CK52">
        <f t="shared" si="131"/>
        <v>7199.67950712947</v>
      </c>
      <c r="CL52">
        <f t="shared" si="131"/>
        <v>7189.6829487079058</v>
      </c>
      <c r="CM52">
        <f t="shared" si="131"/>
        <v>7179.6862470641818</v>
      </c>
      <c r="CN52">
        <f t="shared" si="131"/>
        <v>7169.6894123135153</v>
      </c>
      <c r="CO52">
        <f t="shared" si="131"/>
        <v>7159.6924535804892</v>
      </c>
      <c r="CP52">
        <f t="shared" si="131"/>
        <v>7149.6953791215847</v>
      </c>
      <c r="CQ52">
        <f t="shared" si="131"/>
        <v>7139.6981964295692</v>
      </c>
      <c r="CR52">
        <f t="shared" si="131"/>
        <v>7129.7009123228599</v>
      </c>
      <c r="CS52">
        <f t="shared" si="131"/>
        <v>7119.7035330223489</v>
      </c>
      <c r="CT52">
        <f t="shared" si="131"/>
        <v>7109.7060642177339</v>
      </c>
      <c r="CU52">
        <f t="shared" si="131"/>
        <v>7099.7085111250162</v>
      </c>
      <c r="CV52">
        <f t="shared" si="131"/>
        <v>7089.7108785365172</v>
      </c>
      <c r="CW52">
        <f t="shared" si="131"/>
        <v>7079.7131708645593</v>
      </c>
      <c r="CX52">
        <f t="shared" si="131"/>
        <v>7069.7153921797235</v>
      </c>
      <c r="CY52">
        <f t="shared" si="131"/>
        <v>7059.7175462444793</v>
      </c>
      <c r="CZ52">
        <f t="shared" si="131"/>
        <v>7049.7196365428317</v>
      </c>
      <c r="DA52">
        <f t="shared" si="131"/>
        <v>7039.7216663065292</v>
      </c>
      <c r="DB52">
        <f t="shared" si="131"/>
        <v>7029.7236385383085</v>
      </c>
      <c r="DC52">
        <f t="shared" si="131"/>
        <v>7019.7255560325466</v>
      </c>
      <c r="DD52">
        <f t="shared" si="131"/>
        <v>7009.727421393678</v>
      </c>
      <c r="DE52">
        <f t="shared" si="131"/>
        <v>6999.7292370526429</v>
      </c>
    </row>
    <row r="53" spans="1:109">
      <c r="B53">
        <v>0</v>
      </c>
      <c r="C53">
        <v>0</v>
      </c>
      <c r="D53">
        <v>0</v>
      </c>
      <c r="E53">
        <v>0</v>
      </c>
      <c r="F53">
        <v>0</v>
      </c>
    </row>
    <row r="54" spans="1:109">
      <c r="A54">
        <v>27</v>
      </c>
      <c r="B54">
        <v>5.1576140000000024</v>
      </c>
      <c r="C54">
        <v>1.604261000000001</v>
      </c>
      <c r="D54">
        <v>1.5245489999999933</v>
      </c>
      <c r="E54">
        <v>0.17917900000000486</v>
      </c>
      <c r="F54">
        <v>0.71275699999999631</v>
      </c>
    </row>
    <row r="55" spans="1:109">
      <c r="B55">
        <v>0</v>
      </c>
      <c r="C55">
        <v>0</v>
      </c>
      <c r="D55">
        <v>0</v>
      </c>
      <c r="E55">
        <v>0</v>
      </c>
      <c r="F55">
        <v>0</v>
      </c>
    </row>
    <row r="56" spans="1:109">
      <c r="A56">
        <v>28</v>
      </c>
      <c r="B56">
        <v>2.8284489999999991</v>
      </c>
      <c r="C56">
        <v>2.6870289999999954</v>
      </c>
      <c r="D56">
        <v>0.74896900000000244</v>
      </c>
      <c r="E56">
        <v>0.43965300000000695</v>
      </c>
      <c r="F56">
        <v>1.0430999999999955</v>
      </c>
    </row>
    <row r="57" spans="1:109">
      <c r="B57">
        <v>0</v>
      </c>
      <c r="C57">
        <v>0</v>
      </c>
      <c r="D57">
        <v>1.7349000000000103</v>
      </c>
      <c r="E57">
        <v>0</v>
      </c>
      <c r="F57">
        <v>0</v>
      </c>
    </row>
    <row r="58" spans="1:109">
      <c r="A58">
        <v>29</v>
      </c>
      <c r="B58">
        <v>0.17797199999999691</v>
      </c>
      <c r="C58">
        <v>4.065291000000002</v>
      </c>
      <c r="D58">
        <v>5.7812289999999962</v>
      </c>
      <c r="E58">
        <v>0.31716500000000281</v>
      </c>
      <c r="F58">
        <v>0.48211399999999571</v>
      </c>
    </row>
    <row r="59" spans="1:109">
      <c r="B59">
        <v>0</v>
      </c>
      <c r="C59">
        <v>0</v>
      </c>
      <c r="D59">
        <v>0</v>
      </c>
      <c r="E59">
        <v>0.46416699999997491</v>
      </c>
      <c r="F59">
        <v>0</v>
      </c>
    </row>
    <row r="60" spans="1:109">
      <c r="A60">
        <v>30</v>
      </c>
      <c r="B60">
        <v>0.46722100000000211</v>
      </c>
      <c r="C60">
        <v>1.6738189999999946</v>
      </c>
      <c r="D60">
        <v>2.1031689999999941</v>
      </c>
      <c r="E60">
        <v>1.0648680000000041</v>
      </c>
      <c r="F60">
        <v>0.92732200000000375</v>
      </c>
    </row>
    <row r="61" spans="1:109">
      <c r="B61">
        <v>0</v>
      </c>
      <c r="C61">
        <v>0</v>
      </c>
      <c r="D61">
        <v>0</v>
      </c>
      <c r="E61">
        <v>0</v>
      </c>
      <c r="F61">
        <v>0</v>
      </c>
    </row>
    <row r="62" spans="1:109">
      <c r="A62">
        <v>31</v>
      </c>
      <c r="B62">
        <v>1.2415469999999971</v>
      </c>
      <c r="C62">
        <v>1.4253209999999967</v>
      </c>
      <c r="D62">
        <v>0.23203399999999874</v>
      </c>
      <c r="E62">
        <v>0.54702699999999993</v>
      </c>
      <c r="F62">
        <v>2.9598809999999958</v>
      </c>
    </row>
    <row r="63" spans="1:109">
      <c r="B63">
        <v>0</v>
      </c>
      <c r="C63">
        <v>0</v>
      </c>
      <c r="D63">
        <v>0</v>
      </c>
      <c r="E63">
        <v>0.14879299999999773</v>
      </c>
      <c r="F63">
        <v>0</v>
      </c>
    </row>
    <row r="64" spans="1:109">
      <c r="A64">
        <v>32</v>
      </c>
      <c r="B64">
        <v>2.5771709999999999</v>
      </c>
      <c r="C64">
        <v>0.67383700000000601</v>
      </c>
      <c r="D64">
        <v>1.5286540000000031</v>
      </c>
      <c r="E64">
        <v>3.8548710000000028</v>
      </c>
      <c r="F64">
        <v>0.10681800000000408</v>
      </c>
    </row>
    <row r="65" spans="1:6">
      <c r="B65">
        <v>0</v>
      </c>
      <c r="C65">
        <v>0</v>
      </c>
      <c r="D65">
        <v>0</v>
      </c>
      <c r="E65">
        <v>0</v>
      </c>
      <c r="F65">
        <v>0</v>
      </c>
    </row>
    <row r="66" spans="1:6">
      <c r="A66">
        <v>33</v>
      </c>
      <c r="B66">
        <v>0.47128000000000014</v>
      </c>
      <c r="C66">
        <v>0.8426589999999976</v>
      </c>
      <c r="D66">
        <v>0.96228999999999587</v>
      </c>
      <c r="E66">
        <v>3.8380829999999975</v>
      </c>
      <c r="F66">
        <v>1.9829809999999952</v>
      </c>
    </row>
    <row r="67" spans="1:6">
      <c r="B67">
        <v>0</v>
      </c>
      <c r="C67">
        <v>0</v>
      </c>
      <c r="D67">
        <v>0</v>
      </c>
      <c r="E67">
        <v>0</v>
      </c>
      <c r="F67">
        <v>2.6328490000000073</v>
      </c>
    </row>
    <row r="68" spans="1:6">
      <c r="A68">
        <v>34</v>
      </c>
      <c r="B68">
        <v>1.5207219999999992</v>
      </c>
      <c r="C68">
        <v>2.9311280000000011</v>
      </c>
      <c r="D68">
        <v>0.32305599999999401</v>
      </c>
      <c r="E68">
        <v>4.8790869999999984</v>
      </c>
      <c r="F68">
        <v>0.37668800000000147</v>
      </c>
    </row>
    <row r="69" spans="1:6">
      <c r="B69">
        <v>0</v>
      </c>
      <c r="C69">
        <v>0</v>
      </c>
      <c r="D69">
        <v>0</v>
      </c>
      <c r="E69">
        <v>0</v>
      </c>
      <c r="F69">
        <v>0.8099770000000035</v>
      </c>
    </row>
    <row r="70" spans="1:6">
      <c r="A70">
        <v>35</v>
      </c>
      <c r="B70">
        <v>1.1715510000000009</v>
      </c>
      <c r="C70">
        <v>1.7300560000000047</v>
      </c>
      <c r="D70">
        <v>1.111305999999999</v>
      </c>
      <c r="E70">
        <v>1.186665000000005</v>
      </c>
      <c r="F70">
        <v>1.7587299999999999</v>
      </c>
    </row>
    <row r="71" spans="1:6">
      <c r="B71">
        <v>0</v>
      </c>
      <c r="C71">
        <v>0</v>
      </c>
      <c r="D71">
        <v>0</v>
      </c>
      <c r="E71">
        <v>0</v>
      </c>
      <c r="F71">
        <v>0</v>
      </c>
    </row>
    <row r="72" spans="1:6">
      <c r="A72">
        <v>36</v>
      </c>
      <c r="B72">
        <v>2.1728730000000027</v>
      </c>
      <c r="C72">
        <v>0.71936399999999878</v>
      </c>
      <c r="D72">
        <v>8.4845040000000012</v>
      </c>
      <c r="E72">
        <v>1.5914970000000039</v>
      </c>
      <c r="F72">
        <v>2.3196020000000033</v>
      </c>
    </row>
    <row r="73" spans="1:6">
      <c r="B73">
        <v>0</v>
      </c>
      <c r="C73">
        <v>0</v>
      </c>
      <c r="D73">
        <v>0</v>
      </c>
      <c r="E73">
        <v>0</v>
      </c>
      <c r="F73">
        <v>0.74705699999999808</v>
      </c>
    </row>
    <row r="74" spans="1:6">
      <c r="A74">
        <v>37</v>
      </c>
      <c r="B74">
        <v>2.8183400000000063</v>
      </c>
      <c r="C74">
        <v>0.20088599999999701</v>
      </c>
      <c r="D74">
        <v>0.97266500000000633</v>
      </c>
      <c r="E74">
        <v>3.2338919999999973</v>
      </c>
      <c r="F74">
        <v>2.6351480000000009</v>
      </c>
    </row>
    <row r="75" spans="1:6">
      <c r="B75">
        <v>0</v>
      </c>
      <c r="C75">
        <v>0</v>
      </c>
      <c r="D75">
        <v>0</v>
      </c>
      <c r="E75">
        <v>0</v>
      </c>
      <c r="F75">
        <v>0</v>
      </c>
    </row>
    <row r="76" spans="1:6">
      <c r="A76">
        <v>38</v>
      </c>
      <c r="B76">
        <v>0.64925599999999406</v>
      </c>
      <c r="C76">
        <v>1.0024149999999992</v>
      </c>
      <c r="D76">
        <v>0.60009599999999352</v>
      </c>
      <c r="E76">
        <v>1.5463879999999932</v>
      </c>
      <c r="F76">
        <v>1.7142010000000028</v>
      </c>
    </row>
    <row r="77" spans="1:6">
      <c r="B77">
        <v>0</v>
      </c>
      <c r="C77">
        <v>0</v>
      </c>
      <c r="D77">
        <v>0</v>
      </c>
      <c r="E77">
        <v>0</v>
      </c>
      <c r="F77">
        <v>0</v>
      </c>
    </row>
    <row r="78" spans="1:6">
      <c r="A78">
        <v>39</v>
      </c>
      <c r="B78">
        <v>4.2468029999999999</v>
      </c>
      <c r="C78">
        <v>3.272593999999998</v>
      </c>
      <c r="D78">
        <v>0.99921199999999999</v>
      </c>
      <c r="E78">
        <v>1.5507460000000037</v>
      </c>
      <c r="F78">
        <v>1.121571000000003</v>
      </c>
    </row>
    <row r="79" spans="1:6">
      <c r="B79">
        <v>0</v>
      </c>
      <c r="C79">
        <v>0</v>
      </c>
      <c r="D79">
        <v>0</v>
      </c>
      <c r="E79">
        <v>0</v>
      </c>
      <c r="F79">
        <v>0</v>
      </c>
    </row>
    <row r="80" spans="1:6">
      <c r="A80">
        <v>40</v>
      </c>
      <c r="B80">
        <v>0.8271699999999953</v>
      </c>
      <c r="C80">
        <v>2.786327</v>
      </c>
      <c r="D80">
        <v>2.1268950000000046</v>
      </c>
      <c r="E80">
        <v>0.87709099999999296</v>
      </c>
      <c r="F80">
        <v>1.5926269999999931</v>
      </c>
    </row>
    <row r="81" spans="1:6">
      <c r="B81">
        <v>0</v>
      </c>
      <c r="C81">
        <v>0</v>
      </c>
      <c r="D81">
        <v>0</v>
      </c>
      <c r="E81">
        <v>0</v>
      </c>
      <c r="F81">
        <v>0</v>
      </c>
    </row>
    <row r="82" spans="1:6">
      <c r="A82">
        <v>41</v>
      </c>
      <c r="B82">
        <v>1.3947380000000038</v>
      </c>
      <c r="C82">
        <v>3.2779000000000025</v>
      </c>
      <c r="D82">
        <v>4.431326999999996</v>
      </c>
      <c r="E82">
        <v>0.93545899999999449</v>
      </c>
      <c r="F82">
        <v>0.58633199999999874</v>
      </c>
    </row>
    <row r="83" spans="1:6">
      <c r="B83">
        <v>0</v>
      </c>
      <c r="C83">
        <v>0</v>
      </c>
      <c r="D83">
        <v>0</v>
      </c>
      <c r="E83">
        <v>0</v>
      </c>
      <c r="F83">
        <v>0</v>
      </c>
    </row>
    <row r="84" spans="1:6">
      <c r="A84">
        <v>42</v>
      </c>
      <c r="B84">
        <v>1.3902669999999944</v>
      </c>
      <c r="C84">
        <v>0.56742099999999596</v>
      </c>
      <c r="D84">
        <v>0.20750499999999761</v>
      </c>
      <c r="E84">
        <v>1.8923800000000028</v>
      </c>
      <c r="F84">
        <v>0.83097499999999513</v>
      </c>
    </row>
    <row r="85" spans="1:6">
      <c r="B85">
        <v>0</v>
      </c>
      <c r="C85">
        <v>0</v>
      </c>
      <c r="D85">
        <v>0</v>
      </c>
      <c r="E85">
        <v>0</v>
      </c>
      <c r="F85">
        <v>0</v>
      </c>
    </row>
    <row r="86" spans="1:6">
      <c r="A86">
        <v>43</v>
      </c>
      <c r="B86">
        <v>1.678377999999995</v>
      </c>
      <c r="C86">
        <v>1.1931260000000066</v>
      </c>
      <c r="D86">
        <v>0.96019800000000544</v>
      </c>
      <c r="E86">
        <v>0.39007800000000259</v>
      </c>
      <c r="F86">
        <v>0.12920699999999385</v>
      </c>
    </row>
    <row r="87" spans="1:6">
      <c r="B87">
        <v>0</v>
      </c>
      <c r="C87">
        <v>0</v>
      </c>
      <c r="D87">
        <v>0</v>
      </c>
      <c r="E87">
        <v>0</v>
      </c>
      <c r="F87">
        <v>0</v>
      </c>
    </row>
    <row r="88" spans="1:6">
      <c r="A88">
        <v>44</v>
      </c>
      <c r="B88">
        <v>0.22774400000000128</v>
      </c>
      <c r="C88">
        <v>0.15813199999999483</v>
      </c>
      <c r="D88">
        <v>1.035230999999996</v>
      </c>
      <c r="E88">
        <v>6.8845999999993523E-2</v>
      </c>
      <c r="F88">
        <v>1.6205810000000014</v>
      </c>
    </row>
    <row r="89" spans="1:6">
      <c r="B89">
        <v>0</v>
      </c>
      <c r="C89">
        <v>0</v>
      </c>
      <c r="D89">
        <v>0</v>
      </c>
      <c r="E89">
        <v>0</v>
      </c>
      <c r="F89">
        <v>0</v>
      </c>
    </row>
    <row r="90" spans="1:6">
      <c r="A90">
        <v>45</v>
      </c>
      <c r="B90">
        <v>0.14530999999999494</v>
      </c>
      <c r="C90">
        <v>0.32510499999999354</v>
      </c>
      <c r="D90">
        <v>0.28805499999999995</v>
      </c>
      <c r="E90">
        <v>0.28311999999999671</v>
      </c>
      <c r="F90">
        <v>0.49995199999999329</v>
      </c>
    </row>
    <row r="91" spans="1:6">
      <c r="B91">
        <v>0</v>
      </c>
      <c r="C91">
        <v>0</v>
      </c>
      <c r="D91">
        <v>0</v>
      </c>
      <c r="E91">
        <v>0</v>
      </c>
      <c r="F91">
        <v>0</v>
      </c>
    </row>
    <row r="92" spans="1:6">
      <c r="A92">
        <v>46</v>
      </c>
      <c r="B92">
        <v>0.32853400000000477</v>
      </c>
      <c r="C92">
        <v>0.73473099999999647</v>
      </c>
      <c r="D92">
        <v>2.510579000000007</v>
      </c>
      <c r="E92">
        <v>2.4064580000000007</v>
      </c>
      <c r="F92">
        <v>0.63590700000000311</v>
      </c>
    </row>
    <row r="93" spans="1:6">
      <c r="B93">
        <v>0</v>
      </c>
      <c r="C93">
        <v>0</v>
      </c>
      <c r="D93">
        <v>0</v>
      </c>
      <c r="E93">
        <v>0</v>
      </c>
      <c r="F93">
        <v>0</v>
      </c>
    </row>
    <row r="94" spans="1:6">
      <c r="A94">
        <v>47</v>
      </c>
      <c r="B94">
        <v>0.55967300000000364</v>
      </c>
      <c r="C94">
        <v>6.9315459999999973</v>
      </c>
      <c r="D94">
        <v>2.3240820000000042</v>
      </c>
      <c r="E94">
        <v>0.93685200000000179</v>
      </c>
      <c r="F94">
        <v>1.8928939999999983</v>
      </c>
    </row>
    <row r="95" spans="1:6">
      <c r="B95">
        <v>0</v>
      </c>
      <c r="C95">
        <v>0</v>
      </c>
      <c r="D95">
        <v>0</v>
      </c>
      <c r="E95">
        <v>0</v>
      </c>
      <c r="F95">
        <v>0.38324500000000228</v>
      </c>
    </row>
    <row r="96" spans="1:6">
      <c r="A96">
        <v>48</v>
      </c>
      <c r="B96">
        <v>2.2157739999999961</v>
      </c>
      <c r="C96">
        <v>0.46205199999999991</v>
      </c>
      <c r="D96">
        <v>1.1791419999999988</v>
      </c>
      <c r="E96">
        <v>2.7552220000000034</v>
      </c>
      <c r="F96">
        <v>2.0405990000000003</v>
      </c>
    </row>
    <row r="97" spans="1:6">
      <c r="B97">
        <v>0</v>
      </c>
      <c r="C97">
        <v>0</v>
      </c>
      <c r="D97">
        <v>0</v>
      </c>
      <c r="E97">
        <v>0</v>
      </c>
      <c r="F97">
        <v>1.5358719999999977</v>
      </c>
    </row>
    <row r="98" spans="1:6">
      <c r="A98">
        <v>49</v>
      </c>
      <c r="B98">
        <v>0.56507700000000227</v>
      </c>
      <c r="C98">
        <v>0.29809400000000608</v>
      </c>
      <c r="D98">
        <v>1.8855980000000017</v>
      </c>
      <c r="E98">
        <v>3.576470999999998</v>
      </c>
      <c r="F98">
        <v>1.6505650000000003</v>
      </c>
    </row>
    <row r="99" spans="1:6">
      <c r="B99">
        <v>0</v>
      </c>
      <c r="C99">
        <v>0</v>
      </c>
      <c r="D99">
        <v>0</v>
      </c>
      <c r="E99">
        <v>0</v>
      </c>
      <c r="F99">
        <v>0</v>
      </c>
    </row>
    <row r="100" spans="1:6">
      <c r="A100">
        <v>50</v>
      </c>
      <c r="B100">
        <v>0.84036399999999389</v>
      </c>
      <c r="C100">
        <v>1.5070089999999965</v>
      </c>
      <c r="D100">
        <v>0.6318859999999944</v>
      </c>
      <c r="E100">
        <v>0.99148399999999981</v>
      </c>
      <c r="F100">
        <v>0.70294900000000382</v>
      </c>
    </row>
    <row r="101" spans="1:6">
      <c r="B101">
        <v>0</v>
      </c>
      <c r="C101">
        <v>0</v>
      </c>
      <c r="D101">
        <v>0</v>
      </c>
      <c r="E101">
        <v>0</v>
      </c>
      <c r="F101">
        <v>0.54837799999999959</v>
      </c>
    </row>
    <row r="102" spans="1:6">
      <c r="A102">
        <v>51</v>
      </c>
      <c r="B102">
        <v>10.049221000000003</v>
      </c>
      <c r="C102">
        <v>0.33778599999999415</v>
      </c>
      <c r="D102">
        <v>0.53983499999999651</v>
      </c>
      <c r="E102">
        <v>1.9104080000000039</v>
      </c>
      <c r="F102">
        <v>3.5193090000000069</v>
      </c>
    </row>
    <row r="103" spans="1:6">
      <c r="B103">
        <v>0</v>
      </c>
      <c r="C103">
        <v>0</v>
      </c>
      <c r="D103">
        <v>0</v>
      </c>
      <c r="E103">
        <v>0</v>
      </c>
      <c r="F103">
        <v>0</v>
      </c>
    </row>
    <row r="104" spans="1:6">
      <c r="A104">
        <v>52</v>
      </c>
      <c r="B104">
        <v>2.9319109999999995</v>
      </c>
      <c r="C104">
        <v>2.3702849999999955</v>
      </c>
      <c r="D104">
        <v>0.398145999999997</v>
      </c>
      <c r="E104">
        <v>0.83390500000000145</v>
      </c>
      <c r="F104">
        <v>4.6139960000000002</v>
      </c>
    </row>
    <row r="105" spans="1:6">
      <c r="B105">
        <v>0</v>
      </c>
      <c r="C105">
        <v>0</v>
      </c>
      <c r="D105">
        <v>0</v>
      </c>
      <c r="E105">
        <v>0</v>
      </c>
      <c r="F105">
        <v>0</v>
      </c>
    </row>
    <row r="106" spans="1:6">
      <c r="A106">
        <v>53</v>
      </c>
      <c r="B106">
        <v>1.7663519999999977</v>
      </c>
      <c r="C106">
        <v>3.8226870000000019</v>
      </c>
      <c r="D106">
        <v>0.42781300000000044</v>
      </c>
      <c r="E106">
        <v>0.53640900000000613</v>
      </c>
      <c r="F106">
        <v>0.15307299999999202</v>
      </c>
    </row>
    <row r="107" spans="1:6">
      <c r="B107">
        <v>0</v>
      </c>
      <c r="C107">
        <v>0</v>
      </c>
      <c r="D107">
        <v>0</v>
      </c>
      <c r="E107">
        <v>0</v>
      </c>
      <c r="F107">
        <v>0</v>
      </c>
    </row>
    <row r="108" spans="1:6">
      <c r="A108">
        <v>54</v>
      </c>
      <c r="B108">
        <v>0.92196199999999351</v>
      </c>
      <c r="C108">
        <v>2.3395749999999964</v>
      </c>
      <c r="D108">
        <v>1.7719589999999954</v>
      </c>
      <c r="E108">
        <v>0.36915000000000475</v>
      </c>
      <c r="F108">
        <v>0.91647399999999379</v>
      </c>
    </row>
    <row r="109" spans="1:6">
      <c r="B109">
        <v>0</v>
      </c>
      <c r="C109">
        <v>0</v>
      </c>
      <c r="D109">
        <v>0</v>
      </c>
      <c r="E109">
        <v>0</v>
      </c>
      <c r="F109">
        <v>0</v>
      </c>
    </row>
    <row r="110" spans="1:6">
      <c r="A110">
        <v>55</v>
      </c>
      <c r="B110">
        <v>0.47439900000000534</v>
      </c>
      <c r="C110">
        <v>1.0488349999999969</v>
      </c>
      <c r="D110">
        <v>0.35066299999999728</v>
      </c>
      <c r="E110">
        <v>0.8241610000000037</v>
      </c>
      <c r="F110">
        <v>0.42909000000000219</v>
      </c>
    </row>
    <row r="111" spans="1:6">
      <c r="B111">
        <v>0</v>
      </c>
      <c r="C111">
        <v>0</v>
      </c>
      <c r="D111">
        <v>0</v>
      </c>
      <c r="E111">
        <v>0</v>
      </c>
      <c r="F111">
        <v>0</v>
      </c>
    </row>
    <row r="112" spans="1:6">
      <c r="A112">
        <v>56</v>
      </c>
      <c r="B112">
        <v>0.61486700000000383</v>
      </c>
      <c r="C112">
        <v>1.2956190000000021</v>
      </c>
      <c r="D112">
        <v>0.85118099999999686</v>
      </c>
      <c r="E112">
        <v>3.4643429999999995</v>
      </c>
      <c r="F112">
        <v>0.78102100000000974</v>
      </c>
    </row>
    <row r="113" spans="1:6">
      <c r="B113">
        <v>0</v>
      </c>
      <c r="C113">
        <v>0</v>
      </c>
      <c r="D113">
        <v>0</v>
      </c>
      <c r="E113">
        <v>0</v>
      </c>
      <c r="F113">
        <v>0</v>
      </c>
    </row>
    <row r="114" spans="1:6">
      <c r="A114">
        <v>57</v>
      </c>
      <c r="B114">
        <v>2.3129770000000036</v>
      </c>
      <c r="C114">
        <v>0.83770199999999306</v>
      </c>
      <c r="D114">
        <v>0.21342699999999581</v>
      </c>
      <c r="E114">
        <v>2.3794280000000043</v>
      </c>
      <c r="F114">
        <v>12.594129000000009</v>
      </c>
    </row>
    <row r="115" spans="1:6">
      <c r="B115">
        <v>0</v>
      </c>
      <c r="C115">
        <v>0</v>
      </c>
      <c r="D115">
        <v>2.8972369999999898</v>
      </c>
      <c r="E115">
        <v>0</v>
      </c>
      <c r="F115">
        <v>0</v>
      </c>
    </row>
    <row r="116" spans="1:6">
      <c r="A116">
        <v>58</v>
      </c>
      <c r="B116">
        <v>6.4870679999999936</v>
      </c>
      <c r="C116">
        <v>3.3629629999999935</v>
      </c>
      <c r="D116">
        <v>0.14215099999999836</v>
      </c>
      <c r="E116">
        <v>1.6668860000000052</v>
      </c>
      <c r="F116">
        <v>0.94263000000000829</v>
      </c>
    </row>
    <row r="117" spans="1:6">
      <c r="B117">
        <v>0</v>
      </c>
      <c r="C117">
        <v>0</v>
      </c>
      <c r="D117">
        <v>0.90173199999999554</v>
      </c>
      <c r="E117">
        <v>0</v>
      </c>
      <c r="F117">
        <v>0</v>
      </c>
    </row>
    <row r="118" spans="1:6">
      <c r="A118">
        <v>59</v>
      </c>
      <c r="B118">
        <v>0.18875900000000456</v>
      </c>
      <c r="C118">
        <v>1.0438829999999939</v>
      </c>
      <c r="D118">
        <v>2.2801599999999951</v>
      </c>
      <c r="E118">
        <v>0.43461600000000544</v>
      </c>
      <c r="F118">
        <v>1.062373000000008</v>
      </c>
    </row>
    <row r="119" spans="1:6">
      <c r="B119">
        <v>0</v>
      </c>
      <c r="C119">
        <v>0</v>
      </c>
      <c r="D119">
        <v>7.3872489999999971</v>
      </c>
      <c r="E119">
        <v>1.3308149999999159</v>
      </c>
      <c r="F119">
        <v>0</v>
      </c>
    </row>
    <row r="120" spans="1:6">
      <c r="A120">
        <v>60</v>
      </c>
      <c r="B120">
        <v>0.50790399999999636</v>
      </c>
      <c r="C120">
        <v>9.6674089999999921</v>
      </c>
      <c r="D120">
        <v>1.349630999999988</v>
      </c>
      <c r="E120">
        <v>7.2386459999999886</v>
      </c>
      <c r="F120">
        <v>1.9206819999999993</v>
      </c>
    </row>
    <row r="121" spans="1:6">
      <c r="B121">
        <v>0</v>
      </c>
      <c r="C121">
        <v>0</v>
      </c>
      <c r="D121">
        <v>1.0592670000000055</v>
      </c>
      <c r="E121">
        <v>6.0398000000020602E-2</v>
      </c>
      <c r="F121">
        <v>0</v>
      </c>
    </row>
    <row r="122" spans="1:6">
      <c r="A122">
        <v>61</v>
      </c>
      <c r="B122">
        <v>0.83581800000000328</v>
      </c>
      <c r="C122">
        <v>2.4088979999999935</v>
      </c>
      <c r="D122">
        <v>6.2397770000000037</v>
      </c>
      <c r="E122">
        <v>3.7521989999999903</v>
      </c>
      <c r="F122">
        <v>1.5630610000000047</v>
      </c>
    </row>
    <row r="123" spans="1:6">
      <c r="B123">
        <v>0</v>
      </c>
      <c r="C123">
        <v>0</v>
      </c>
      <c r="D123">
        <v>0</v>
      </c>
      <c r="E123">
        <v>0</v>
      </c>
      <c r="F123">
        <v>0</v>
      </c>
    </row>
    <row r="124" spans="1:6">
      <c r="A124">
        <v>62</v>
      </c>
      <c r="B124">
        <v>0.14036000000000115</v>
      </c>
      <c r="C124">
        <v>1.8739490000000103</v>
      </c>
      <c r="D124">
        <v>0.11606100000000197</v>
      </c>
      <c r="E124">
        <v>0.83801399999998694</v>
      </c>
      <c r="F124">
        <v>2.1142920000000061</v>
      </c>
    </row>
    <row r="125" spans="1:6">
      <c r="B125">
        <v>0</v>
      </c>
      <c r="C125">
        <v>0</v>
      </c>
      <c r="D125">
        <v>0</v>
      </c>
      <c r="E125">
        <v>0</v>
      </c>
      <c r="F125">
        <v>0</v>
      </c>
    </row>
    <row r="126" spans="1:6">
      <c r="A126">
        <v>63</v>
      </c>
      <c r="B126">
        <v>1.8844480000000061</v>
      </c>
      <c r="C126">
        <v>1.1714069999999879</v>
      </c>
      <c r="D126">
        <v>0.43376100000000406</v>
      </c>
      <c r="E126">
        <v>0.21382900000000404</v>
      </c>
      <c r="F126">
        <v>0.69695500000000266</v>
      </c>
    </row>
    <row r="127" spans="1:6">
      <c r="B127">
        <v>0</v>
      </c>
      <c r="C127">
        <v>0</v>
      </c>
      <c r="D127">
        <v>0</v>
      </c>
      <c r="E127">
        <v>0</v>
      </c>
      <c r="F127">
        <v>0</v>
      </c>
    </row>
    <row r="128" spans="1:6">
      <c r="A128">
        <v>64</v>
      </c>
      <c r="B128">
        <v>1.9427550000000053</v>
      </c>
      <c r="C128">
        <v>0.53493900000000849</v>
      </c>
      <c r="D128">
        <v>0.4485740000000078</v>
      </c>
      <c r="E128">
        <v>4.5341640000000041</v>
      </c>
      <c r="F128">
        <v>0.90154599999999618</v>
      </c>
    </row>
    <row r="129" spans="1:6">
      <c r="B129">
        <v>0</v>
      </c>
      <c r="C129">
        <v>0</v>
      </c>
      <c r="D129">
        <v>0</v>
      </c>
      <c r="E129">
        <v>0</v>
      </c>
      <c r="F129">
        <v>0</v>
      </c>
    </row>
    <row r="130" spans="1:6">
      <c r="A130">
        <v>65</v>
      </c>
      <c r="B130">
        <v>1.7017689999999988</v>
      </c>
      <c r="C130">
        <v>1.5578539999999919</v>
      </c>
      <c r="D130">
        <v>1.1761940000000095</v>
      </c>
      <c r="E130">
        <v>0.4041740000000118</v>
      </c>
      <c r="F130">
        <v>0.87873700000000099</v>
      </c>
    </row>
    <row r="131" spans="1:6">
      <c r="B131">
        <v>0</v>
      </c>
      <c r="C131">
        <v>0</v>
      </c>
      <c r="D131">
        <v>0</v>
      </c>
      <c r="E131">
        <v>0</v>
      </c>
      <c r="F131">
        <v>0</v>
      </c>
    </row>
    <row r="132" spans="1:6">
      <c r="A132">
        <v>66</v>
      </c>
      <c r="B132">
        <v>0.90785999999999945</v>
      </c>
      <c r="C132">
        <v>1.0129279999999881</v>
      </c>
      <c r="D132">
        <v>2.0219219999999893</v>
      </c>
      <c r="E132">
        <v>0.73271299999998973</v>
      </c>
      <c r="F132">
        <v>2.0521339999999952</v>
      </c>
    </row>
    <row r="133" spans="1:6">
      <c r="B133">
        <v>0</v>
      </c>
      <c r="C133">
        <v>0</v>
      </c>
      <c r="D133">
        <v>0</v>
      </c>
      <c r="E133">
        <v>0</v>
      </c>
      <c r="F133">
        <v>0</v>
      </c>
    </row>
    <row r="134" spans="1:6">
      <c r="A134">
        <v>67</v>
      </c>
      <c r="B134">
        <v>8.8537999999999784E-2</v>
      </c>
      <c r="C134">
        <v>1.0384789999999953</v>
      </c>
      <c r="D134">
        <v>0.82380299999999806</v>
      </c>
      <c r="E134">
        <v>2.7683150000000012</v>
      </c>
      <c r="F134">
        <v>0.13256000000001222</v>
      </c>
    </row>
    <row r="135" spans="1:6">
      <c r="B135">
        <v>0</v>
      </c>
      <c r="C135">
        <v>0</v>
      </c>
      <c r="D135">
        <v>0</v>
      </c>
      <c r="E135">
        <v>0</v>
      </c>
      <c r="F135">
        <v>0</v>
      </c>
    </row>
    <row r="136" spans="1:6">
      <c r="A136">
        <v>68</v>
      </c>
      <c r="B136">
        <v>5.1705730000000045</v>
      </c>
      <c r="C136">
        <v>0.81281699999999546</v>
      </c>
      <c r="D136">
        <v>0.74651199999999562</v>
      </c>
      <c r="E136">
        <v>0.65882199999998647</v>
      </c>
      <c r="F136">
        <v>0.11924999999999386</v>
      </c>
    </row>
    <row r="137" spans="1:6">
      <c r="B137">
        <v>0</v>
      </c>
      <c r="C137">
        <v>0</v>
      </c>
      <c r="D137">
        <v>0</v>
      </c>
      <c r="E137">
        <v>0</v>
      </c>
      <c r="F137">
        <v>0</v>
      </c>
    </row>
    <row r="138" spans="1:6">
      <c r="A138">
        <v>69</v>
      </c>
      <c r="B138">
        <v>11.050407000000007</v>
      </c>
      <c r="C138">
        <v>0.3412879999999916</v>
      </c>
      <c r="D138">
        <v>2.7769759999999906</v>
      </c>
      <c r="E138">
        <v>1.4672060000000045</v>
      </c>
      <c r="F138">
        <v>1.2066719999999975</v>
      </c>
    </row>
    <row r="139" spans="1:6">
      <c r="B139">
        <v>0</v>
      </c>
      <c r="C139">
        <v>0</v>
      </c>
      <c r="D139">
        <v>0</v>
      </c>
      <c r="E139">
        <v>2.566882000000021</v>
      </c>
      <c r="F139">
        <v>0.7410649999999066</v>
      </c>
    </row>
    <row r="140" spans="1:6">
      <c r="A140">
        <v>70</v>
      </c>
      <c r="B140">
        <v>2.7366079999999897</v>
      </c>
      <c r="C140">
        <v>1.9982630000000086</v>
      </c>
      <c r="D140">
        <v>9.3925150000000031</v>
      </c>
      <c r="E140">
        <v>0.26397399999999038</v>
      </c>
      <c r="F140">
        <v>1.7585060000000112</v>
      </c>
    </row>
    <row r="141" spans="1:6">
      <c r="B141">
        <v>0</v>
      </c>
      <c r="C141">
        <v>0</v>
      </c>
      <c r="D141">
        <v>0</v>
      </c>
      <c r="E141">
        <v>0.42245600000001104</v>
      </c>
      <c r="F141">
        <v>3.7074580000000026</v>
      </c>
    </row>
    <row r="142" spans="1:6">
      <c r="A142">
        <v>71</v>
      </c>
      <c r="B142">
        <v>0.17141300000000115</v>
      </c>
      <c r="C142">
        <v>0.96874199999999178</v>
      </c>
      <c r="D142">
        <v>0.68643000000000143</v>
      </c>
      <c r="E142">
        <v>5.0435080000000028</v>
      </c>
      <c r="F142">
        <v>2.6865319999999997</v>
      </c>
    </row>
    <row r="143" spans="1:6">
      <c r="B143">
        <v>0</v>
      </c>
      <c r="C143">
        <v>0</v>
      </c>
      <c r="D143">
        <v>0</v>
      </c>
      <c r="E143">
        <v>0</v>
      </c>
      <c r="F143">
        <v>0</v>
      </c>
    </row>
    <row r="144" spans="1:6">
      <c r="A144">
        <v>72</v>
      </c>
      <c r="B144">
        <v>1.3889550000000099</v>
      </c>
      <c r="C144">
        <v>0.28760900000000333</v>
      </c>
      <c r="D144">
        <v>1.1825699999999983</v>
      </c>
      <c r="E144">
        <v>1.8820839999999919</v>
      </c>
      <c r="F144">
        <v>0.55012199999998757</v>
      </c>
    </row>
    <row r="145" spans="1:6">
      <c r="B145">
        <v>0</v>
      </c>
      <c r="C145">
        <v>0</v>
      </c>
      <c r="D145">
        <v>0</v>
      </c>
      <c r="E145">
        <v>0</v>
      </c>
      <c r="F145">
        <v>0</v>
      </c>
    </row>
    <row r="146" spans="1:6">
      <c r="A146">
        <v>73</v>
      </c>
      <c r="B146">
        <v>0.69261800000001017</v>
      </c>
      <c r="C146">
        <v>1.0859429999999861</v>
      </c>
      <c r="D146">
        <v>0.40370699999999715</v>
      </c>
      <c r="E146">
        <v>4.4792000000001053E-2</v>
      </c>
      <c r="F146">
        <v>0.2555240000000083</v>
      </c>
    </row>
    <row r="147" spans="1:6">
      <c r="B147">
        <v>0</v>
      </c>
      <c r="C147">
        <v>0</v>
      </c>
      <c r="D147">
        <v>0</v>
      </c>
      <c r="E147">
        <v>0</v>
      </c>
      <c r="F147">
        <v>2.8438759999999945</v>
      </c>
    </row>
    <row r="148" spans="1:6">
      <c r="A148">
        <v>74</v>
      </c>
      <c r="B148">
        <v>0.36609699999999634</v>
      </c>
      <c r="C148">
        <v>0.41306099999999901</v>
      </c>
      <c r="D148">
        <v>0.9617849999999919</v>
      </c>
      <c r="E148">
        <v>4.4091779999999972</v>
      </c>
      <c r="F148">
        <v>4.8240570000000105</v>
      </c>
    </row>
    <row r="149" spans="1:6">
      <c r="B149">
        <v>0</v>
      </c>
      <c r="C149">
        <v>0</v>
      </c>
      <c r="D149">
        <v>0</v>
      </c>
      <c r="E149">
        <v>0</v>
      </c>
      <c r="F149">
        <v>0</v>
      </c>
    </row>
    <row r="150" spans="1:6">
      <c r="A150">
        <v>75</v>
      </c>
      <c r="B150">
        <v>0.15947299999999132</v>
      </c>
      <c r="C150">
        <v>10.051005000000004</v>
      </c>
      <c r="D150">
        <v>1.3744399999999928</v>
      </c>
      <c r="E150">
        <v>0.58156299999998851</v>
      </c>
      <c r="F150">
        <v>0.70686900000001174</v>
      </c>
    </row>
    <row r="151" spans="1:6">
      <c r="B151">
        <v>0</v>
      </c>
      <c r="C151">
        <v>0</v>
      </c>
      <c r="D151">
        <v>0</v>
      </c>
      <c r="E151">
        <v>0</v>
      </c>
      <c r="F151">
        <v>0</v>
      </c>
    </row>
    <row r="152" spans="1:6">
      <c r="A152">
        <v>76</v>
      </c>
      <c r="B152">
        <v>0.4924000000000035</v>
      </c>
      <c r="C152">
        <v>0.41923600000001215</v>
      </c>
      <c r="D152">
        <v>2.3786670000000072</v>
      </c>
      <c r="E152">
        <v>0.5519119999999873</v>
      </c>
      <c r="F152">
        <v>0.8897269999999935</v>
      </c>
    </row>
    <row r="153" spans="1:6">
      <c r="B153">
        <v>0</v>
      </c>
      <c r="C153">
        <v>0</v>
      </c>
      <c r="D153">
        <v>0</v>
      </c>
      <c r="E153">
        <v>0</v>
      </c>
      <c r="F153">
        <v>0</v>
      </c>
    </row>
    <row r="154" spans="1:6">
      <c r="A154">
        <v>77</v>
      </c>
      <c r="B154">
        <v>3.6757000000000062</v>
      </c>
      <c r="C154">
        <v>0.5831009999999992</v>
      </c>
      <c r="D154">
        <v>0.54249300000000744</v>
      </c>
      <c r="E154">
        <v>3.1322790000000111</v>
      </c>
      <c r="F154">
        <v>1.557659000000001</v>
      </c>
    </row>
    <row r="155" spans="1:6">
      <c r="B155">
        <v>0</v>
      </c>
      <c r="C155">
        <v>0</v>
      </c>
      <c r="D155">
        <v>0</v>
      </c>
      <c r="E155">
        <v>0</v>
      </c>
      <c r="F155">
        <v>2.008135999999979</v>
      </c>
    </row>
    <row r="156" spans="1:6">
      <c r="A156">
        <v>78</v>
      </c>
      <c r="B156">
        <v>2.1322600000000023</v>
      </c>
      <c r="C156">
        <v>0.22144900000000689</v>
      </c>
      <c r="D156">
        <v>0.62725100000000111</v>
      </c>
      <c r="E156">
        <v>5.7206940000000088</v>
      </c>
      <c r="F156">
        <v>1.1092099999999903</v>
      </c>
    </row>
    <row r="157" spans="1:6">
      <c r="B157">
        <v>0</v>
      </c>
      <c r="C157">
        <v>0</v>
      </c>
      <c r="D157">
        <v>0</v>
      </c>
      <c r="E157">
        <v>0</v>
      </c>
      <c r="F157">
        <v>3.8816340000000196</v>
      </c>
    </row>
    <row r="158" spans="1:6">
      <c r="A158">
        <v>79</v>
      </c>
      <c r="B158">
        <v>1.8035659999999893</v>
      </c>
      <c r="C158">
        <v>1.7968199999999968</v>
      </c>
      <c r="D158">
        <v>0.80220099999999661</v>
      </c>
      <c r="E158">
        <v>4.9908440000000098</v>
      </c>
      <c r="F158">
        <v>0.57465199999998617</v>
      </c>
    </row>
    <row r="159" spans="1:6">
      <c r="B159">
        <v>0</v>
      </c>
      <c r="C159">
        <v>0</v>
      </c>
      <c r="D159">
        <v>0</v>
      </c>
      <c r="E159">
        <v>0</v>
      </c>
      <c r="F159">
        <v>1.9319240000000093</v>
      </c>
    </row>
    <row r="160" spans="1:6">
      <c r="A160">
        <v>80</v>
      </c>
      <c r="B160">
        <v>0.86512200000001371</v>
      </c>
      <c r="C160">
        <v>0.18085600000000568</v>
      </c>
      <c r="D160">
        <v>7.9714529999999968</v>
      </c>
      <c r="E160">
        <v>2.5065759999999955</v>
      </c>
      <c r="F160">
        <v>2.3978710000000092</v>
      </c>
    </row>
    <row r="161" spans="1:6">
      <c r="B161">
        <v>0</v>
      </c>
      <c r="C161">
        <v>0</v>
      </c>
      <c r="D161">
        <v>0</v>
      </c>
      <c r="E161">
        <v>0</v>
      </c>
      <c r="F161">
        <v>0</v>
      </c>
    </row>
    <row r="162" spans="1:6">
      <c r="A162">
        <v>81</v>
      </c>
      <c r="B162">
        <v>1.3032589999999971</v>
      </c>
      <c r="C162">
        <v>1.2419050000000027</v>
      </c>
      <c r="D162">
        <v>7.652938000000006</v>
      </c>
      <c r="E162">
        <v>0.60766699999999219</v>
      </c>
      <c r="F162">
        <v>0.51773600000001352</v>
      </c>
    </row>
    <row r="163" spans="1:6">
      <c r="B163">
        <v>0</v>
      </c>
      <c r="C163">
        <v>0</v>
      </c>
      <c r="D163">
        <v>0</v>
      </c>
      <c r="E163">
        <v>9.814500000001658E-2</v>
      </c>
      <c r="F163">
        <v>1.3554459999999722</v>
      </c>
    </row>
    <row r="164" spans="1:6">
      <c r="A164">
        <v>82</v>
      </c>
      <c r="B164">
        <v>6.3271540000000073</v>
      </c>
      <c r="C164">
        <v>1.1255510000000015</v>
      </c>
      <c r="D164">
        <v>5.6717370000000074</v>
      </c>
      <c r="E164">
        <v>3.5652409999999861</v>
      </c>
      <c r="F164">
        <v>8.6955999999986489E-2</v>
      </c>
    </row>
    <row r="165" spans="1:6">
      <c r="B165">
        <v>0</v>
      </c>
      <c r="C165">
        <v>0</v>
      </c>
      <c r="D165">
        <v>0</v>
      </c>
      <c r="E165">
        <v>0</v>
      </c>
      <c r="F165">
        <v>0.56419700000000716</v>
      </c>
    </row>
    <row r="166" spans="1:6">
      <c r="A166">
        <v>83</v>
      </c>
      <c r="B166">
        <v>2.2142910000000029</v>
      </c>
      <c r="C166">
        <v>1.1664429999999868</v>
      </c>
      <c r="D166">
        <v>0.66538600000001225</v>
      </c>
      <c r="E166">
        <v>0.65115299999999365</v>
      </c>
      <c r="F166">
        <v>3.414324999999991</v>
      </c>
    </row>
    <row r="167" spans="1:6">
      <c r="B167">
        <v>0</v>
      </c>
      <c r="C167">
        <v>0</v>
      </c>
      <c r="D167">
        <v>0</v>
      </c>
      <c r="E167">
        <v>0</v>
      </c>
      <c r="F167">
        <v>0</v>
      </c>
    </row>
    <row r="168" spans="1:6">
      <c r="A168">
        <v>84</v>
      </c>
      <c r="B168">
        <v>1.2826980000000106</v>
      </c>
      <c r="C168">
        <v>2.2257799999999861</v>
      </c>
      <c r="D168">
        <v>0.82443799999998646</v>
      </c>
      <c r="E168">
        <v>2.0716229999999882</v>
      </c>
      <c r="F168">
        <v>1.831009999999992</v>
      </c>
    </row>
    <row r="169" spans="1:6">
      <c r="B169">
        <v>0</v>
      </c>
      <c r="C169">
        <v>0</v>
      </c>
      <c r="D169">
        <v>0</v>
      </c>
      <c r="E169">
        <v>0</v>
      </c>
      <c r="F169">
        <v>0</v>
      </c>
    </row>
    <row r="170" spans="1:6">
      <c r="A170">
        <v>85</v>
      </c>
      <c r="B170">
        <v>0.48907800000000634</v>
      </c>
      <c r="C170">
        <v>0.50414599999999155</v>
      </c>
      <c r="D170">
        <v>2.0324569999999937</v>
      </c>
      <c r="E170">
        <v>1.2239270000000033</v>
      </c>
      <c r="F170">
        <v>1.6486209999999915</v>
      </c>
    </row>
    <row r="171" spans="1:6">
      <c r="B171">
        <v>0</v>
      </c>
      <c r="C171">
        <v>0</v>
      </c>
      <c r="D171">
        <v>0</v>
      </c>
      <c r="E171">
        <v>0</v>
      </c>
      <c r="F171">
        <v>0</v>
      </c>
    </row>
    <row r="172" spans="1:6">
      <c r="A172">
        <v>86</v>
      </c>
      <c r="B172">
        <v>0.86047099999998977</v>
      </c>
      <c r="C172">
        <v>8.529699999999707E-2</v>
      </c>
      <c r="D172">
        <v>0.2670789999999954</v>
      </c>
      <c r="E172">
        <v>2.0405030000000011</v>
      </c>
      <c r="F172">
        <v>2.4632379999999898</v>
      </c>
    </row>
    <row r="173" spans="1:6">
      <c r="B173">
        <v>0</v>
      </c>
      <c r="C173">
        <v>0</v>
      </c>
      <c r="D173">
        <v>0</v>
      </c>
      <c r="E173">
        <v>0</v>
      </c>
      <c r="F173">
        <v>0</v>
      </c>
    </row>
    <row r="174" spans="1:6">
      <c r="A174">
        <v>87</v>
      </c>
      <c r="B174">
        <v>1.8249940000000038</v>
      </c>
      <c r="C174">
        <v>2.5383150000000114</v>
      </c>
      <c r="D174">
        <v>0.43422100000000796</v>
      </c>
      <c r="E174">
        <v>0.45316099999999437</v>
      </c>
      <c r="F174">
        <v>3.0540220000000033</v>
      </c>
    </row>
    <row r="175" spans="1:6">
      <c r="B175">
        <v>0</v>
      </c>
      <c r="C175">
        <v>0</v>
      </c>
      <c r="D175">
        <v>0</v>
      </c>
      <c r="E175">
        <v>0</v>
      </c>
      <c r="F175">
        <v>0</v>
      </c>
    </row>
    <row r="176" spans="1:6">
      <c r="A176">
        <v>88</v>
      </c>
      <c r="B176">
        <v>1.3659700000000043</v>
      </c>
      <c r="C176">
        <v>0.19881000000000881</v>
      </c>
      <c r="D176">
        <v>0.83442500000001019</v>
      </c>
      <c r="E176">
        <v>0.38120299999999929</v>
      </c>
      <c r="F176">
        <v>5.7991590000000031</v>
      </c>
    </row>
    <row r="177" spans="1:6">
      <c r="B177">
        <v>0</v>
      </c>
      <c r="C177">
        <v>0</v>
      </c>
      <c r="D177">
        <v>0</v>
      </c>
      <c r="E177">
        <v>0</v>
      </c>
      <c r="F177">
        <v>0</v>
      </c>
    </row>
    <row r="178" spans="1:6">
      <c r="A178">
        <v>89</v>
      </c>
      <c r="B178">
        <v>1.5215330000000051</v>
      </c>
      <c r="C178">
        <v>1.8265210000000138</v>
      </c>
      <c r="D178">
        <v>0.4293869999999913</v>
      </c>
      <c r="E178">
        <v>3.6958190000000002</v>
      </c>
      <c r="F178">
        <v>0.75933299999999804</v>
      </c>
    </row>
    <row r="179" spans="1:6">
      <c r="B179">
        <v>0</v>
      </c>
      <c r="C179">
        <v>0</v>
      </c>
      <c r="D179">
        <v>0</v>
      </c>
      <c r="E179">
        <v>0</v>
      </c>
      <c r="F179">
        <v>0</v>
      </c>
    </row>
    <row r="180" spans="1:6">
      <c r="A180">
        <v>90</v>
      </c>
      <c r="B180">
        <v>0.24475400000000036</v>
      </c>
      <c r="C180">
        <v>1.0057119999999884</v>
      </c>
      <c r="D180">
        <v>3.1655330000000106</v>
      </c>
      <c r="E180">
        <v>0.28322299999999245</v>
      </c>
      <c r="F180">
        <v>1.689801999999986</v>
      </c>
    </row>
    <row r="181" spans="1:6">
      <c r="B181">
        <v>0</v>
      </c>
      <c r="C181">
        <v>0</v>
      </c>
      <c r="D181">
        <v>0</v>
      </c>
      <c r="E181">
        <v>0</v>
      </c>
      <c r="F181">
        <v>0</v>
      </c>
    </row>
    <row r="182" spans="1:6">
      <c r="A182">
        <v>91</v>
      </c>
      <c r="B182">
        <v>6.1746999999996888E-2</v>
      </c>
      <c r="C182">
        <v>0.16546500000001174</v>
      </c>
      <c r="D182">
        <v>0.13392799999999738</v>
      </c>
      <c r="E182">
        <v>1.1073010000000068</v>
      </c>
      <c r="F182">
        <v>0.7545819999999992</v>
      </c>
    </row>
    <row r="183" spans="1:6">
      <c r="B183">
        <v>0</v>
      </c>
      <c r="C183">
        <v>0</v>
      </c>
      <c r="D183">
        <v>0</v>
      </c>
      <c r="E183">
        <v>0</v>
      </c>
      <c r="F183">
        <v>0</v>
      </c>
    </row>
    <row r="184" spans="1:6">
      <c r="A184">
        <v>92</v>
      </c>
      <c r="B184">
        <v>0.38346799999999348</v>
      </c>
      <c r="C184">
        <v>1.5594110000000114</v>
      </c>
      <c r="D184">
        <v>0.99028100000001018</v>
      </c>
      <c r="E184">
        <v>3.449372000000011</v>
      </c>
      <c r="F184">
        <v>5.8627000000001317E-2</v>
      </c>
    </row>
    <row r="185" spans="1:6">
      <c r="B185">
        <v>0</v>
      </c>
      <c r="C185">
        <v>0</v>
      </c>
      <c r="D185">
        <v>0</v>
      </c>
      <c r="E185">
        <v>0</v>
      </c>
      <c r="F185">
        <v>0</v>
      </c>
    </row>
    <row r="186" spans="1:6">
      <c r="A186">
        <v>93</v>
      </c>
      <c r="B186">
        <v>4.2738799999999912</v>
      </c>
      <c r="C186">
        <v>1.5599280000000135</v>
      </c>
      <c r="D186">
        <v>1.2541459999999915</v>
      </c>
      <c r="E186">
        <v>3.622177999999991</v>
      </c>
      <c r="F186">
        <v>0.33743300000000431</v>
      </c>
    </row>
    <row r="187" spans="1:6">
      <c r="B187">
        <v>0</v>
      </c>
      <c r="C187">
        <v>0.71478200000009906</v>
      </c>
      <c r="D187">
        <v>0</v>
      </c>
      <c r="E187">
        <v>0</v>
      </c>
      <c r="F187">
        <v>0.38621100000003139</v>
      </c>
    </row>
    <row r="188" spans="1:6">
      <c r="A188">
        <v>94</v>
      </c>
      <c r="B188">
        <v>7.9722690000000114</v>
      </c>
      <c r="C188">
        <v>1.5643819999999948</v>
      </c>
      <c r="D188">
        <v>0.13726299999999014</v>
      </c>
      <c r="E188">
        <v>3.8680530000000033</v>
      </c>
      <c r="F188">
        <v>17.785790999999989</v>
      </c>
    </row>
    <row r="189" spans="1:6">
      <c r="B189">
        <v>0</v>
      </c>
      <c r="C189">
        <v>0</v>
      </c>
      <c r="D189">
        <v>0</v>
      </c>
      <c r="E189">
        <v>0</v>
      </c>
      <c r="F189">
        <v>0</v>
      </c>
    </row>
    <row r="190" spans="1:6">
      <c r="A190">
        <v>95</v>
      </c>
      <c r="B190">
        <v>1.0783729999999991</v>
      </c>
      <c r="C190">
        <v>0.55931499999999801</v>
      </c>
      <c r="D190">
        <v>5.5453310000000045</v>
      </c>
      <c r="E190">
        <v>0.3281650000000127</v>
      </c>
      <c r="F190">
        <v>0.62225799999998799</v>
      </c>
    </row>
    <row r="191" spans="1:6">
      <c r="B191">
        <v>0</v>
      </c>
      <c r="C191">
        <v>1.1585520000000145</v>
      </c>
      <c r="D191">
        <v>0</v>
      </c>
      <c r="E191">
        <v>0</v>
      </c>
      <c r="F191">
        <v>0</v>
      </c>
    </row>
    <row r="192" spans="1:6">
      <c r="A192">
        <v>96</v>
      </c>
      <c r="B192">
        <v>2.2038760000000082</v>
      </c>
      <c r="C192">
        <v>1.460770999999994</v>
      </c>
      <c r="D192">
        <v>3.6425560000000132</v>
      </c>
      <c r="E192">
        <v>0.61924200000001406</v>
      </c>
      <c r="F192">
        <v>5.6362819999999942</v>
      </c>
    </row>
    <row r="193" spans="1:6">
      <c r="B193">
        <v>0</v>
      </c>
      <c r="C193">
        <v>0.5287580000000105</v>
      </c>
      <c r="D193">
        <v>0</v>
      </c>
      <c r="E193">
        <v>0</v>
      </c>
      <c r="F193">
        <v>0</v>
      </c>
    </row>
    <row r="194" spans="1:6">
      <c r="A194">
        <v>97</v>
      </c>
      <c r="B194">
        <v>1.9895290000000045</v>
      </c>
      <c r="C194">
        <v>0.54392799999999397</v>
      </c>
      <c r="D194">
        <v>2.0453660000000013</v>
      </c>
      <c r="E194">
        <v>3.0060100000000034</v>
      </c>
      <c r="F194">
        <v>0.59415699999999561</v>
      </c>
    </row>
    <row r="195" spans="1:6">
      <c r="B195">
        <v>0</v>
      </c>
      <c r="C195">
        <v>2.8205279999999959</v>
      </c>
      <c r="D195">
        <v>0</v>
      </c>
      <c r="E195">
        <v>0</v>
      </c>
      <c r="F195">
        <v>0</v>
      </c>
    </row>
    <row r="196" spans="1:6">
      <c r="A196">
        <v>98</v>
      </c>
      <c r="B196">
        <v>3.3644559999999899</v>
      </c>
      <c r="C196">
        <v>0.10998100000000477</v>
      </c>
      <c r="D196">
        <v>0.78934399999999982</v>
      </c>
      <c r="E196">
        <v>0.87986100000000533</v>
      </c>
      <c r="F196">
        <v>1.1172229999999956</v>
      </c>
    </row>
    <row r="197" spans="1:6">
      <c r="B197">
        <v>0</v>
      </c>
      <c r="C197">
        <v>3.1500509999999906</v>
      </c>
      <c r="D197">
        <v>0</v>
      </c>
      <c r="E197">
        <v>0</v>
      </c>
      <c r="F197">
        <v>0</v>
      </c>
    </row>
    <row r="198" spans="1:6">
      <c r="A198">
        <v>99</v>
      </c>
      <c r="B198">
        <v>3.2600319999999954</v>
      </c>
      <c r="C198">
        <v>0.1820160000000044</v>
      </c>
      <c r="D198">
        <v>0.92512600000000589</v>
      </c>
      <c r="E198">
        <v>0.70640299999999456</v>
      </c>
      <c r="F198">
        <v>2.4445499999999925</v>
      </c>
    </row>
    <row r="199" spans="1:6">
      <c r="B199">
        <v>0</v>
      </c>
      <c r="C199">
        <v>6.9268999999991365E-2</v>
      </c>
      <c r="D199">
        <v>0</v>
      </c>
      <c r="E199">
        <v>0</v>
      </c>
      <c r="F199">
        <v>0</v>
      </c>
    </row>
    <row r="200" spans="1:6">
      <c r="A200">
        <v>100</v>
      </c>
      <c r="B200">
        <v>0.25128499999999576</v>
      </c>
      <c r="C200">
        <v>6.3510870000000068</v>
      </c>
      <c r="D200">
        <v>1.6864579999999876</v>
      </c>
      <c r="E200">
        <v>1.1633209999999963</v>
      </c>
      <c r="F200">
        <v>6.0515800000000013</v>
      </c>
    </row>
    <row r="201" spans="1:6">
      <c r="B201">
        <v>0</v>
      </c>
      <c r="C201">
        <v>0</v>
      </c>
      <c r="D201">
        <v>0</v>
      </c>
      <c r="E201">
        <v>0</v>
      </c>
      <c r="F201">
        <v>0</v>
      </c>
    </row>
    <row r="202" spans="1:6">
      <c r="A202">
        <v>101</v>
      </c>
      <c r="B202">
        <v>0.41720399999999813</v>
      </c>
      <c r="C202">
        <v>3.0768510000000049</v>
      </c>
      <c r="D202">
        <v>0.19267400000001089</v>
      </c>
      <c r="E202">
        <v>0.66772299999999518</v>
      </c>
      <c r="F202">
        <v>2.5956520000000012</v>
      </c>
    </row>
    <row r="203" spans="1:6">
      <c r="B203">
        <v>0</v>
      </c>
      <c r="C203">
        <v>0</v>
      </c>
      <c r="D203">
        <v>0</v>
      </c>
      <c r="E203">
        <v>0</v>
      </c>
      <c r="F203">
        <v>0</v>
      </c>
    </row>
    <row r="204" spans="1:6">
      <c r="A204">
        <v>102</v>
      </c>
      <c r="B204">
        <v>1.2099790000000041</v>
      </c>
      <c r="C204">
        <v>0.90726499999999533</v>
      </c>
      <c r="D204">
        <v>0.55948100000000522</v>
      </c>
      <c r="E204">
        <v>0.52774199999998928</v>
      </c>
      <c r="F204">
        <v>0.58693400000001361</v>
      </c>
    </row>
    <row r="205" spans="1:6">
      <c r="B205">
        <v>0</v>
      </c>
      <c r="C205">
        <v>0</v>
      </c>
      <c r="D205">
        <v>0</v>
      </c>
      <c r="E205">
        <v>0</v>
      </c>
      <c r="F205">
        <v>0</v>
      </c>
    </row>
    <row r="206" spans="1:6">
      <c r="A206">
        <v>103</v>
      </c>
      <c r="B206">
        <v>0.99272199999998634</v>
      </c>
      <c r="C206">
        <v>0.97039499999999634</v>
      </c>
      <c r="D206">
        <v>1.6911619999999914</v>
      </c>
      <c r="E206">
        <v>1.587916000000007</v>
      </c>
      <c r="F206">
        <v>1.8253349999999955</v>
      </c>
    </row>
    <row r="207" spans="1:6">
      <c r="B207">
        <v>0</v>
      </c>
      <c r="C207">
        <v>0</v>
      </c>
      <c r="D207">
        <v>0</v>
      </c>
      <c r="E207">
        <v>0</v>
      </c>
      <c r="F207">
        <v>0</v>
      </c>
    </row>
    <row r="208" spans="1:6">
      <c r="A208">
        <v>104</v>
      </c>
      <c r="B208">
        <v>1.4686670000000106</v>
      </c>
      <c r="C208">
        <v>0.31342100000000528</v>
      </c>
      <c r="D208">
        <v>0.31938700000000608</v>
      </c>
      <c r="E208">
        <v>0.64483400000000302</v>
      </c>
      <c r="F208">
        <v>2.5992090000000019</v>
      </c>
    </row>
    <row r="209" spans="1:6">
      <c r="B209">
        <v>0</v>
      </c>
      <c r="C209">
        <v>0</v>
      </c>
      <c r="D209">
        <v>0</v>
      </c>
      <c r="E209">
        <v>0</v>
      </c>
      <c r="F209">
        <v>0</v>
      </c>
    </row>
    <row r="210" spans="1:6">
      <c r="A210">
        <v>105</v>
      </c>
      <c r="B210">
        <v>5.5257129999999961</v>
      </c>
      <c r="C210">
        <v>0.60093499999999267</v>
      </c>
      <c r="D210">
        <v>0.54908100000000104</v>
      </c>
      <c r="E210">
        <v>2.7894119999999987</v>
      </c>
      <c r="F210">
        <v>2.2737279999999771</v>
      </c>
    </row>
    <row r="211" spans="1:6">
      <c r="B211">
        <v>0</v>
      </c>
      <c r="C211">
        <v>0</v>
      </c>
      <c r="D211">
        <v>0</v>
      </c>
      <c r="E211">
        <v>0</v>
      </c>
      <c r="F211">
        <v>0</v>
      </c>
    </row>
    <row r="212" spans="1:6">
      <c r="A212">
        <v>106</v>
      </c>
      <c r="B212">
        <v>0.73002199999999107</v>
      </c>
      <c r="C212">
        <v>3.3808870000000013</v>
      </c>
      <c r="D212">
        <v>0.61623499999998899</v>
      </c>
      <c r="E212">
        <v>1.9191199999999924</v>
      </c>
      <c r="F212">
        <v>0.47575999999997975</v>
      </c>
    </row>
    <row r="213" spans="1:6">
      <c r="B213">
        <v>0</v>
      </c>
      <c r="C213">
        <v>0</v>
      </c>
      <c r="D213">
        <v>0</v>
      </c>
      <c r="E213">
        <v>0</v>
      </c>
      <c r="F213">
        <v>0</v>
      </c>
    </row>
    <row r="214" spans="1:6">
      <c r="A214">
        <v>107</v>
      </c>
      <c r="B214">
        <v>0.39196799999999143</v>
      </c>
      <c r="C214">
        <v>0.64133799999999042</v>
      </c>
      <c r="D214">
        <v>0.84426600000000462</v>
      </c>
      <c r="E214">
        <v>1.145228000000003</v>
      </c>
      <c r="F214">
        <v>1.1835350000000062</v>
      </c>
    </row>
    <row r="215" spans="1:6">
      <c r="B215">
        <v>0</v>
      </c>
      <c r="C215">
        <v>0</v>
      </c>
      <c r="D215">
        <v>0</v>
      </c>
      <c r="E215">
        <v>0</v>
      </c>
      <c r="F215">
        <v>0</v>
      </c>
    </row>
    <row r="216" spans="1:6">
      <c r="A216">
        <v>108</v>
      </c>
      <c r="B216">
        <v>0.34058400000000688</v>
      </c>
      <c r="C216">
        <v>0.30835999999999331</v>
      </c>
      <c r="D216">
        <v>2.3329339999999945</v>
      </c>
      <c r="E216">
        <v>4.3693849999999941</v>
      </c>
      <c r="F216">
        <v>0.42920400000002701</v>
      </c>
    </row>
    <row r="217" spans="1:6">
      <c r="B217">
        <v>0</v>
      </c>
      <c r="C217">
        <v>0</v>
      </c>
      <c r="D217">
        <v>0</v>
      </c>
      <c r="E217">
        <v>0</v>
      </c>
      <c r="F217">
        <v>0</v>
      </c>
    </row>
    <row r="218" spans="1:6">
      <c r="A218">
        <v>109</v>
      </c>
      <c r="B218">
        <v>2.5378190000000131</v>
      </c>
      <c r="C218">
        <v>1.6358050000000048</v>
      </c>
      <c r="D218">
        <v>1.047900999999996</v>
      </c>
      <c r="E218">
        <v>0.75554199999999128</v>
      </c>
      <c r="F218">
        <v>5.5003469999999766</v>
      </c>
    </row>
    <row r="219" spans="1:6">
      <c r="B219">
        <v>0</v>
      </c>
      <c r="C219">
        <v>0</v>
      </c>
      <c r="D219">
        <v>0</v>
      </c>
      <c r="E219">
        <v>0</v>
      </c>
      <c r="F219">
        <v>0</v>
      </c>
    </row>
    <row r="220" spans="1:6">
      <c r="A220">
        <v>110</v>
      </c>
      <c r="B220">
        <v>2.5586079999999924</v>
      </c>
      <c r="C220">
        <v>9.8874179999999967</v>
      </c>
      <c r="D220">
        <v>0.61658099999999649</v>
      </c>
      <c r="E220">
        <v>3.0075239999999894</v>
      </c>
      <c r="F220">
        <v>1.2697890000000029</v>
      </c>
    </row>
    <row r="221" spans="1:6">
      <c r="B221">
        <v>0</v>
      </c>
      <c r="C221">
        <v>0</v>
      </c>
      <c r="D221">
        <v>0</v>
      </c>
      <c r="E221">
        <v>0</v>
      </c>
      <c r="F221">
        <v>0</v>
      </c>
    </row>
    <row r="222" spans="1:6">
      <c r="A222">
        <v>111</v>
      </c>
      <c r="B222">
        <v>0.64109199999998623</v>
      </c>
      <c r="C222">
        <v>0.4132539999999949</v>
      </c>
      <c r="D222">
        <v>0.74839800000000878</v>
      </c>
      <c r="E222">
        <v>0.60847300000000359</v>
      </c>
      <c r="F222">
        <v>1.3680719999999837</v>
      </c>
    </row>
    <row r="223" spans="1:6">
      <c r="B223">
        <v>0</v>
      </c>
      <c r="C223">
        <v>0</v>
      </c>
      <c r="D223">
        <v>0</v>
      </c>
      <c r="E223">
        <v>0</v>
      </c>
      <c r="F223">
        <v>0</v>
      </c>
    </row>
    <row r="224" spans="1:6">
      <c r="A224">
        <v>112</v>
      </c>
      <c r="B224">
        <v>1.1318060000000116</v>
      </c>
      <c r="C224">
        <v>1.6267949999999871</v>
      </c>
      <c r="D224">
        <v>0.3588619999999878</v>
      </c>
      <c r="E224">
        <v>0.22916200000000231</v>
      </c>
      <c r="F224">
        <v>0.82301200000000563</v>
      </c>
    </row>
    <row r="225" spans="1:6">
      <c r="B225">
        <v>0</v>
      </c>
      <c r="C225">
        <v>0</v>
      </c>
      <c r="D225">
        <v>0</v>
      </c>
      <c r="E225">
        <v>0</v>
      </c>
      <c r="F225">
        <v>0</v>
      </c>
    </row>
    <row r="226" spans="1:6">
      <c r="A226">
        <v>113</v>
      </c>
      <c r="B226">
        <v>2.4819980000000044</v>
      </c>
      <c r="C226">
        <v>0.29813899999999194</v>
      </c>
      <c r="D226">
        <v>1.5684050000000127</v>
      </c>
      <c r="E226">
        <v>5.2793369999999982</v>
      </c>
      <c r="F226">
        <v>2.375959000000023</v>
      </c>
    </row>
    <row r="227" spans="1:6">
      <c r="B227">
        <v>0</v>
      </c>
      <c r="C227">
        <v>0</v>
      </c>
      <c r="D227">
        <v>0</v>
      </c>
      <c r="E227">
        <v>0</v>
      </c>
      <c r="F227">
        <v>0</v>
      </c>
    </row>
    <row r="228" spans="1:6">
      <c r="A228">
        <v>114</v>
      </c>
      <c r="B228">
        <v>2.7099409999999864</v>
      </c>
      <c r="C228">
        <v>0.46635200000000054</v>
      </c>
      <c r="D228">
        <v>3.1691800000000114</v>
      </c>
      <c r="E228">
        <v>0.7323599999999999</v>
      </c>
      <c r="F228">
        <v>1.8175249999999892</v>
      </c>
    </row>
    <row r="229" spans="1:6">
      <c r="B229">
        <v>0</v>
      </c>
      <c r="C229">
        <v>0</v>
      </c>
      <c r="D229">
        <v>0</v>
      </c>
      <c r="E229">
        <v>0</v>
      </c>
      <c r="F229">
        <v>0</v>
      </c>
    </row>
    <row r="230" spans="1:6">
      <c r="A230">
        <v>115</v>
      </c>
      <c r="B230">
        <v>0.50039899999998738</v>
      </c>
      <c r="C230">
        <v>0.19640599999999608</v>
      </c>
      <c r="D230">
        <v>0.23378700000000663</v>
      </c>
      <c r="E230">
        <v>0.3725729999999885</v>
      </c>
      <c r="F230">
        <v>0.78462899999999536</v>
      </c>
    </row>
    <row r="231" spans="1:6">
      <c r="B231">
        <v>0</v>
      </c>
      <c r="C231">
        <v>0</v>
      </c>
      <c r="D231">
        <v>0</v>
      </c>
      <c r="E231">
        <v>0</v>
      </c>
      <c r="F231">
        <v>0</v>
      </c>
    </row>
    <row r="232" spans="1:6">
      <c r="A232">
        <v>116</v>
      </c>
      <c r="B232">
        <v>0.17911599999999339</v>
      </c>
      <c r="C232">
        <v>2.6757790000000057</v>
      </c>
      <c r="D232">
        <v>1.5380969999999934</v>
      </c>
      <c r="E232">
        <v>2.2602329999999995</v>
      </c>
      <c r="F232">
        <v>1.034150000000011</v>
      </c>
    </row>
    <row r="233" spans="1:6">
      <c r="B233">
        <v>0</v>
      </c>
      <c r="C233">
        <v>0</v>
      </c>
      <c r="D233">
        <v>0.5700750000000312</v>
      </c>
      <c r="E233">
        <v>0</v>
      </c>
      <c r="F233">
        <v>0</v>
      </c>
    </row>
    <row r="234" spans="1:6">
      <c r="A234">
        <v>117</v>
      </c>
      <c r="B234">
        <v>7.3342210000000136</v>
      </c>
      <c r="C234">
        <v>9.0251480000000015</v>
      </c>
      <c r="D234">
        <v>0.63270700000001057</v>
      </c>
      <c r="E234">
        <v>0.49712299999998777</v>
      </c>
      <c r="F234">
        <v>0.34790099999997892</v>
      </c>
    </row>
    <row r="235" spans="1:6">
      <c r="B235">
        <v>0</v>
      </c>
      <c r="C235">
        <v>0</v>
      </c>
      <c r="D235">
        <v>9.5721999999994978E-2</v>
      </c>
      <c r="E235">
        <v>0</v>
      </c>
      <c r="F235">
        <v>0</v>
      </c>
    </row>
    <row r="236" spans="1:6">
      <c r="A236">
        <v>118</v>
      </c>
      <c r="B236">
        <v>0.73439799999999877</v>
      </c>
      <c r="C236">
        <v>0.72842900000000554</v>
      </c>
      <c r="D236">
        <v>0.1954900000000066</v>
      </c>
      <c r="E236">
        <v>5.1493969999999933</v>
      </c>
      <c r="F236">
        <v>1.2895750000000135</v>
      </c>
    </row>
    <row r="237" spans="1:6">
      <c r="B237">
        <v>0</v>
      </c>
      <c r="C237">
        <v>0</v>
      </c>
      <c r="D237">
        <v>9.07749999999794E-2</v>
      </c>
      <c r="E237">
        <v>0</v>
      </c>
      <c r="F237">
        <v>0</v>
      </c>
    </row>
    <row r="238" spans="1:6">
      <c r="A238">
        <v>119</v>
      </c>
      <c r="B238">
        <v>2.1568780000000061</v>
      </c>
      <c r="C238">
        <v>0.286264999999986</v>
      </c>
      <c r="D238">
        <v>0.90788800000001402</v>
      </c>
      <c r="E238">
        <v>0.11715200000000436</v>
      </c>
      <c r="F238">
        <v>1.6908080000000041</v>
      </c>
    </row>
    <row r="239" spans="1:6">
      <c r="B239">
        <v>0</v>
      </c>
      <c r="C239">
        <v>0</v>
      </c>
      <c r="D239">
        <v>0</v>
      </c>
      <c r="E239">
        <v>0</v>
      </c>
      <c r="F239">
        <v>0</v>
      </c>
    </row>
    <row r="240" spans="1:6">
      <c r="A240">
        <v>120</v>
      </c>
      <c r="B240">
        <v>0.97733500000001072</v>
      </c>
      <c r="C240">
        <v>8.3325000000002092E-2</v>
      </c>
      <c r="D240">
        <v>2.896333999999996</v>
      </c>
      <c r="E240">
        <v>1.4354339999999866</v>
      </c>
      <c r="F240">
        <v>0.53631500000000187</v>
      </c>
    </row>
    <row r="241" spans="1:6">
      <c r="B241">
        <v>0</v>
      </c>
      <c r="C241">
        <v>0</v>
      </c>
      <c r="D241">
        <v>7.3160000000001446E-2</v>
      </c>
      <c r="E241">
        <v>0</v>
      </c>
      <c r="F241">
        <v>0</v>
      </c>
    </row>
    <row r="242" spans="1:6">
      <c r="A242">
        <v>121</v>
      </c>
      <c r="B242">
        <v>1.3200640000000021</v>
      </c>
      <c r="C242">
        <v>3.7940570000000093</v>
      </c>
      <c r="D242">
        <v>0.77878200000000675</v>
      </c>
      <c r="E242">
        <v>0.35424499999999171</v>
      </c>
      <c r="F242">
        <v>1.9509679999999889</v>
      </c>
    </row>
    <row r="243" spans="1:6">
      <c r="B243">
        <v>0</v>
      </c>
      <c r="C243">
        <v>0</v>
      </c>
      <c r="D243">
        <v>4.0188310000000058</v>
      </c>
      <c r="E243">
        <v>0</v>
      </c>
      <c r="F243">
        <v>0</v>
      </c>
    </row>
    <row r="244" spans="1:6">
      <c r="A244">
        <v>122</v>
      </c>
      <c r="B244">
        <v>0.4803579999999954</v>
      </c>
      <c r="C244">
        <v>4.7976130000000126</v>
      </c>
      <c r="D244">
        <v>5.0667320000000018</v>
      </c>
      <c r="E244">
        <v>1.8043220000000133</v>
      </c>
      <c r="F244">
        <v>1.9501339999999914</v>
      </c>
    </row>
    <row r="245" spans="1:6">
      <c r="B245">
        <v>0</v>
      </c>
      <c r="C245">
        <v>0</v>
      </c>
      <c r="D245">
        <v>0</v>
      </c>
      <c r="E245">
        <v>0</v>
      </c>
      <c r="F245">
        <v>0</v>
      </c>
    </row>
    <row r="246" spans="1:6">
      <c r="A246">
        <v>123</v>
      </c>
      <c r="B246">
        <v>1.253735000000006</v>
      </c>
      <c r="C246">
        <v>0.36461900000000469</v>
      </c>
      <c r="D246">
        <v>1.7909510000000068</v>
      </c>
      <c r="E246">
        <v>0.35875900000002048</v>
      </c>
      <c r="F246">
        <v>2.2258830000000103</v>
      </c>
    </row>
    <row r="247" spans="1:6">
      <c r="B247">
        <v>0</v>
      </c>
      <c r="C247">
        <v>0</v>
      </c>
      <c r="D247">
        <v>0</v>
      </c>
      <c r="E247">
        <v>0</v>
      </c>
      <c r="F247">
        <v>0</v>
      </c>
    </row>
    <row r="248" spans="1:6">
      <c r="A248">
        <v>124</v>
      </c>
      <c r="B248">
        <v>5.8888249999999971</v>
      </c>
      <c r="C248">
        <v>0.21110400000000595</v>
      </c>
      <c r="D248">
        <v>4.3363879999999995</v>
      </c>
      <c r="E248">
        <v>0.45358199999998305</v>
      </c>
      <c r="F248">
        <v>4.0695160000000214</v>
      </c>
    </row>
    <row r="249" spans="1:6">
      <c r="B249">
        <v>0</v>
      </c>
      <c r="C249">
        <v>0</v>
      </c>
      <c r="D249">
        <v>2.2697990000000061</v>
      </c>
      <c r="E249">
        <v>0</v>
      </c>
      <c r="F249">
        <v>0</v>
      </c>
    </row>
    <row r="250" spans="1:6">
      <c r="A250">
        <v>125</v>
      </c>
      <c r="B250">
        <v>2.9427729999999883</v>
      </c>
      <c r="C250">
        <v>12.888147000000004</v>
      </c>
      <c r="D250">
        <v>0.34532100000001265</v>
      </c>
      <c r="E250">
        <v>0.33840500000002294</v>
      </c>
      <c r="F250">
        <v>0.59457200000002786</v>
      </c>
    </row>
    <row r="251" spans="1:6">
      <c r="B251">
        <v>0</v>
      </c>
      <c r="C251">
        <v>0</v>
      </c>
      <c r="D251">
        <v>2.4860929999999826</v>
      </c>
      <c r="E251">
        <v>2.5106840000001398</v>
      </c>
      <c r="F251">
        <v>0</v>
      </c>
    </row>
    <row r="252" spans="1:6">
      <c r="A252">
        <v>126</v>
      </c>
      <c r="B252">
        <v>0.20609300000000985</v>
      </c>
      <c r="C252">
        <v>2.8314139999999952</v>
      </c>
      <c r="D252">
        <v>4.2872220000000141</v>
      </c>
      <c r="E252">
        <v>1.3062469999999848</v>
      </c>
      <c r="F252">
        <v>1.6682220000000143</v>
      </c>
    </row>
    <row r="253" spans="1:6">
      <c r="B253">
        <v>0</v>
      </c>
      <c r="C253">
        <v>0</v>
      </c>
      <c r="D253">
        <v>0</v>
      </c>
      <c r="E253">
        <v>0</v>
      </c>
      <c r="F253">
        <v>0</v>
      </c>
    </row>
    <row r="254" spans="1:6">
      <c r="A254">
        <v>127</v>
      </c>
      <c r="B254">
        <v>3.7325549999999907</v>
      </c>
      <c r="C254">
        <v>0.36993800000001897</v>
      </c>
      <c r="D254">
        <v>0.45763299999998708</v>
      </c>
      <c r="E254">
        <v>0.16995400000001837</v>
      </c>
      <c r="F254">
        <v>3.8013389999999845</v>
      </c>
    </row>
    <row r="255" spans="1:6">
      <c r="B255">
        <v>0</v>
      </c>
      <c r="C255">
        <v>0</v>
      </c>
      <c r="D255">
        <v>0</v>
      </c>
      <c r="E255">
        <v>1.3713829999999803</v>
      </c>
      <c r="F255">
        <v>0</v>
      </c>
    </row>
    <row r="256" spans="1:6">
      <c r="A256">
        <v>128</v>
      </c>
      <c r="B256">
        <v>1.8915179999999907</v>
      </c>
      <c r="C256">
        <v>1.647137999999984</v>
      </c>
      <c r="D256">
        <v>2.3899509999999964</v>
      </c>
      <c r="E256">
        <v>22.212043999999992</v>
      </c>
      <c r="F256">
        <v>0.4647979999999734</v>
      </c>
    </row>
    <row r="257" spans="1:6">
      <c r="B257">
        <v>0</v>
      </c>
      <c r="C257">
        <v>0</v>
      </c>
      <c r="D257">
        <v>0</v>
      </c>
      <c r="E257">
        <v>0</v>
      </c>
      <c r="F257">
        <v>0</v>
      </c>
    </row>
    <row r="258" spans="1:6">
      <c r="A258">
        <v>129</v>
      </c>
      <c r="B258">
        <v>0.81070099999999456</v>
      </c>
      <c r="C258">
        <v>1.3846619999999916</v>
      </c>
      <c r="D258">
        <v>0.62114200000002029</v>
      </c>
      <c r="E258">
        <v>0.55066599999997834</v>
      </c>
      <c r="F258">
        <v>1.027891000000011</v>
      </c>
    </row>
    <row r="259" spans="1:6">
      <c r="B259">
        <v>0</v>
      </c>
      <c r="C259">
        <v>0</v>
      </c>
      <c r="D259">
        <v>0</v>
      </c>
      <c r="E259">
        <v>0</v>
      </c>
      <c r="F259">
        <v>0</v>
      </c>
    </row>
    <row r="260" spans="1:6">
      <c r="A260">
        <v>130</v>
      </c>
      <c r="B260">
        <v>0.78297599999999079</v>
      </c>
      <c r="C260">
        <v>3.4285340000000133</v>
      </c>
      <c r="D260">
        <v>0.18111499999997704</v>
      </c>
      <c r="E260">
        <v>0.86755099999999175</v>
      </c>
      <c r="F260">
        <v>2.7512479999999755</v>
      </c>
    </row>
    <row r="261" spans="1:6">
      <c r="B261">
        <v>0</v>
      </c>
      <c r="C261">
        <v>0</v>
      </c>
      <c r="D261">
        <v>0</v>
      </c>
      <c r="E261">
        <v>0</v>
      </c>
      <c r="F261">
        <v>0</v>
      </c>
    </row>
    <row r="262" spans="1:6">
      <c r="A262">
        <v>131</v>
      </c>
      <c r="B262">
        <v>9.2913350000000037</v>
      </c>
      <c r="C262">
        <v>0.48509699999999611</v>
      </c>
      <c r="D262">
        <v>0.3215280000000007</v>
      </c>
      <c r="E262">
        <v>4.6250279999999862</v>
      </c>
      <c r="F262">
        <v>11.545545000000004</v>
      </c>
    </row>
    <row r="263" spans="1:6">
      <c r="B263">
        <v>0</v>
      </c>
      <c r="C263">
        <v>0</v>
      </c>
      <c r="D263">
        <v>0</v>
      </c>
      <c r="E263">
        <v>0</v>
      </c>
      <c r="F263">
        <v>0</v>
      </c>
    </row>
    <row r="264" spans="1:6">
      <c r="A264">
        <v>132</v>
      </c>
      <c r="B264">
        <v>0.45398800000000961</v>
      </c>
      <c r="C264">
        <v>0.21217799999999443</v>
      </c>
      <c r="D264">
        <v>0.31646299999999883</v>
      </c>
      <c r="E264">
        <v>0.65990199999998822</v>
      </c>
      <c r="F264">
        <v>6.2200219999999717</v>
      </c>
    </row>
    <row r="265" spans="1:6">
      <c r="B265">
        <v>0</v>
      </c>
      <c r="C265">
        <v>0</v>
      </c>
      <c r="D265">
        <v>0</v>
      </c>
      <c r="E265">
        <v>0</v>
      </c>
      <c r="F265">
        <v>0</v>
      </c>
    </row>
    <row r="266" spans="1:6">
      <c r="A266">
        <v>133</v>
      </c>
      <c r="B266">
        <v>4.3219560000000001</v>
      </c>
      <c r="C266">
        <v>0.69358899999997448</v>
      </c>
      <c r="D266">
        <v>3.0915899999999965</v>
      </c>
      <c r="E266">
        <v>0.37166700000000219</v>
      </c>
      <c r="F266">
        <v>0.66998300000000199</v>
      </c>
    </row>
    <row r="267" spans="1:6">
      <c r="B267">
        <v>0</v>
      </c>
      <c r="C267">
        <v>0</v>
      </c>
      <c r="D267">
        <v>0</v>
      </c>
      <c r="E267">
        <v>0</v>
      </c>
      <c r="F267">
        <v>0</v>
      </c>
    </row>
    <row r="268" spans="1:6">
      <c r="A268">
        <v>134</v>
      </c>
      <c r="B268">
        <v>1.3520469999999989</v>
      </c>
      <c r="C268">
        <v>0.42670800000001918</v>
      </c>
      <c r="D268">
        <v>0.66675400000002583</v>
      </c>
      <c r="E268">
        <v>0.80037199999998165</v>
      </c>
      <c r="F268">
        <v>3.2563190000000191</v>
      </c>
    </row>
    <row r="269" spans="1:6">
      <c r="B269">
        <v>0</v>
      </c>
      <c r="C269">
        <v>0</v>
      </c>
      <c r="D269">
        <v>0</v>
      </c>
      <c r="E269">
        <v>0</v>
      </c>
      <c r="F269">
        <v>0</v>
      </c>
    </row>
    <row r="270" spans="1:6">
      <c r="A270">
        <v>135</v>
      </c>
      <c r="B270">
        <v>3.9037969999999973</v>
      </c>
      <c r="C270">
        <v>2.8377459999999814</v>
      </c>
      <c r="D270">
        <v>1.1336170000000152</v>
      </c>
      <c r="E270">
        <v>1.1497529999999756</v>
      </c>
      <c r="F270">
        <v>0.13231799999999794</v>
      </c>
    </row>
    <row r="271" spans="1:6">
      <c r="B271">
        <v>0</v>
      </c>
      <c r="C271">
        <v>0</v>
      </c>
      <c r="D271">
        <v>2.2891099999999369</v>
      </c>
      <c r="E271">
        <v>0</v>
      </c>
      <c r="F271">
        <v>0</v>
      </c>
    </row>
    <row r="272" spans="1:6">
      <c r="A272">
        <v>136</v>
      </c>
      <c r="B272">
        <v>3.4571359999999913</v>
      </c>
      <c r="C272">
        <v>4.2705349999999953</v>
      </c>
      <c r="D272">
        <v>2.1910129999999981</v>
      </c>
      <c r="E272">
        <v>0.55084499999998116</v>
      </c>
      <c r="F272">
        <v>3.7356730000000198</v>
      </c>
    </row>
    <row r="273" spans="1:6">
      <c r="B273">
        <v>0</v>
      </c>
      <c r="C273">
        <v>0</v>
      </c>
      <c r="D273">
        <v>3.9510119999999915</v>
      </c>
      <c r="E273">
        <v>0</v>
      </c>
      <c r="F273">
        <v>0</v>
      </c>
    </row>
    <row r="274" spans="1:6">
      <c r="A274">
        <v>137</v>
      </c>
      <c r="B274">
        <v>1.0477290000000039</v>
      </c>
      <c r="C274">
        <v>6.1420249999999896</v>
      </c>
      <c r="D274">
        <v>1.439282999999989</v>
      </c>
      <c r="E274">
        <v>0.29867400000000544</v>
      </c>
      <c r="F274">
        <v>0.1280360000000087</v>
      </c>
    </row>
    <row r="275" spans="1:6">
      <c r="B275">
        <v>0</v>
      </c>
      <c r="C275">
        <v>0</v>
      </c>
      <c r="D275">
        <v>0.31745100000000548</v>
      </c>
      <c r="E275">
        <v>0</v>
      </c>
      <c r="F275">
        <v>0</v>
      </c>
    </row>
    <row r="276" spans="1:6">
      <c r="A276">
        <v>138</v>
      </c>
      <c r="B276">
        <v>0.1189679999999953</v>
      </c>
      <c r="C276">
        <v>1.7567339999999945</v>
      </c>
      <c r="D276">
        <v>1.3586099999999988</v>
      </c>
      <c r="E276">
        <v>1.0855020000000195</v>
      </c>
      <c r="F276">
        <v>0.30096800000001167</v>
      </c>
    </row>
    <row r="277" spans="1:6">
      <c r="B277">
        <v>0</v>
      </c>
      <c r="C277">
        <v>0</v>
      </c>
      <c r="D277">
        <v>0</v>
      </c>
      <c r="E277">
        <v>0</v>
      </c>
      <c r="F277">
        <v>0</v>
      </c>
    </row>
    <row r="278" spans="1:6">
      <c r="A278">
        <v>139</v>
      </c>
      <c r="B278">
        <v>0.65302100000002383</v>
      </c>
      <c r="C278">
        <v>0.49423400000000584</v>
      </c>
      <c r="D278">
        <v>8.8532579999999825</v>
      </c>
      <c r="E278">
        <v>0.29600599999997712</v>
      </c>
      <c r="F278">
        <v>2.4428320000000099</v>
      </c>
    </row>
    <row r="279" spans="1:6">
      <c r="B279">
        <v>0</v>
      </c>
      <c r="C279">
        <v>0</v>
      </c>
      <c r="D279">
        <v>0</v>
      </c>
      <c r="E279">
        <v>0</v>
      </c>
      <c r="F279">
        <v>0</v>
      </c>
    </row>
    <row r="280" spans="1:6">
      <c r="A280">
        <v>140</v>
      </c>
      <c r="B280">
        <v>8.6795000000000186</v>
      </c>
      <c r="C280">
        <v>1.0286689999999794</v>
      </c>
      <c r="D280">
        <v>1.6960470000000214</v>
      </c>
      <c r="E280">
        <v>0.65426700000000437</v>
      </c>
      <c r="F280">
        <v>0.38981200000000626</v>
      </c>
    </row>
    <row r="281" spans="1:6">
      <c r="B281">
        <v>0</v>
      </c>
      <c r="C281">
        <v>0</v>
      </c>
      <c r="D281">
        <v>0</v>
      </c>
      <c r="E281">
        <v>0</v>
      </c>
      <c r="F281">
        <v>0</v>
      </c>
    </row>
    <row r="282" spans="1:6">
      <c r="A282">
        <v>141</v>
      </c>
      <c r="B282">
        <v>2.731207999999981</v>
      </c>
      <c r="C282">
        <v>1.7584269999999833</v>
      </c>
      <c r="D282">
        <v>0.75502499999998918</v>
      </c>
      <c r="E282">
        <v>0.59692300000000387</v>
      </c>
      <c r="F282">
        <v>0.72858400000001211</v>
      </c>
    </row>
    <row r="283" spans="1:6">
      <c r="B283">
        <v>0</v>
      </c>
      <c r="C283">
        <v>0</v>
      </c>
      <c r="D283">
        <v>0</v>
      </c>
      <c r="E283">
        <v>0</v>
      </c>
      <c r="F283">
        <v>0</v>
      </c>
    </row>
    <row r="284" spans="1:6">
      <c r="A284">
        <v>142</v>
      </c>
      <c r="B284">
        <v>1.4199899999999843</v>
      </c>
      <c r="C284">
        <v>0.10456199999998717</v>
      </c>
      <c r="D284">
        <v>0.10471999999998616</v>
      </c>
      <c r="E284">
        <v>2.3367400000000202</v>
      </c>
      <c r="F284">
        <v>0.85561300000000529</v>
      </c>
    </row>
    <row r="285" spans="1:6">
      <c r="B285">
        <v>0</v>
      </c>
      <c r="C285">
        <v>0</v>
      </c>
      <c r="D285">
        <v>0</v>
      </c>
      <c r="E285">
        <v>0</v>
      </c>
      <c r="F285">
        <v>0</v>
      </c>
    </row>
    <row r="286" spans="1:6">
      <c r="A286">
        <v>143</v>
      </c>
      <c r="B286">
        <v>1.0971349999999802</v>
      </c>
      <c r="C286">
        <v>3.8603709999999865</v>
      </c>
      <c r="D286">
        <v>2.4541370000000029</v>
      </c>
      <c r="E286">
        <v>1.3360720000000015</v>
      </c>
      <c r="F286">
        <v>0.9133939999999825</v>
      </c>
    </row>
    <row r="287" spans="1:6">
      <c r="B287">
        <v>0</v>
      </c>
      <c r="C287">
        <v>0</v>
      </c>
      <c r="D287">
        <v>0</v>
      </c>
      <c r="E287">
        <v>0</v>
      </c>
      <c r="F287">
        <v>0</v>
      </c>
    </row>
    <row r="288" spans="1:6">
      <c r="A288">
        <v>144</v>
      </c>
      <c r="B288">
        <v>0.95621199999999362</v>
      </c>
      <c r="C288">
        <v>0.66692000000000462</v>
      </c>
      <c r="D288">
        <v>0.94777699999997367</v>
      </c>
      <c r="E288">
        <v>2.1964140000000043</v>
      </c>
      <c r="F288">
        <v>11.251826999999992</v>
      </c>
    </row>
    <row r="289" spans="1:6">
      <c r="B289">
        <v>0</v>
      </c>
      <c r="C289">
        <v>0</v>
      </c>
      <c r="D289">
        <v>0</v>
      </c>
      <c r="E289">
        <v>0</v>
      </c>
      <c r="F289">
        <v>0</v>
      </c>
    </row>
    <row r="290" spans="1:6">
      <c r="A290">
        <v>145</v>
      </c>
      <c r="B290">
        <v>1.0918839999999932</v>
      </c>
      <c r="C290">
        <v>1.9913629999999785</v>
      </c>
      <c r="D290">
        <v>1.5468690000000151</v>
      </c>
      <c r="E290">
        <v>1.735621999999978</v>
      </c>
      <c r="F290">
        <v>1.4910960000000273</v>
      </c>
    </row>
    <row r="291" spans="1:6">
      <c r="B291">
        <v>0</v>
      </c>
      <c r="C291">
        <v>0</v>
      </c>
      <c r="D291">
        <v>0</v>
      </c>
      <c r="E291">
        <v>0</v>
      </c>
      <c r="F291">
        <v>0</v>
      </c>
    </row>
    <row r="292" spans="1:6">
      <c r="A292">
        <v>146</v>
      </c>
      <c r="B292">
        <v>2.3241740000000277</v>
      </c>
      <c r="C292">
        <v>0.55811299999999164</v>
      </c>
      <c r="D292">
        <v>0.219853999999998</v>
      </c>
      <c r="E292">
        <v>3.8359229999999798</v>
      </c>
      <c r="F292">
        <v>1.752789000000007</v>
      </c>
    </row>
    <row r="293" spans="1:6">
      <c r="B293">
        <v>0</v>
      </c>
      <c r="C293">
        <v>0</v>
      </c>
      <c r="D293">
        <v>0</v>
      </c>
      <c r="E293">
        <v>0</v>
      </c>
      <c r="F293">
        <v>0</v>
      </c>
    </row>
    <row r="294" spans="1:6">
      <c r="A294">
        <v>147</v>
      </c>
      <c r="B294">
        <v>1.0905940000000101</v>
      </c>
      <c r="C294">
        <v>1.2013200000000097</v>
      </c>
      <c r="D294">
        <v>1.3511389999999892</v>
      </c>
      <c r="E294">
        <v>1.2978029999999876</v>
      </c>
      <c r="F294">
        <v>0.40822400000001835</v>
      </c>
    </row>
    <row r="295" spans="1:6">
      <c r="B295">
        <v>0</v>
      </c>
      <c r="C295">
        <v>0</v>
      </c>
      <c r="D295">
        <v>0</v>
      </c>
      <c r="E295">
        <v>0</v>
      </c>
      <c r="F295">
        <v>0</v>
      </c>
    </row>
    <row r="296" spans="1:6">
      <c r="A296">
        <v>148</v>
      </c>
      <c r="B296">
        <v>0.10763700000001108</v>
      </c>
      <c r="C296">
        <v>8.2247999999992771E-2</v>
      </c>
      <c r="D296">
        <v>1.8222620000000234</v>
      </c>
      <c r="E296">
        <v>0.15965399999998908</v>
      </c>
      <c r="F296">
        <v>18.540097000000003</v>
      </c>
    </row>
    <row r="297" spans="1:6">
      <c r="B297">
        <v>0</v>
      </c>
      <c r="C297">
        <v>0</v>
      </c>
      <c r="D297">
        <v>0</v>
      </c>
      <c r="E297">
        <v>0</v>
      </c>
      <c r="F297">
        <v>0</v>
      </c>
    </row>
    <row r="298" spans="1:6">
      <c r="A298">
        <v>149</v>
      </c>
      <c r="B298">
        <v>0.47086600000000089</v>
      </c>
      <c r="C298">
        <v>0.87568399999997837</v>
      </c>
      <c r="D298">
        <v>0.29413899999997284</v>
      </c>
      <c r="E298">
        <v>6.34078599999998</v>
      </c>
      <c r="F298">
        <v>7.9846999999972468E-2</v>
      </c>
    </row>
    <row r="299" spans="1:6">
      <c r="B299">
        <v>0</v>
      </c>
      <c r="C299">
        <v>0</v>
      </c>
      <c r="D299">
        <v>0</v>
      </c>
      <c r="E299">
        <v>0</v>
      </c>
      <c r="F299">
        <v>0</v>
      </c>
    </row>
    <row r="300" spans="1:6">
      <c r="A300">
        <v>150</v>
      </c>
      <c r="B300">
        <v>0.68622900000002574</v>
      </c>
      <c r="C300">
        <v>8.303167999999971</v>
      </c>
      <c r="D300">
        <v>6.0902720000000272</v>
      </c>
      <c r="E300">
        <v>1.4867189999999937</v>
      </c>
      <c r="F300">
        <v>0.30760500000002367</v>
      </c>
    </row>
    <row r="301" spans="1:6">
      <c r="B301">
        <v>0</v>
      </c>
      <c r="C301">
        <v>0</v>
      </c>
      <c r="D301">
        <v>0</v>
      </c>
      <c r="E301">
        <v>0</v>
      </c>
      <c r="F301">
        <v>0</v>
      </c>
    </row>
    <row r="302" spans="1:6">
      <c r="A302">
        <v>151</v>
      </c>
      <c r="B302">
        <v>0.51930299999997942</v>
      </c>
      <c r="C302">
        <v>4.6881290000000035</v>
      </c>
      <c r="D302">
        <v>0.29526199999997971</v>
      </c>
      <c r="E302">
        <v>0.6607270000000085</v>
      </c>
      <c r="F302">
        <v>0.70450699999997823</v>
      </c>
    </row>
    <row r="303" spans="1:6">
      <c r="B303">
        <v>0</v>
      </c>
      <c r="C303">
        <v>0</v>
      </c>
      <c r="D303">
        <v>0</v>
      </c>
      <c r="E303">
        <v>0</v>
      </c>
      <c r="F303">
        <v>0</v>
      </c>
    </row>
    <row r="304" spans="1:6">
      <c r="A304">
        <v>152</v>
      </c>
      <c r="B304">
        <v>2.8093069999999898</v>
      </c>
      <c r="C304">
        <v>2.0869470000000092</v>
      </c>
      <c r="D304">
        <v>0.8260050000000092</v>
      </c>
      <c r="E304">
        <v>2.9698910000000183</v>
      </c>
      <c r="F304">
        <v>2.2197800000000143</v>
      </c>
    </row>
    <row r="305" spans="1:6">
      <c r="B305">
        <v>0</v>
      </c>
      <c r="C305">
        <v>0</v>
      </c>
      <c r="D305">
        <v>0</v>
      </c>
      <c r="E305">
        <v>0</v>
      </c>
      <c r="F305">
        <v>0</v>
      </c>
    </row>
    <row r="306" spans="1:6">
      <c r="A306">
        <v>153</v>
      </c>
      <c r="B306">
        <v>0.31490800000000263</v>
      </c>
      <c r="C306">
        <v>0.54366599999997334</v>
      </c>
      <c r="D306">
        <v>0.71607000000000198</v>
      </c>
      <c r="E306">
        <v>0.64821299999999837</v>
      </c>
      <c r="F306">
        <v>0.65625999999997475</v>
      </c>
    </row>
    <row r="307" spans="1:6">
      <c r="B307">
        <v>0</v>
      </c>
      <c r="C307">
        <v>0</v>
      </c>
      <c r="D307">
        <v>0.5046969999999078</v>
      </c>
      <c r="E307">
        <v>0</v>
      </c>
      <c r="F307">
        <v>0</v>
      </c>
    </row>
    <row r="308" spans="1:6">
      <c r="A308">
        <v>154</v>
      </c>
      <c r="B308">
        <v>4.481948999999986</v>
      </c>
      <c r="C308">
        <v>1.5923220000000242</v>
      </c>
      <c r="D308">
        <v>3.0541470000000004</v>
      </c>
      <c r="E308">
        <v>0.86134600000002592</v>
      </c>
      <c r="F308">
        <v>6.1342179999999757</v>
      </c>
    </row>
    <row r="309" spans="1:6">
      <c r="B309">
        <v>0</v>
      </c>
      <c r="C309">
        <v>0</v>
      </c>
      <c r="D309">
        <v>0</v>
      </c>
      <c r="E309">
        <v>0</v>
      </c>
      <c r="F309">
        <v>0</v>
      </c>
    </row>
    <row r="310" spans="1:6">
      <c r="A310">
        <v>155</v>
      </c>
      <c r="B310">
        <v>0.88021099999997432</v>
      </c>
      <c r="C310">
        <v>1.5318940000000225</v>
      </c>
      <c r="D310">
        <v>0.59562299999998913</v>
      </c>
      <c r="E310">
        <v>1.0507690000000025</v>
      </c>
      <c r="F310">
        <v>0.51756599999998798</v>
      </c>
    </row>
    <row r="311" spans="1:6">
      <c r="B311">
        <v>0</v>
      </c>
      <c r="C311">
        <v>0</v>
      </c>
      <c r="D311">
        <v>0</v>
      </c>
      <c r="E311">
        <v>0</v>
      </c>
      <c r="F311">
        <v>0</v>
      </c>
    </row>
    <row r="312" spans="1:6">
      <c r="A312">
        <v>156</v>
      </c>
      <c r="B312">
        <v>0.77807300000000623</v>
      </c>
      <c r="C312">
        <v>0.24351899999999205</v>
      </c>
      <c r="D312">
        <v>5.1705769999999802</v>
      </c>
      <c r="E312">
        <v>0.34400299999998651</v>
      </c>
      <c r="F312">
        <v>0.69133299999998599</v>
      </c>
    </row>
    <row r="313" spans="1:6">
      <c r="B313">
        <v>0</v>
      </c>
      <c r="C313">
        <v>0</v>
      </c>
      <c r="D313">
        <v>0</v>
      </c>
      <c r="E313">
        <v>0</v>
      </c>
      <c r="F313">
        <v>0</v>
      </c>
    </row>
    <row r="314" spans="1:6">
      <c r="A314">
        <v>157</v>
      </c>
      <c r="B314">
        <v>2.1543480000000272</v>
      </c>
      <c r="C314">
        <v>5.620537000000013</v>
      </c>
      <c r="D314">
        <v>1.0613710000000083</v>
      </c>
      <c r="E314">
        <v>1.9554989999999748</v>
      </c>
      <c r="F314">
        <v>1.5626829999999927</v>
      </c>
    </row>
    <row r="315" spans="1:6">
      <c r="B315">
        <v>0</v>
      </c>
      <c r="C315">
        <v>0</v>
      </c>
      <c r="D315">
        <v>0</v>
      </c>
      <c r="E315">
        <v>0</v>
      </c>
      <c r="F315">
        <v>0</v>
      </c>
    </row>
    <row r="316" spans="1:6">
      <c r="A316">
        <v>158</v>
      </c>
      <c r="B316">
        <v>1.5625840000000153</v>
      </c>
      <c r="C316">
        <v>0.27932700000002342</v>
      </c>
      <c r="D316">
        <v>1.2999249999999734</v>
      </c>
      <c r="E316">
        <v>0.69159100000001672</v>
      </c>
      <c r="F316">
        <v>10.005963000000008</v>
      </c>
    </row>
    <row r="317" spans="1:6">
      <c r="B317">
        <v>0</v>
      </c>
      <c r="C317">
        <v>0</v>
      </c>
      <c r="D317">
        <v>3.4311270000001173</v>
      </c>
      <c r="E317">
        <v>0</v>
      </c>
      <c r="F317">
        <v>0</v>
      </c>
    </row>
    <row r="318" spans="1:6">
      <c r="A318">
        <v>159</v>
      </c>
      <c r="B318">
        <v>1.5107189999999946</v>
      </c>
      <c r="C318">
        <v>6.9374930000000177</v>
      </c>
      <c r="D318">
        <v>1.6970800000000281</v>
      </c>
      <c r="E318">
        <v>1.3519810000000234</v>
      </c>
      <c r="F318">
        <v>0.71714800000000878</v>
      </c>
    </row>
    <row r="319" spans="1:6">
      <c r="B319">
        <v>0</v>
      </c>
      <c r="C319">
        <v>0</v>
      </c>
      <c r="D319">
        <v>0</v>
      </c>
      <c r="E319">
        <v>0</v>
      </c>
      <c r="F319">
        <v>0</v>
      </c>
    </row>
    <row r="320" spans="1:6">
      <c r="A320">
        <v>160</v>
      </c>
      <c r="B320">
        <v>0.36872699999997849</v>
      </c>
      <c r="C320">
        <v>0.80689100000000735</v>
      </c>
      <c r="D320">
        <v>0.25564600000001292</v>
      </c>
      <c r="E320">
        <v>2.0763160000000198</v>
      </c>
      <c r="F320">
        <v>1.523680000000013</v>
      </c>
    </row>
    <row r="321" spans="1:6">
      <c r="B321">
        <v>0</v>
      </c>
      <c r="C321">
        <v>0</v>
      </c>
      <c r="D321">
        <v>0</v>
      </c>
      <c r="E321">
        <v>0</v>
      </c>
      <c r="F321">
        <v>0</v>
      </c>
    </row>
    <row r="322" spans="1:6">
      <c r="A322">
        <v>161</v>
      </c>
      <c r="B322">
        <v>0.55287399999997433</v>
      </c>
      <c r="C322">
        <v>1.0577369999999746</v>
      </c>
      <c r="D322">
        <v>4.4805670000000077</v>
      </c>
      <c r="E322">
        <v>5.9241309999999885</v>
      </c>
      <c r="F322">
        <v>0.1945660000000089</v>
      </c>
    </row>
    <row r="323" spans="1:6">
      <c r="B323">
        <v>0</v>
      </c>
      <c r="C323">
        <v>0</v>
      </c>
      <c r="D323">
        <v>0</v>
      </c>
      <c r="E323">
        <v>0</v>
      </c>
      <c r="F323">
        <v>0</v>
      </c>
    </row>
    <row r="324" spans="1:6">
      <c r="A324">
        <v>162</v>
      </c>
      <c r="B324">
        <v>3.2114779999999996</v>
      </c>
      <c r="C324">
        <v>0.69989900000001626</v>
      </c>
      <c r="D324">
        <v>0.88139499999999771</v>
      </c>
      <c r="E324">
        <v>5.3227779999999711</v>
      </c>
      <c r="F324">
        <v>0.36857800000001362</v>
      </c>
    </row>
    <row r="325" spans="1:6">
      <c r="B325">
        <v>0</v>
      </c>
      <c r="C325">
        <v>0</v>
      </c>
      <c r="D325">
        <v>9.7067839999999705</v>
      </c>
      <c r="E325">
        <v>0</v>
      </c>
      <c r="F325">
        <v>0</v>
      </c>
    </row>
    <row r="326" spans="1:6">
      <c r="A326">
        <v>163</v>
      </c>
      <c r="B326">
        <v>0.27384000000000697</v>
      </c>
      <c r="C326">
        <v>14.456945000000019</v>
      </c>
      <c r="D326">
        <v>1.1999630000000252</v>
      </c>
      <c r="E326">
        <v>1.6090599999999995</v>
      </c>
      <c r="F326">
        <v>0.52516900000000533</v>
      </c>
    </row>
    <row r="327" spans="1:6">
      <c r="B327">
        <v>0</v>
      </c>
      <c r="C327">
        <v>0</v>
      </c>
      <c r="D327">
        <v>2.9618380000000002</v>
      </c>
      <c r="E327">
        <v>3.340276000000074</v>
      </c>
      <c r="F327">
        <v>0</v>
      </c>
    </row>
    <row r="328" spans="1:6">
      <c r="A328">
        <v>164</v>
      </c>
      <c r="B328">
        <v>0.32038299999999253</v>
      </c>
      <c r="C328">
        <v>4.1618010000000254</v>
      </c>
      <c r="D328">
        <v>2.0992499999999836</v>
      </c>
      <c r="E328">
        <v>1.5748290000000225</v>
      </c>
      <c r="F328">
        <v>0.90315199999997731</v>
      </c>
    </row>
    <row r="329" spans="1:6">
      <c r="B329">
        <v>0</v>
      </c>
      <c r="C329">
        <v>0</v>
      </c>
      <c r="D329">
        <v>0</v>
      </c>
      <c r="E329">
        <v>0</v>
      </c>
      <c r="F329">
        <v>0</v>
      </c>
    </row>
    <row r="330" spans="1:6">
      <c r="A330">
        <v>165</v>
      </c>
      <c r="B330">
        <v>0.37984799999998131</v>
      </c>
      <c r="C330">
        <v>0.28901999999999362</v>
      </c>
      <c r="D330">
        <v>1.5655459999999835</v>
      </c>
      <c r="E330">
        <v>1.0363770000000159</v>
      </c>
      <c r="F330">
        <v>0.43124199999999746</v>
      </c>
    </row>
    <row r="331" spans="1:6">
      <c r="B331">
        <v>0</v>
      </c>
      <c r="C331">
        <v>0</v>
      </c>
      <c r="D331">
        <v>0</v>
      </c>
      <c r="E331">
        <v>0</v>
      </c>
      <c r="F331">
        <v>0</v>
      </c>
    </row>
    <row r="332" spans="1:6">
      <c r="A332">
        <v>166</v>
      </c>
      <c r="B332">
        <v>0.19795199999998658</v>
      </c>
      <c r="C332">
        <v>3.1951649999999745</v>
      </c>
      <c r="D332">
        <v>0.63587799999999106</v>
      </c>
      <c r="E332">
        <v>0.30573199999997769</v>
      </c>
      <c r="F332">
        <v>3.7387959999999794</v>
      </c>
    </row>
    <row r="333" spans="1:6">
      <c r="B333">
        <v>0</v>
      </c>
      <c r="C333">
        <v>0</v>
      </c>
      <c r="D333">
        <v>13.856480000000033</v>
      </c>
      <c r="E333">
        <v>13.922533999999985</v>
      </c>
      <c r="F333">
        <v>0</v>
      </c>
    </row>
    <row r="334" spans="1:6">
      <c r="A334">
        <v>167</v>
      </c>
      <c r="B334">
        <v>1.4501769999999965</v>
      </c>
      <c r="C334">
        <v>14.672969000000023</v>
      </c>
      <c r="D334">
        <v>0.78156799999999294</v>
      </c>
      <c r="E334">
        <v>6.7021589999999946</v>
      </c>
      <c r="F334">
        <v>1.7933959999999729</v>
      </c>
    </row>
    <row r="335" spans="1:6">
      <c r="B335">
        <v>0</v>
      </c>
      <c r="C335">
        <v>0</v>
      </c>
      <c r="D335">
        <v>1.4685630000000174</v>
      </c>
      <c r="E335">
        <v>0</v>
      </c>
      <c r="F335">
        <v>0</v>
      </c>
    </row>
    <row r="336" spans="1:6">
      <c r="A336">
        <v>168</v>
      </c>
      <c r="B336">
        <v>0.83867700000001832</v>
      </c>
      <c r="C336">
        <v>2.2501310000000103</v>
      </c>
      <c r="D336">
        <v>1.0568160000000262</v>
      </c>
      <c r="E336">
        <v>0.82325200000002496</v>
      </c>
      <c r="F336">
        <v>1.7359730000000013</v>
      </c>
    </row>
    <row r="337" spans="1:6">
      <c r="B337">
        <v>0</v>
      </c>
      <c r="C337">
        <v>0</v>
      </c>
      <c r="D337">
        <v>4.6859369999999672</v>
      </c>
      <c r="E337">
        <v>0.27691899999996394</v>
      </c>
      <c r="F337">
        <v>0</v>
      </c>
    </row>
    <row r="338" spans="1:6">
      <c r="A338">
        <v>169</v>
      </c>
      <c r="B338">
        <v>0.46161100000000488</v>
      </c>
      <c r="C338">
        <v>5.7427529999999933</v>
      </c>
      <c r="D338">
        <v>0.59101399999997284</v>
      </c>
      <c r="E338">
        <v>0.81592699999998786</v>
      </c>
      <c r="F338">
        <v>2.596069</v>
      </c>
    </row>
    <row r="339" spans="1:6">
      <c r="B339">
        <v>0</v>
      </c>
      <c r="C339">
        <v>0</v>
      </c>
      <c r="D339">
        <v>1.4946460000000457</v>
      </c>
      <c r="E339">
        <v>2.129092000000071</v>
      </c>
      <c r="F339">
        <v>0</v>
      </c>
    </row>
    <row r="340" spans="1:6">
      <c r="A340">
        <v>170</v>
      </c>
      <c r="B340">
        <v>2.2209879999999771</v>
      </c>
      <c r="C340">
        <v>2.0856600000000185</v>
      </c>
      <c r="D340">
        <v>1.4503730000000132</v>
      </c>
      <c r="E340">
        <v>13.662788999999975</v>
      </c>
      <c r="F340">
        <v>0.80707999999998492</v>
      </c>
    </row>
    <row r="341" spans="1:6">
      <c r="B341">
        <v>0</v>
      </c>
      <c r="C341">
        <v>0</v>
      </c>
      <c r="D341">
        <v>1.3645869999999718</v>
      </c>
      <c r="E341">
        <v>0</v>
      </c>
      <c r="F341">
        <v>0</v>
      </c>
    </row>
    <row r="342" spans="1:6">
      <c r="A342">
        <v>171</v>
      </c>
      <c r="B342">
        <v>0.3931440000000066</v>
      </c>
      <c r="C342">
        <v>2.814959999999985</v>
      </c>
      <c r="D342">
        <v>1.3566630000000259</v>
      </c>
      <c r="E342">
        <v>1.9390589999999861</v>
      </c>
      <c r="F342">
        <v>1.2085789999999861</v>
      </c>
    </row>
    <row r="343" spans="1:6">
      <c r="B343">
        <v>0</v>
      </c>
      <c r="C343">
        <v>0</v>
      </c>
      <c r="D343">
        <v>0</v>
      </c>
      <c r="E343">
        <v>0</v>
      </c>
      <c r="F343">
        <v>0</v>
      </c>
    </row>
    <row r="344" spans="1:6">
      <c r="A344">
        <v>172</v>
      </c>
      <c r="B344">
        <v>2.9963409999999726</v>
      </c>
      <c r="C344">
        <v>0.24443800000000238</v>
      </c>
      <c r="D344">
        <v>3.8609650000000215</v>
      </c>
      <c r="E344">
        <v>3.4550970000000234</v>
      </c>
      <c r="F344">
        <v>0.61123500000002196</v>
      </c>
    </row>
    <row r="345" spans="1:6">
      <c r="B345">
        <v>0</v>
      </c>
      <c r="C345">
        <v>0</v>
      </c>
      <c r="D345">
        <v>0</v>
      </c>
      <c r="E345">
        <v>0</v>
      </c>
      <c r="F345">
        <v>0</v>
      </c>
    </row>
    <row r="346" spans="1:6">
      <c r="A346">
        <v>173</v>
      </c>
      <c r="B346">
        <v>0.33925599999997758</v>
      </c>
      <c r="C346">
        <v>0.405241999999987</v>
      </c>
      <c r="D346">
        <v>1.1419010000000185</v>
      </c>
      <c r="E346">
        <v>0.77291100000002189</v>
      </c>
      <c r="F346">
        <v>0.79036000000002105</v>
      </c>
    </row>
    <row r="347" spans="1:6">
      <c r="B347">
        <v>0</v>
      </c>
      <c r="C347">
        <v>0</v>
      </c>
      <c r="D347">
        <v>0</v>
      </c>
      <c r="E347">
        <v>0</v>
      </c>
      <c r="F347">
        <v>0</v>
      </c>
    </row>
    <row r="348" spans="1:6">
      <c r="A348">
        <v>174</v>
      </c>
      <c r="B348">
        <v>0.96482500000001892</v>
      </c>
      <c r="C348">
        <v>3.6758879999999863</v>
      </c>
      <c r="D348">
        <v>2.6425949999999716</v>
      </c>
      <c r="E348">
        <v>0.49398400000001175</v>
      </c>
      <c r="F348">
        <v>3.4833380000000034</v>
      </c>
    </row>
    <row r="349" spans="1:6">
      <c r="B349">
        <v>0</v>
      </c>
      <c r="C349">
        <v>0</v>
      </c>
      <c r="D349">
        <v>0</v>
      </c>
      <c r="E349">
        <v>0</v>
      </c>
      <c r="F349">
        <v>0</v>
      </c>
    </row>
    <row r="350" spans="1:6">
      <c r="A350">
        <v>175</v>
      </c>
      <c r="B350">
        <v>0.72557299999999714</v>
      </c>
      <c r="C350">
        <v>0.86724099999997861</v>
      </c>
      <c r="D350">
        <v>1.7229659999999853</v>
      </c>
      <c r="E350">
        <v>0.26087899999998854</v>
      </c>
      <c r="F350">
        <v>0.34392700000000787</v>
      </c>
    </row>
    <row r="351" spans="1:6">
      <c r="B351">
        <v>0</v>
      </c>
      <c r="C351">
        <v>0</v>
      </c>
      <c r="D351">
        <v>0</v>
      </c>
      <c r="E351">
        <v>0</v>
      </c>
      <c r="F351">
        <v>0</v>
      </c>
    </row>
    <row r="352" spans="1:6">
      <c r="A352">
        <v>176</v>
      </c>
      <c r="B352">
        <v>4.035521000000017</v>
      </c>
      <c r="C352">
        <v>0.44587999999998829</v>
      </c>
      <c r="D352">
        <v>1.5524300000000153</v>
      </c>
      <c r="E352">
        <v>0.17385600000000068</v>
      </c>
      <c r="F352">
        <v>0.43440500000002658</v>
      </c>
    </row>
    <row r="353" spans="1:6">
      <c r="B353">
        <v>0</v>
      </c>
      <c r="C353">
        <v>0</v>
      </c>
      <c r="D353">
        <v>0</v>
      </c>
      <c r="E353">
        <v>0</v>
      </c>
      <c r="F353">
        <v>0</v>
      </c>
    </row>
    <row r="354" spans="1:6">
      <c r="A354">
        <v>177</v>
      </c>
      <c r="B354">
        <v>0.55868600000002289</v>
      </c>
      <c r="C354">
        <v>1.4437369999999987</v>
      </c>
      <c r="D354">
        <v>0.31770699999998442</v>
      </c>
      <c r="E354">
        <v>0.49905200000000605</v>
      </c>
      <c r="F354">
        <v>2.0838410000000067</v>
      </c>
    </row>
    <row r="355" spans="1:6">
      <c r="B355">
        <v>0</v>
      </c>
      <c r="C355">
        <v>0</v>
      </c>
      <c r="D355">
        <v>6.22164099999992</v>
      </c>
      <c r="E355">
        <v>0</v>
      </c>
      <c r="F355">
        <v>0</v>
      </c>
    </row>
    <row r="356" spans="1:6">
      <c r="A356">
        <v>178</v>
      </c>
      <c r="B356">
        <v>0.753579000000002</v>
      </c>
      <c r="C356">
        <v>11.734442000000001</v>
      </c>
      <c r="D356">
        <v>0.53968099999997321</v>
      </c>
      <c r="E356">
        <v>0.37367499999999154</v>
      </c>
      <c r="F356">
        <v>1.7592839999999796</v>
      </c>
    </row>
    <row r="357" spans="1:6">
      <c r="B357">
        <v>0</v>
      </c>
      <c r="C357">
        <v>0</v>
      </c>
      <c r="D357">
        <v>2.2265500000000316</v>
      </c>
      <c r="E357">
        <v>6.498320999999919</v>
      </c>
      <c r="F357">
        <v>0</v>
      </c>
    </row>
    <row r="358" spans="1:6">
      <c r="A358">
        <v>179</v>
      </c>
      <c r="B358">
        <v>2.761776999999995</v>
      </c>
      <c r="C358">
        <v>2.7662310000000048</v>
      </c>
      <c r="D358">
        <v>5.1819370000000049</v>
      </c>
      <c r="E358">
        <v>2.110699000000011</v>
      </c>
      <c r="F358">
        <v>0.99214699999998857</v>
      </c>
    </row>
    <row r="359" spans="1:6">
      <c r="B359">
        <v>0</v>
      </c>
      <c r="C359">
        <v>0</v>
      </c>
      <c r="D359">
        <v>0</v>
      </c>
      <c r="E359">
        <v>0.76911300000000438</v>
      </c>
      <c r="F359">
        <v>0</v>
      </c>
    </row>
    <row r="360" spans="1:6">
      <c r="A360">
        <v>180</v>
      </c>
      <c r="B360">
        <v>0.966241000000025</v>
      </c>
      <c r="C360">
        <v>0.43681800000001658</v>
      </c>
      <c r="D360">
        <v>2.8798120000000154</v>
      </c>
      <c r="E360">
        <v>1.5233059999999909</v>
      </c>
      <c r="F360">
        <v>7.3270160000000146</v>
      </c>
    </row>
    <row r="361" spans="1:6">
      <c r="B361">
        <v>0</v>
      </c>
      <c r="C361">
        <v>0</v>
      </c>
      <c r="D361">
        <v>0</v>
      </c>
      <c r="E361">
        <v>0</v>
      </c>
      <c r="F361">
        <v>0</v>
      </c>
    </row>
    <row r="362" spans="1:6">
      <c r="A362">
        <v>181</v>
      </c>
      <c r="B362">
        <v>0.42472099999997681</v>
      </c>
      <c r="C362">
        <v>6.7148859999999786</v>
      </c>
      <c r="D362">
        <v>0.26251800000000003</v>
      </c>
      <c r="E362">
        <v>0.14450799999997344</v>
      </c>
      <c r="F362">
        <v>0.71804500000001781</v>
      </c>
    </row>
    <row r="363" spans="1:6">
      <c r="B363">
        <v>0</v>
      </c>
      <c r="C363">
        <v>0</v>
      </c>
      <c r="D363">
        <v>8.9909999999974843E-2</v>
      </c>
      <c r="E363">
        <v>1.6250370000000203</v>
      </c>
      <c r="F363">
        <v>0</v>
      </c>
    </row>
    <row r="364" spans="1:6">
      <c r="A364">
        <v>182</v>
      </c>
      <c r="B364">
        <v>1.8787330000000111</v>
      </c>
      <c r="C364">
        <v>1.262473</v>
      </c>
      <c r="D364">
        <v>2.9404230000000098</v>
      </c>
      <c r="E364">
        <v>0.88044800000000123</v>
      </c>
      <c r="F364">
        <v>0.48289899999997488</v>
      </c>
    </row>
    <row r="365" spans="1:6">
      <c r="B365">
        <v>0</v>
      </c>
      <c r="C365">
        <v>0</v>
      </c>
      <c r="D365">
        <v>0</v>
      </c>
      <c r="E365">
        <v>2.111376000000007</v>
      </c>
      <c r="F365">
        <v>0</v>
      </c>
    </row>
    <row r="366" spans="1:6">
      <c r="A366">
        <v>183</v>
      </c>
      <c r="B366">
        <v>0.51479999999997972</v>
      </c>
      <c r="C366">
        <v>0.47064000000000306</v>
      </c>
      <c r="D366">
        <v>2.9918240000000083</v>
      </c>
      <c r="E366">
        <v>1.1415789999999788</v>
      </c>
      <c r="F366">
        <v>0.77432700000002797</v>
      </c>
    </row>
    <row r="367" spans="1:6">
      <c r="B367">
        <v>0</v>
      </c>
      <c r="C367">
        <v>0</v>
      </c>
      <c r="D367">
        <v>0</v>
      </c>
      <c r="E367">
        <v>1.4328090000000202</v>
      </c>
      <c r="F367">
        <v>0</v>
      </c>
    </row>
    <row r="368" spans="1:6">
      <c r="A368">
        <v>184</v>
      </c>
      <c r="B368">
        <v>0.3741279999999847</v>
      </c>
      <c r="C368">
        <v>0.32533999999998287</v>
      </c>
      <c r="D368">
        <v>2.574387999999999</v>
      </c>
      <c r="E368">
        <v>3.2145459999999844</v>
      </c>
      <c r="F368">
        <v>3.6445499999999811</v>
      </c>
    </row>
    <row r="369" spans="1:6">
      <c r="B369">
        <v>0</v>
      </c>
      <c r="C369">
        <v>0</v>
      </c>
      <c r="D369">
        <v>0</v>
      </c>
      <c r="E369">
        <v>5.6529140000000098</v>
      </c>
      <c r="F369">
        <v>0</v>
      </c>
    </row>
    <row r="370" spans="1:6">
      <c r="A370">
        <v>185</v>
      </c>
      <c r="B370">
        <v>0.50590999999997166</v>
      </c>
      <c r="C370">
        <v>0.48622599999998783</v>
      </c>
      <c r="D370">
        <v>8.8674599999999941</v>
      </c>
      <c r="E370">
        <v>2.8468950000000177</v>
      </c>
      <c r="F370">
        <v>1.7532509999999775</v>
      </c>
    </row>
    <row r="371" spans="1:6">
      <c r="B371">
        <v>0</v>
      </c>
      <c r="C371">
        <v>0</v>
      </c>
      <c r="D371">
        <v>0</v>
      </c>
      <c r="E371">
        <v>0</v>
      </c>
      <c r="F371">
        <v>5.4001720000000546</v>
      </c>
    </row>
    <row r="372" spans="1:6">
      <c r="A372">
        <v>186</v>
      </c>
      <c r="B372">
        <v>0.56128000000001066</v>
      </c>
      <c r="C372">
        <v>0.37791099999998323</v>
      </c>
      <c r="D372">
        <v>0.83890300000001616</v>
      </c>
      <c r="E372">
        <v>7.4615289999999845</v>
      </c>
      <c r="F372">
        <v>6.628436000000022</v>
      </c>
    </row>
    <row r="373" spans="1:6">
      <c r="B373">
        <v>0</v>
      </c>
      <c r="C373">
        <v>0</v>
      </c>
      <c r="D373">
        <v>0</v>
      </c>
      <c r="E373">
        <v>0</v>
      </c>
      <c r="F373">
        <v>0</v>
      </c>
    </row>
    <row r="374" spans="1:6">
      <c r="A374">
        <v>187</v>
      </c>
      <c r="B374">
        <v>1.8281680000000051</v>
      </c>
      <c r="C374">
        <v>1.3462010000000078</v>
      </c>
      <c r="D374">
        <v>1.3965390000000184</v>
      </c>
      <c r="E374">
        <v>0.55314499999997224</v>
      </c>
      <c r="F374">
        <v>0.65677699999997685</v>
      </c>
    </row>
    <row r="375" spans="1:6">
      <c r="B375">
        <v>0</v>
      </c>
      <c r="C375">
        <v>0</v>
      </c>
      <c r="D375">
        <v>0</v>
      </c>
      <c r="E375">
        <v>0</v>
      </c>
      <c r="F375">
        <v>9.2734579999999482</v>
      </c>
    </row>
    <row r="376" spans="1:6">
      <c r="A376">
        <v>188</v>
      </c>
      <c r="B376">
        <v>0.83374199999997245</v>
      </c>
      <c r="C376">
        <v>1.1730269999999905</v>
      </c>
      <c r="D376">
        <v>0.34506499999997686</v>
      </c>
      <c r="E376">
        <v>16.005525999999975</v>
      </c>
      <c r="F376">
        <v>1.8586250000000177</v>
      </c>
    </row>
    <row r="377" spans="1:6">
      <c r="B377">
        <v>0</v>
      </c>
      <c r="C377">
        <v>0</v>
      </c>
      <c r="D377">
        <v>0</v>
      </c>
      <c r="E377">
        <v>0</v>
      </c>
      <c r="F377">
        <v>0</v>
      </c>
    </row>
    <row r="378" spans="1:6">
      <c r="A378">
        <v>189</v>
      </c>
      <c r="B378">
        <v>0.81808999999998377</v>
      </c>
      <c r="C378">
        <v>2.316835000000026</v>
      </c>
      <c r="D378">
        <v>0.74594200000001365</v>
      </c>
      <c r="E378">
        <v>1.232814000000019</v>
      </c>
      <c r="F378">
        <v>1.2269929999999931</v>
      </c>
    </row>
    <row r="379" spans="1:6">
      <c r="B379">
        <v>0</v>
      </c>
      <c r="C379">
        <v>0</v>
      </c>
      <c r="D379">
        <v>0</v>
      </c>
      <c r="E379">
        <v>0</v>
      </c>
      <c r="F379">
        <v>0.15116599999998925</v>
      </c>
    </row>
    <row r="380" spans="1:6">
      <c r="A380">
        <v>190</v>
      </c>
      <c r="B380">
        <v>0.12836099999998396</v>
      </c>
      <c r="C380">
        <v>0.2878650000000107</v>
      </c>
      <c r="D380">
        <v>0.98990900000001147</v>
      </c>
      <c r="E380">
        <v>2.0039699999999812</v>
      </c>
      <c r="F380">
        <v>2.3089979999999741</v>
      </c>
    </row>
    <row r="381" spans="1:6">
      <c r="B381">
        <v>0</v>
      </c>
      <c r="C381">
        <v>0</v>
      </c>
      <c r="D381">
        <v>0</v>
      </c>
      <c r="E381">
        <v>0</v>
      </c>
      <c r="F381">
        <v>0</v>
      </c>
    </row>
    <row r="382" spans="1:6">
      <c r="A382">
        <v>191</v>
      </c>
      <c r="B382">
        <v>1.287824999999998</v>
      </c>
      <c r="C382">
        <v>2.0054509999999937</v>
      </c>
      <c r="D382">
        <v>1.599897999999996</v>
      </c>
      <c r="E382">
        <v>1.4457279999999741</v>
      </c>
      <c r="F382">
        <v>2.4552310000000261</v>
      </c>
    </row>
    <row r="383" spans="1:6">
      <c r="B383">
        <v>0</v>
      </c>
      <c r="C383">
        <v>0</v>
      </c>
      <c r="D383">
        <v>0</v>
      </c>
      <c r="E383">
        <v>0</v>
      </c>
      <c r="F383">
        <v>0</v>
      </c>
    </row>
    <row r="384" spans="1:6">
      <c r="A384">
        <v>192</v>
      </c>
      <c r="B384">
        <v>1.4304300000000012</v>
      </c>
      <c r="C384">
        <v>1.0326380000000199</v>
      </c>
      <c r="D384">
        <v>0.75397500000002537</v>
      </c>
      <c r="E384">
        <v>0.22307299999999941</v>
      </c>
      <c r="F384">
        <v>2.1137749999999755</v>
      </c>
    </row>
    <row r="385" spans="1:6">
      <c r="B385">
        <v>0</v>
      </c>
      <c r="C385">
        <v>0</v>
      </c>
      <c r="D385">
        <v>0</v>
      </c>
      <c r="E385">
        <v>0</v>
      </c>
      <c r="F385">
        <v>0.62148200000001452</v>
      </c>
    </row>
    <row r="386" spans="1:6">
      <c r="A386">
        <v>193</v>
      </c>
      <c r="B386">
        <v>0.29817900000000463</v>
      </c>
      <c r="C386">
        <v>6.5365239999999858</v>
      </c>
      <c r="D386">
        <v>5.8993130000000065</v>
      </c>
      <c r="E386">
        <v>5.8306850000000168</v>
      </c>
      <c r="F386">
        <v>3.8588589999999954</v>
      </c>
    </row>
    <row r="387" spans="1:6">
      <c r="B387">
        <v>0</v>
      </c>
      <c r="C387">
        <v>0</v>
      </c>
      <c r="D387">
        <v>0</v>
      </c>
      <c r="E387">
        <v>0</v>
      </c>
      <c r="F387">
        <v>0</v>
      </c>
    </row>
    <row r="388" spans="1:6">
      <c r="A388">
        <v>194</v>
      </c>
      <c r="B388">
        <v>1.070555000000013</v>
      </c>
      <c r="C388">
        <v>0.19318299999997635</v>
      </c>
      <c r="D388">
        <v>2.4079110000000128</v>
      </c>
      <c r="E388">
        <v>0.68274000000002388</v>
      </c>
      <c r="F388">
        <v>3.7801880000000097</v>
      </c>
    </row>
    <row r="389" spans="1:6">
      <c r="B389">
        <v>0</v>
      </c>
      <c r="C389">
        <v>0</v>
      </c>
      <c r="D389">
        <v>0</v>
      </c>
      <c r="E389">
        <v>0</v>
      </c>
      <c r="F389">
        <v>0</v>
      </c>
    </row>
    <row r="390" spans="1:6">
      <c r="A390">
        <v>195</v>
      </c>
      <c r="B390">
        <v>3.9242150000000038</v>
      </c>
      <c r="C390">
        <v>1.2360649999999964</v>
      </c>
      <c r="D390">
        <v>1.5879269999999792</v>
      </c>
      <c r="E390">
        <v>6.9911999999987984E-2</v>
      </c>
      <c r="F390">
        <v>0.2021750000000111</v>
      </c>
    </row>
    <row r="391" spans="1:6">
      <c r="B391">
        <v>0</v>
      </c>
      <c r="C391">
        <v>0</v>
      </c>
      <c r="D391">
        <v>0</v>
      </c>
      <c r="E391">
        <v>0</v>
      </c>
      <c r="F391">
        <v>0</v>
      </c>
    </row>
    <row r="392" spans="1:6">
      <c r="A392">
        <v>196</v>
      </c>
      <c r="B392">
        <v>1.7077179999999998</v>
      </c>
      <c r="C392">
        <v>0.10907300000002351</v>
      </c>
      <c r="D392">
        <v>0.94459399999999505</v>
      </c>
      <c r="E392">
        <v>1.8001540000000205</v>
      </c>
      <c r="F392">
        <v>0.25425100000001066</v>
      </c>
    </row>
    <row r="393" spans="1:6">
      <c r="B393">
        <v>0</v>
      </c>
      <c r="C393">
        <v>0</v>
      </c>
      <c r="D393">
        <v>0</v>
      </c>
      <c r="E393">
        <v>0</v>
      </c>
      <c r="F393">
        <v>0</v>
      </c>
    </row>
    <row r="394" spans="1:6">
      <c r="A394">
        <v>197</v>
      </c>
      <c r="B394">
        <v>0.30568199999999024</v>
      </c>
      <c r="C394">
        <v>1.3428000000000111</v>
      </c>
      <c r="D394">
        <v>5.2497349999999869</v>
      </c>
      <c r="E394">
        <v>3.2349479999999744</v>
      </c>
      <c r="F394">
        <v>1.0915069999999787</v>
      </c>
    </row>
    <row r="395" spans="1:6">
      <c r="B395">
        <v>0</v>
      </c>
      <c r="C395">
        <v>0</v>
      </c>
      <c r="D395">
        <v>0</v>
      </c>
      <c r="E395">
        <v>0</v>
      </c>
      <c r="F395">
        <v>3.9413920000000076</v>
      </c>
    </row>
    <row r="396" spans="1:6">
      <c r="A396">
        <v>198</v>
      </c>
      <c r="B396">
        <v>0.60363599999999451</v>
      </c>
      <c r="C396">
        <v>1.286563000000001</v>
      </c>
      <c r="D396">
        <v>7.9006999999990057E-2</v>
      </c>
      <c r="E396">
        <v>7.3406180000000063</v>
      </c>
      <c r="F396">
        <v>1.2307850000000258</v>
      </c>
    </row>
    <row r="397" spans="1:6">
      <c r="B397">
        <v>0</v>
      </c>
      <c r="C397">
        <v>0</v>
      </c>
      <c r="D397">
        <v>0</v>
      </c>
      <c r="E397">
        <v>0</v>
      </c>
      <c r="F397">
        <v>0</v>
      </c>
    </row>
    <row r="398" spans="1:6">
      <c r="A398">
        <v>199</v>
      </c>
      <c r="B398">
        <v>0.32732600000002776</v>
      </c>
      <c r="C398">
        <v>12.16450500000002</v>
      </c>
      <c r="D398">
        <v>1.3298419999999851</v>
      </c>
      <c r="E398">
        <v>0.63603599999999005</v>
      </c>
      <c r="F398">
        <v>1.2044319999999971</v>
      </c>
    </row>
    <row r="399" spans="1:6">
      <c r="B399">
        <v>0</v>
      </c>
      <c r="C399">
        <v>0</v>
      </c>
      <c r="D399">
        <v>0</v>
      </c>
      <c r="E399">
        <v>0</v>
      </c>
      <c r="F399">
        <v>0</v>
      </c>
    </row>
    <row r="400" spans="1:6">
      <c r="A400">
        <v>200</v>
      </c>
      <c r="B400">
        <v>3.9994110000000092</v>
      </c>
      <c r="C400">
        <v>1.7893250000000194</v>
      </c>
      <c r="D400">
        <v>0.42722800000001371</v>
      </c>
      <c r="E400">
        <v>0.71665799999999535</v>
      </c>
      <c r="F400">
        <v>35.389039000000025</v>
      </c>
    </row>
    <row r="401" spans="1:6">
      <c r="B401">
        <v>0</v>
      </c>
      <c r="C401">
        <v>0</v>
      </c>
      <c r="D401">
        <v>0</v>
      </c>
      <c r="E401">
        <v>0</v>
      </c>
      <c r="F401">
        <v>0</v>
      </c>
    </row>
    <row r="402" spans="1:6">
      <c r="A402">
        <v>201</v>
      </c>
      <c r="B402">
        <v>0.30435599999998431</v>
      </c>
      <c r="C402">
        <v>0.37283200000001671</v>
      </c>
      <c r="D402">
        <v>1.0979770000000144</v>
      </c>
      <c r="E402">
        <v>0.11832099999998036</v>
      </c>
      <c r="F402">
        <v>2.7027610000000095</v>
      </c>
    </row>
    <row r="403" spans="1:6">
      <c r="B403">
        <v>0</v>
      </c>
      <c r="C403">
        <v>0</v>
      </c>
      <c r="D403">
        <v>0</v>
      </c>
      <c r="E403">
        <v>0</v>
      </c>
      <c r="F403">
        <v>0</v>
      </c>
    </row>
    <row r="404" spans="1:6">
      <c r="A404">
        <v>202</v>
      </c>
      <c r="B404">
        <v>1.5588660000000232</v>
      </c>
      <c r="C404">
        <v>1.1128439999999955</v>
      </c>
      <c r="D404">
        <v>0.54802599999999302</v>
      </c>
      <c r="E404">
        <v>4.8590520000000197</v>
      </c>
      <c r="F404">
        <v>1.5569130000000087</v>
      </c>
    </row>
    <row r="405" spans="1:6">
      <c r="B405">
        <v>0</v>
      </c>
      <c r="C405">
        <v>0</v>
      </c>
      <c r="D405">
        <v>0</v>
      </c>
      <c r="E405">
        <v>0</v>
      </c>
      <c r="F405">
        <v>0</v>
      </c>
    </row>
    <row r="406" spans="1:6">
      <c r="A406">
        <v>203</v>
      </c>
      <c r="B406">
        <v>4.0096189999999865</v>
      </c>
      <c r="C406">
        <v>0.44796900000000051</v>
      </c>
      <c r="D406">
        <v>1.6508269999999925</v>
      </c>
      <c r="E406">
        <v>2.801433999999972</v>
      </c>
      <c r="F406">
        <v>11.772882999999979</v>
      </c>
    </row>
    <row r="407" spans="1:6">
      <c r="B407">
        <v>0</v>
      </c>
      <c r="C407">
        <v>0</v>
      </c>
      <c r="D407">
        <v>0</v>
      </c>
      <c r="E407">
        <v>0</v>
      </c>
      <c r="F407">
        <v>0</v>
      </c>
    </row>
    <row r="408" spans="1:6">
      <c r="A408">
        <v>204</v>
      </c>
      <c r="B408">
        <v>0.7384609999999725</v>
      </c>
      <c r="C408">
        <v>0.35612200000002758</v>
      </c>
      <c r="D408">
        <v>1.33911599999999</v>
      </c>
      <c r="E408">
        <v>0.85489899999998897</v>
      </c>
      <c r="F408">
        <v>1.1510680000000093</v>
      </c>
    </row>
    <row r="409" spans="1:6">
      <c r="B409">
        <v>0</v>
      </c>
      <c r="C409">
        <v>0</v>
      </c>
      <c r="D409">
        <v>0</v>
      </c>
      <c r="E409">
        <v>0</v>
      </c>
      <c r="F409">
        <v>0</v>
      </c>
    </row>
    <row r="410" spans="1:6">
      <c r="A410">
        <v>205</v>
      </c>
      <c r="B410">
        <v>0.38677200000000767</v>
      </c>
      <c r="C410">
        <v>3.5395280000000184</v>
      </c>
      <c r="D410">
        <v>2.1725940000000037</v>
      </c>
      <c r="E410">
        <v>0.12398500000000467</v>
      </c>
      <c r="F410">
        <v>0.8353029999999535</v>
      </c>
    </row>
    <row r="411" spans="1:6">
      <c r="B411">
        <v>0</v>
      </c>
      <c r="C411">
        <v>0</v>
      </c>
      <c r="D411">
        <v>0</v>
      </c>
      <c r="E411">
        <v>0</v>
      </c>
      <c r="F411">
        <v>0</v>
      </c>
    </row>
    <row r="412" spans="1:6">
      <c r="A412">
        <v>206</v>
      </c>
      <c r="B412">
        <v>3.1918130000000247</v>
      </c>
      <c r="C412">
        <v>1.8549889999999891</v>
      </c>
      <c r="D412">
        <v>3.1912909999999783</v>
      </c>
      <c r="E412">
        <v>13.219813999999985</v>
      </c>
      <c r="F412">
        <v>0.13181699999995544</v>
      </c>
    </row>
    <row r="413" spans="1:6">
      <c r="B413">
        <v>0</v>
      </c>
      <c r="C413">
        <v>0</v>
      </c>
      <c r="D413">
        <v>0</v>
      </c>
      <c r="E413">
        <v>0</v>
      </c>
      <c r="F413">
        <v>0</v>
      </c>
    </row>
    <row r="414" spans="1:6">
      <c r="A414">
        <v>207</v>
      </c>
      <c r="B414">
        <v>1.0508360000000039</v>
      </c>
      <c r="C414">
        <v>0.16817900000000918</v>
      </c>
      <c r="D414">
        <v>0.12524999999999409</v>
      </c>
      <c r="E414">
        <v>0.35670699999997169</v>
      </c>
      <c r="F414">
        <v>3.4105710000000045</v>
      </c>
    </row>
    <row r="415" spans="1:6">
      <c r="B415">
        <v>0</v>
      </c>
      <c r="C415">
        <v>0</v>
      </c>
      <c r="D415">
        <v>0</v>
      </c>
      <c r="E415">
        <v>0</v>
      </c>
      <c r="F415">
        <v>0</v>
      </c>
    </row>
    <row r="416" spans="1:6">
      <c r="A416">
        <v>208</v>
      </c>
      <c r="B416">
        <v>13.186610999999971</v>
      </c>
      <c r="C416">
        <v>0.24100099999998292</v>
      </c>
      <c r="D416">
        <v>3.3855260000000271</v>
      </c>
      <c r="E416">
        <v>0.48916200000002164</v>
      </c>
      <c r="F416">
        <v>0.44392400000003818</v>
      </c>
    </row>
    <row r="417" spans="1:6">
      <c r="B417">
        <v>0</v>
      </c>
      <c r="C417">
        <v>0</v>
      </c>
      <c r="D417">
        <v>0</v>
      </c>
      <c r="E417">
        <v>0</v>
      </c>
      <c r="F417">
        <v>0</v>
      </c>
    </row>
    <row r="418" spans="1:6">
      <c r="A418">
        <v>209</v>
      </c>
      <c r="B418">
        <v>2.360478999999998</v>
      </c>
      <c r="C418">
        <v>2.802063999999973</v>
      </c>
      <c r="D418">
        <v>1.2503849999999943</v>
      </c>
      <c r="E418">
        <v>7.9501369999999838</v>
      </c>
      <c r="F418">
        <v>0.83517500000004929</v>
      </c>
    </row>
    <row r="419" spans="1:6">
      <c r="B419">
        <v>0</v>
      </c>
      <c r="C419">
        <v>0</v>
      </c>
      <c r="D419">
        <v>0</v>
      </c>
      <c r="E419">
        <v>0</v>
      </c>
      <c r="F419">
        <v>0</v>
      </c>
    </row>
    <row r="420" spans="1:6">
      <c r="A420">
        <v>210</v>
      </c>
      <c r="B420">
        <v>2.3691939999999931</v>
      </c>
      <c r="C420">
        <v>0.64742499999999836</v>
      </c>
      <c r="D420">
        <v>0.61634299999997211</v>
      </c>
      <c r="E420">
        <v>0.88328799999999319</v>
      </c>
      <c r="F420">
        <v>0.66472299999998086</v>
      </c>
    </row>
    <row r="421" spans="1:6">
      <c r="B421">
        <v>0</v>
      </c>
      <c r="C421">
        <v>0</v>
      </c>
      <c r="D421">
        <v>0</v>
      </c>
      <c r="E421">
        <v>0</v>
      </c>
      <c r="F421">
        <v>0</v>
      </c>
    </row>
    <row r="422" spans="1:6">
      <c r="A422">
        <v>211</v>
      </c>
      <c r="B422">
        <v>1.9081479999999829</v>
      </c>
      <c r="C422">
        <v>0.46088300000002391</v>
      </c>
      <c r="D422">
        <v>2.5218869999999924</v>
      </c>
      <c r="E422">
        <v>0.68564900000001217</v>
      </c>
      <c r="F422">
        <v>1.3216780000000199</v>
      </c>
    </row>
    <row r="423" spans="1:6">
      <c r="B423">
        <v>0</v>
      </c>
      <c r="C423">
        <v>0</v>
      </c>
      <c r="D423">
        <v>0</v>
      </c>
      <c r="E423">
        <v>0</v>
      </c>
      <c r="F423">
        <v>0</v>
      </c>
    </row>
    <row r="424" spans="1:6">
      <c r="A424">
        <v>212</v>
      </c>
      <c r="B424">
        <v>1.0485049999999774</v>
      </c>
      <c r="C424">
        <v>2.3355490000000145</v>
      </c>
      <c r="D424">
        <v>0.67529500000000553</v>
      </c>
      <c r="E424">
        <v>0.6355130000000031</v>
      </c>
      <c r="F424">
        <v>1.9423229999999876</v>
      </c>
    </row>
    <row r="425" spans="1:6">
      <c r="B425">
        <v>0</v>
      </c>
      <c r="C425">
        <v>0</v>
      </c>
      <c r="D425">
        <v>0</v>
      </c>
      <c r="E425">
        <v>0</v>
      </c>
      <c r="F425">
        <v>0</v>
      </c>
    </row>
    <row r="426" spans="1:6">
      <c r="A426">
        <v>213</v>
      </c>
      <c r="B426">
        <v>0.1073830000000271</v>
      </c>
      <c r="C426">
        <v>8.3936999999991713E-2</v>
      </c>
      <c r="D426">
        <v>1.0696849999999927</v>
      </c>
      <c r="E426">
        <v>0.16818399999999656</v>
      </c>
      <c r="F426">
        <v>1.1965719999999465</v>
      </c>
    </row>
    <row r="427" spans="1:6">
      <c r="B427">
        <v>0</v>
      </c>
      <c r="C427">
        <v>0</v>
      </c>
      <c r="D427">
        <v>0</v>
      </c>
      <c r="E427">
        <v>0</v>
      </c>
      <c r="F427">
        <v>0</v>
      </c>
    </row>
    <row r="428" spans="1:6">
      <c r="A428">
        <v>214</v>
      </c>
      <c r="B428">
        <v>1.280713999999989</v>
      </c>
      <c r="C428">
        <v>0.12314800000001469</v>
      </c>
      <c r="D428">
        <v>1.3638990000000035</v>
      </c>
      <c r="E428">
        <v>1.4097290000000271</v>
      </c>
      <c r="F428">
        <v>1.360272000000009</v>
      </c>
    </row>
    <row r="429" spans="1:6">
      <c r="B429">
        <v>0</v>
      </c>
      <c r="C429">
        <v>0</v>
      </c>
      <c r="D429">
        <v>0</v>
      </c>
      <c r="E429">
        <v>0</v>
      </c>
      <c r="F429">
        <v>0</v>
      </c>
    </row>
    <row r="430" spans="1:6">
      <c r="A430">
        <v>215</v>
      </c>
      <c r="B430">
        <v>0.20886799999999539</v>
      </c>
      <c r="C430">
        <v>2.6032470000000103</v>
      </c>
      <c r="D430">
        <v>2.8430329999999913</v>
      </c>
      <c r="E430">
        <v>2.2773030000000176</v>
      </c>
      <c r="F430">
        <v>1.3078689999999824</v>
      </c>
    </row>
    <row r="431" spans="1:6">
      <c r="B431">
        <v>0</v>
      </c>
      <c r="C431">
        <v>0</v>
      </c>
      <c r="D431">
        <v>0</v>
      </c>
      <c r="E431">
        <v>0</v>
      </c>
      <c r="F431">
        <v>0</v>
      </c>
    </row>
    <row r="432" spans="1:6">
      <c r="A432">
        <v>216</v>
      </c>
      <c r="B432">
        <v>1.2823930000000132</v>
      </c>
      <c r="C432">
        <v>5.1350729999999771</v>
      </c>
      <c r="D432">
        <v>0.3453349999999773</v>
      </c>
      <c r="E432">
        <v>3.5951790000000301</v>
      </c>
      <c r="F432">
        <v>0.39808400000003985</v>
      </c>
    </row>
    <row r="433" spans="1:6">
      <c r="B433">
        <v>0</v>
      </c>
      <c r="C433">
        <v>0</v>
      </c>
      <c r="D433">
        <v>0</v>
      </c>
      <c r="E433">
        <v>0</v>
      </c>
      <c r="F433">
        <v>0</v>
      </c>
    </row>
    <row r="434" spans="1:6">
      <c r="A434">
        <v>217</v>
      </c>
      <c r="B434">
        <v>0.34944200000001047</v>
      </c>
      <c r="C434">
        <v>0.47691200000002709</v>
      </c>
      <c r="D434">
        <v>0.65198099999997794</v>
      </c>
      <c r="E434">
        <v>0.3313389999999572</v>
      </c>
      <c r="F434">
        <v>2.9651810000000296</v>
      </c>
    </row>
    <row r="435" spans="1:6">
      <c r="B435">
        <v>0</v>
      </c>
      <c r="C435">
        <v>0</v>
      </c>
      <c r="D435">
        <v>0</v>
      </c>
      <c r="E435">
        <v>0</v>
      </c>
      <c r="F435">
        <v>0</v>
      </c>
    </row>
    <row r="436" spans="1:6">
      <c r="A436">
        <v>218</v>
      </c>
      <c r="B436">
        <v>0.74320899999997891</v>
      </c>
      <c r="C436">
        <v>0.63069999999999027</v>
      </c>
      <c r="D436">
        <v>0.86256100000002789</v>
      </c>
      <c r="E436">
        <v>0.5816939999999704</v>
      </c>
      <c r="F436">
        <v>3.7296830000000227</v>
      </c>
    </row>
    <row r="437" spans="1:6">
      <c r="B437">
        <v>0</v>
      </c>
      <c r="C437">
        <v>0</v>
      </c>
      <c r="D437">
        <v>0</v>
      </c>
      <c r="E437">
        <v>0</v>
      </c>
      <c r="F437">
        <v>0</v>
      </c>
    </row>
    <row r="438" spans="1:6">
      <c r="A438">
        <v>219</v>
      </c>
      <c r="B438">
        <v>5.0688430000000153</v>
      </c>
      <c r="C438">
        <v>3.8537989999999809</v>
      </c>
      <c r="D438">
        <v>1.6540519999999788</v>
      </c>
      <c r="E438">
        <v>1.5208790000000363</v>
      </c>
      <c r="F438">
        <v>0.89796999999998661</v>
      </c>
    </row>
    <row r="439" spans="1:6">
      <c r="B439">
        <v>0</v>
      </c>
      <c r="C439">
        <v>0</v>
      </c>
      <c r="D439">
        <v>0</v>
      </c>
      <c r="E439">
        <v>0</v>
      </c>
      <c r="F439">
        <v>0</v>
      </c>
    </row>
    <row r="440" spans="1:6">
      <c r="A440">
        <v>220</v>
      </c>
      <c r="B440">
        <v>0.3517659999999978</v>
      </c>
      <c r="C440">
        <v>0.88916799999998375</v>
      </c>
      <c r="D440">
        <v>0.98723200000000588</v>
      </c>
      <c r="E440">
        <v>4.8996190000000297</v>
      </c>
      <c r="F440">
        <v>0.51917700000001332</v>
      </c>
    </row>
    <row r="441" spans="1:6">
      <c r="B441">
        <v>0</v>
      </c>
      <c r="C441">
        <v>0</v>
      </c>
      <c r="D441">
        <v>0</v>
      </c>
      <c r="E441">
        <v>0</v>
      </c>
      <c r="F441">
        <v>0</v>
      </c>
    </row>
    <row r="442" spans="1:6">
      <c r="A442">
        <v>221</v>
      </c>
      <c r="B442">
        <v>6.4404230000000098</v>
      </c>
      <c r="C442">
        <v>0.79298699999998234</v>
      </c>
      <c r="D442">
        <v>0.64481499999999414</v>
      </c>
      <c r="E442">
        <v>0.57601699999997891</v>
      </c>
      <c r="F442">
        <v>0.81756900000004862</v>
      </c>
    </row>
    <row r="443" spans="1:6">
      <c r="B443">
        <v>0</v>
      </c>
      <c r="C443">
        <v>0</v>
      </c>
      <c r="D443">
        <v>7.1349240000001259</v>
      </c>
      <c r="E443">
        <v>0</v>
      </c>
      <c r="F443">
        <v>0</v>
      </c>
    </row>
    <row r="444" spans="1:6">
      <c r="A444">
        <v>222</v>
      </c>
      <c r="B444">
        <v>6.4023199999999747</v>
      </c>
      <c r="C444">
        <v>14.693389000000025</v>
      </c>
      <c r="D444">
        <v>1.0940009999999916</v>
      </c>
      <c r="E444">
        <v>0.77598799999998391</v>
      </c>
      <c r="F444">
        <v>3.1913359999999784</v>
      </c>
    </row>
    <row r="445" spans="1:6">
      <c r="B445">
        <v>0</v>
      </c>
      <c r="C445">
        <v>0</v>
      </c>
      <c r="D445">
        <v>0</v>
      </c>
      <c r="E445">
        <v>0</v>
      </c>
      <c r="F445">
        <v>0</v>
      </c>
    </row>
    <row r="446" spans="1:6">
      <c r="A446">
        <v>223</v>
      </c>
      <c r="B446">
        <v>0.35321199999998498</v>
      </c>
      <c r="C446">
        <v>0.51011499999998478</v>
      </c>
      <c r="D446">
        <v>3.0208410000000185</v>
      </c>
      <c r="E446">
        <v>2.9435529999999517</v>
      </c>
      <c r="F446">
        <v>0.17936199999996916</v>
      </c>
    </row>
    <row r="447" spans="1:6">
      <c r="B447">
        <v>0</v>
      </c>
      <c r="C447">
        <v>0</v>
      </c>
      <c r="D447">
        <v>0.62687999999997146</v>
      </c>
      <c r="E447">
        <v>0</v>
      </c>
      <c r="F447">
        <v>0</v>
      </c>
    </row>
    <row r="448" spans="1:6">
      <c r="A448">
        <v>224</v>
      </c>
      <c r="B448">
        <v>3.5943609999999921</v>
      </c>
      <c r="C448">
        <v>4.2316069999999968</v>
      </c>
      <c r="D448">
        <v>0.37309800000002724</v>
      </c>
      <c r="E448">
        <v>1.1648430000000189</v>
      </c>
      <c r="F448">
        <v>0.71684000000004744</v>
      </c>
    </row>
    <row r="449" spans="1:6">
      <c r="B449">
        <v>0</v>
      </c>
      <c r="C449">
        <v>0</v>
      </c>
      <c r="D449">
        <v>0</v>
      </c>
      <c r="E449">
        <v>0</v>
      </c>
      <c r="F449">
        <v>0</v>
      </c>
    </row>
    <row r="450" spans="1:6">
      <c r="A450">
        <v>225</v>
      </c>
      <c r="B450">
        <v>1.0015220000000227</v>
      </c>
      <c r="C450">
        <v>0.24824399999999969</v>
      </c>
      <c r="D450">
        <v>6.9592710000000011</v>
      </c>
      <c r="E450">
        <v>0.49313600000004953</v>
      </c>
      <c r="F450">
        <v>1.9899020000000291</v>
      </c>
    </row>
    <row r="451" spans="1:6">
      <c r="B451">
        <v>0</v>
      </c>
      <c r="C451">
        <v>0</v>
      </c>
      <c r="D451">
        <v>0</v>
      </c>
      <c r="E451">
        <v>0</v>
      </c>
      <c r="F451">
        <v>0</v>
      </c>
    </row>
    <row r="452" spans="1:6">
      <c r="A452">
        <v>226</v>
      </c>
      <c r="B452">
        <v>4.79840200000001</v>
      </c>
      <c r="C452">
        <v>1.7203600000000279</v>
      </c>
      <c r="D452">
        <v>1.693380999999988</v>
      </c>
      <c r="E452">
        <v>0.38808100000005652</v>
      </c>
      <c r="F452">
        <v>1.1660419999999476</v>
      </c>
    </row>
    <row r="453" spans="1:6">
      <c r="B453">
        <v>0</v>
      </c>
      <c r="C453">
        <v>0</v>
      </c>
      <c r="D453">
        <v>0</v>
      </c>
      <c r="E453">
        <v>0</v>
      </c>
      <c r="F453">
        <v>0</v>
      </c>
    </row>
    <row r="454" spans="1:6">
      <c r="A454">
        <v>227</v>
      </c>
      <c r="B454">
        <v>0.60348199999998542</v>
      </c>
      <c r="C454">
        <v>2.2691259999999716</v>
      </c>
      <c r="D454">
        <v>2.6396379999999908</v>
      </c>
      <c r="E454">
        <v>2.2994770000000244</v>
      </c>
      <c r="F454">
        <v>3.2061019999999871</v>
      </c>
    </row>
    <row r="455" spans="1:6">
      <c r="B455">
        <v>0</v>
      </c>
      <c r="C455">
        <v>0</v>
      </c>
      <c r="D455">
        <v>0</v>
      </c>
      <c r="E455">
        <v>0</v>
      </c>
      <c r="F455">
        <v>0</v>
      </c>
    </row>
    <row r="456" spans="1:6">
      <c r="A456">
        <v>228</v>
      </c>
      <c r="B456">
        <v>4.2522089999999935</v>
      </c>
      <c r="C456">
        <v>0.3311610000000087</v>
      </c>
      <c r="D456">
        <v>1.7218159999999898</v>
      </c>
      <c r="E456">
        <v>2.3638919999999644</v>
      </c>
      <c r="F456">
        <v>2.8596109999999726</v>
      </c>
    </row>
    <row r="457" spans="1:6">
      <c r="B457">
        <v>0</v>
      </c>
      <c r="C457">
        <v>0</v>
      </c>
      <c r="D457">
        <v>0</v>
      </c>
      <c r="E457">
        <v>0</v>
      </c>
      <c r="F457">
        <v>0</v>
      </c>
    </row>
    <row r="458" spans="1:6">
      <c r="A458">
        <v>229</v>
      </c>
      <c r="B458">
        <v>13.734601999999995</v>
      </c>
      <c r="C458">
        <v>0.14844699999997601</v>
      </c>
      <c r="D458">
        <v>2.2187410000000227</v>
      </c>
      <c r="E458">
        <v>1.2228999999999814</v>
      </c>
      <c r="F458">
        <v>0.96788500000002387</v>
      </c>
    </row>
    <row r="459" spans="1:6">
      <c r="B459">
        <v>0</v>
      </c>
      <c r="C459">
        <v>0</v>
      </c>
      <c r="D459">
        <v>0</v>
      </c>
      <c r="E459">
        <v>0</v>
      </c>
      <c r="F459">
        <v>0</v>
      </c>
    </row>
    <row r="460" spans="1:6">
      <c r="A460">
        <v>230</v>
      </c>
      <c r="B460">
        <v>3.4161280000000147</v>
      </c>
      <c r="C460">
        <v>1.0773909999999773</v>
      </c>
      <c r="D460">
        <v>0.90467799999998988</v>
      </c>
      <c r="E460">
        <v>0.37039400000003297</v>
      </c>
      <c r="F460">
        <v>0.71700899999996182</v>
      </c>
    </row>
    <row r="461" spans="1:6">
      <c r="B461">
        <v>0</v>
      </c>
      <c r="C461">
        <v>0</v>
      </c>
      <c r="D461">
        <v>0</v>
      </c>
      <c r="E461">
        <v>0</v>
      </c>
      <c r="F461">
        <v>0</v>
      </c>
    </row>
    <row r="462" spans="1:6">
      <c r="A462">
        <v>231</v>
      </c>
      <c r="B462">
        <v>0.84380299999997987</v>
      </c>
      <c r="C462">
        <v>0.6250919999999951</v>
      </c>
      <c r="D462">
        <v>5.5754539999999793</v>
      </c>
      <c r="E462">
        <v>0.66671299999995881</v>
      </c>
      <c r="F462">
        <v>1.1378320000000031</v>
      </c>
    </row>
    <row r="463" spans="1:6">
      <c r="B463">
        <v>0</v>
      </c>
      <c r="C463">
        <v>0</v>
      </c>
      <c r="D463">
        <v>0</v>
      </c>
      <c r="E463">
        <v>0</v>
      </c>
      <c r="F463">
        <v>0</v>
      </c>
    </row>
    <row r="464" spans="1:6">
      <c r="A464">
        <v>232</v>
      </c>
      <c r="B464">
        <v>2.0526090000000181</v>
      </c>
      <c r="C464">
        <v>1.5821060000000102</v>
      </c>
      <c r="D464">
        <v>1.9142650000000003</v>
      </c>
      <c r="E464">
        <v>4.9752959999999575</v>
      </c>
      <c r="F464">
        <v>0.88325499999996282</v>
      </c>
    </row>
    <row r="465" spans="1:13">
      <c r="B465">
        <v>0</v>
      </c>
      <c r="C465">
        <v>0</v>
      </c>
      <c r="D465">
        <v>0</v>
      </c>
      <c r="E465">
        <v>0</v>
      </c>
      <c r="F465">
        <v>0</v>
      </c>
    </row>
    <row r="466" spans="1:13">
      <c r="A466">
        <v>233</v>
      </c>
      <c r="B466">
        <v>0.17291799999998148</v>
      </c>
      <c r="C466">
        <v>0.29114299999997684</v>
      </c>
      <c r="D466">
        <v>1.7688520000000381</v>
      </c>
      <c r="E466">
        <v>1.6848619999999528</v>
      </c>
      <c r="F466">
        <v>0.33122500000001764</v>
      </c>
    </row>
    <row r="467" spans="1:13">
      <c r="B467">
        <v>0</v>
      </c>
      <c r="C467">
        <v>0</v>
      </c>
      <c r="D467">
        <v>0</v>
      </c>
      <c r="E467">
        <v>0</v>
      </c>
      <c r="F467">
        <v>0</v>
      </c>
    </row>
    <row r="468" spans="1:13">
      <c r="A468">
        <v>234</v>
      </c>
      <c r="B468">
        <v>3.316900999999973</v>
      </c>
      <c r="C468">
        <v>2.746278000000018</v>
      </c>
      <c r="D468">
        <v>2.4440439999999626</v>
      </c>
      <c r="E468">
        <v>0.98844099999996615</v>
      </c>
      <c r="F468">
        <v>0.76551099999994676</v>
      </c>
    </row>
    <row r="469" spans="1:13">
      <c r="B469">
        <v>0</v>
      </c>
      <c r="C469">
        <v>0</v>
      </c>
      <c r="D469">
        <v>0</v>
      </c>
      <c r="E469">
        <v>0</v>
      </c>
      <c r="F469">
        <v>0</v>
      </c>
    </row>
    <row r="470" spans="1:13">
      <c r="A470">
        <v>235</v>
      </c>
      <c r="B470">
        <v>0.66742299999998522</v>
      </c>
      <c r="C470">
        <v>1.8709390000000212</v>
      </c>
      <c r="D470">
        <v>1.8314729999999599</v>
      </c>
      <c r="E470">
        <v>0.205045000000041</v>
      </c>
      <c r="F470">
        <v>0.32533100000000559</v>
      </c>
    </row>
    <row r="471" spans="1:13">
      <c r="B471">
        <v>0</v>
      </c>
      <c r="C471">
        <v>0</v>
      </c>
      <c r="D471">
        <v>0</v>
      </c>
      <c r="E471">
        <v>0</v>
      </c>
      <c r="F471">
        <v>0</v>
      </c>
    </row>
    <row r="472" spans="1:13">
      <c r="A472">
        <v>236</v>
      </c>
      <c r="B472">
        <v>0.62278400000002421</v>
      </c>
      <c r="C472">
        <v>6.0548689999999965</v>
      </c>
      <c r="D472">
        <v>0.38028399999996054</v>
      </c>
      <c r="E472">
        <v>0.15647599999999784</v>
      </c>
      <c r="F472">
        <v>19.861046999999985</v>
      </c>
    </row>
    <row r="473" spans="1:13">
      <c r="B473">
        <v>0</v>
      </c>
      <c r="C473">
        <v>0</v>
      </c>
      <c r="D473">
        <v>0</v>
      </c>
      <c r="E473">
        <v>0</v>
      </c>
      <c r="F473">
        <v>0</v>
      </c>
      <c r="I473">
        <f>SUM(B1:B473)</f>
        <v>443.09075399999978</v>
      </c>
      <c r="J473">
        <f>SUM(C1:C473)</f>
        <v>508.02449999999993</v>
      </c>
      <c r="K473">
        <f>SUM(D1:D473)</f>
        <v>519.48433899999986</v>
      </c>
      <c r="L473">
        <f>SUM(E1:E473)</f>
        <v>544.71123199999977</v>
      </c>
      <c r="M473">
        <f>SUM(F1:F473)</f>
        <v>590.40559899999982</v>
      </c>
    </row>
    <row r="474" spans="1:13">
      <c r="A474">
        <v>237</v>
      </c>
      <c r="B474">
        <v>1.7836869999999863</v>
      </c>
      <c r="C474">
        <v>2.9265689999999722</v>
      </c>
      <c r="D474">
        <v>0.94806000000005497</v>
      </c>
      <c r="E474">
        <v>0.72397499999999582</v>
      </c>
      <c r="F474">
        <v>1.3152069999999867</v>
      </c>
      <c r="H474">
        <f>+A474</f>
        <v>237</v>
      </c>
      <c r="I474">
        <f t="shared" ref="I474:M474" si="132">+B474</f>
        <v>1.7836869999999863</v>
      </c>
      <c r="J474">
        <f t="shared" si="132"/>
        <v>2.9265689999999722</v>
      </c>
      <c r="K474">
        <f t="shared" si="132"/>
        <v>0.94806000000005497</v>
      </c>
      <c r="L474">
        <f t="shared" si="132"/>
        <v>0.72397499999999582</v>
      </c>
      <c r="M474">
        <f t="shared" si="132"/>
        <v>1.3152069999999867</v>
      </c>
    </row>
    <row r="475" spans="1:13">
      <c r="B475">
        <v>0</v>
      </c>
      <c r="C475">
        <v>0</v>
      </c>
      <c r="D475">
        <v>0</v>
      </c>
      <c r="E475">
        <v>0</v>
      </c>
      <c r="F475">
        <v>0</v>
      </c>
      <c r="H475">
        <f t="shared" ref="H475:H538" si="133">+A475</f>
        <v>0</v>
      </c>
      <c r="I475">
        <f t="shared" ref="I475:I538" si="134">+B475</f>
        <v>0</v>
      </c>
      <c r="J475">
        <f t="shared" ref="J475:J538" si="135">+C475</f>
        <v>0</v>
      </c>
      <c r="K475">
        <f t="shared" ref="K475:K538" si="136">+D475</f>
        <v>0</v>
      </c>
      <c r="L475">
        <f t="shared" ref="L475:L538" si="137">+E475</f>
        <v>0</v>
      </c>
      <c r="M475">
        <f t="shared" ref="M475:M538" si="138">+F475</f>
        <v>0</v>
      </c>
    </row>
    <row r="476" spans="1:13">
      <c r="A476">
        <v>238</v>
      </c>
      <c r="B476">
        <v>0.1966019999999844</v>
      </c>
      <c r="C476">
        <v>1.7684929999999781</v>
      </c>
      <c r="D476">
        <v>3.4599060000000463</v>
      </c>
      <c r="E476">
        <v>3.0483789999999544</v>
      </c>
      <c r="F476">
        <v>3.3438409999999976</v>
      </c>
      <c r="H476">
        <f t="shared" si="133"/>
        <v>238</v>
      </c>
      <c r="I476">
        <f t="shared" si="134"/>
        <v>0.1966019999999844</v>
      </c>
      <c r="J476">
        <f t="shared" si="135"/>
        <v>1.7684929999999781</v>
      </c>
      <c r="K476">
        <f t="shared" si="136"/>
        <v>3.4599060000000463</v>
      </c>
      <c r="L476">
        <f t="shared" si="137"/>
        <v>3.0483789999999544</v>
      </c>
      <c r="M476">
        <f t="shared" si="138"/>
        <v>3.3438409999999976</v>
      </c>
    </row>
    <row r="477" spans="1:13">
      <c r="B477">
        <v>0</v>
      </c>
      <c r="C477">
        <v>0</v>
      </c>
      <c r="D477">
        <v>0</v>
      </c>
      <c r="E477">
        <v>0</v>
      </c>
      <c r="F477">
        <v>0</v>
      </c>
      <c r="H477">
        <f t="shared" si="133"/>
        <v>0</v>
      </c>
      <c r="I477">
        <f t="shared" si="134"/>
        <v>0</v>
      </c>
      <c r="J477">
        <f t="shared" si="135"/>
        <v>0</v>
      </c>
      <c r="K477">
        <f t="shared" si="136"/>
        <v>0</v>
      </c>
      <c r="L477">
        <f t="shared" si="137"/>
        <v>0</v>
      </c>
      <c r="M477">
        <f t="shared" si="138"/>
        <v>0</v>
      </c>
    </row>
    <row r="478" spans="1:13">
      <c r="A478">
        <v>239</v>
      </c>
      <c r="B478">
        <v>1.6705590000000257</v>
      </c>
      <c r="C478">
        <v>0.8181489999999485</v>
      </c>
      <c r="D478">
        <v>1.5394680000000562</v>
      </c>
      <c r="E478">
        <v>2.4409719999999879</v>
      </c>
      <c r="F478">
        <v>3.3921550000000025</v>
      </c>
      <c r="H478">
        <f t="shared" si="133"/>
        <v>239</v>
      </c>
      <c r="I478">
        <f t="shared" si="134"/>
        <v>1.6705590000000257</v>
      </c>
      <c r="J478">
        <f t="shared" si="135"/>
        <v>0.8181489999999485</v>
      </c>
      <c r="K478">
        <f t="shared" si="136"/>
        <v>1.5394680000000562</v>
      </c>
      <c r="L478">
        <f t="shared" si="137"/>
        <v>2.4409719999999879</v>
      </c>
      <c r="M478">
        <f t="shared" si="138"/>
        <v>3.3921550000000025</v>
      </c>
    </row>
    <row r="479" spans="1:13">
      <c r="B479">
        <v>0</v>
      </c>
      <c r="C479">
        <v>0</v>
      </c>
      <c r="D479">
        <v>0</v>
      </c>
      <c r="E479">
        <v>0</v>
      </c>
      <c r="F479">
        <v>0</v>
      </c>
      <c r="H479">
        <f t="shared" si="133"/>
        <v>0</v>
      </c>
      <c r="I479">
        <f t="shared" si="134"/>
        <v>0</v>
      </c>
      <c r="J479">
        <f t="shared" si="135"/>
        <v>0</v>
      </c>
      <c r="K479">
        <f t="shared" si="136"/>
        <v>0</v>
      </c>
      <c r="L479">
        <f t="shared" si="137"/>
        <v>0</v>
      </c>
      <c r="M479">
        <f t="shared" si="138"/>
        <v>0</v>
      </c>
    </row>
    <row r="480" spans="1:13">
      <c r="A480">
        <v>240</v>
      </c>
      <c r="B480">
        <v>2.836229000000003</v>
      </c>
      <c r="C480">
        <v>1.3106719999999541</v>
      </c>
      <c r="D480">
        <v>2.1203460000000405</v>
      </c>
      <c r="E480">
        <v>0.40463799999997718</v>
      </c>
      <c r="F480">
        <v>0.7383230000000367</v>
      </c>
      <c r="H480">
        <f t="shared" si="133"/>
        <v>240</v>
      </c>
      <c r="I480">
        <f t="shared" si="134"/>
        <v>2.836229000000003</v>
      </c>
      <c r="J480">
        <f t="shared" si="135"/>
        <v>1.3106719999999541</v>
      </c>
      <c r="K480">
        <f t="shared" si="136"/>
        <v>2.1203460000000405</v>
      </c>
      <c r="L480">
        <f t="shared" si="137"/>
        <v>0.40463799999997718</v>
      </c>
      <c r="M480">
        <f t="shared" si="138"/>
        <v>0.7383230000000367</v>
      </c>
    </row>
    <row r="481" spans="1:13">
      <c r="B481">
        <v>0</v>
      </c>
      <c r="C481">
        <v>0</v>
      </c>
      <c r="D481">
        <v>0</v>
      </c>
      <c r="E481">
        <v>0</v>
      </c>
      <c r="F481">
        <v>0</v>
      </c>
      <c r="H481">
        <f t="shared" si="133"/>
        <v>0</v>
      </c>
      <c r="I481">
        <f t="shared" si="134"/>
        <v>0</v>
      </c>
      <c r="J481">
        <f t="shared" si="135"/>
        <v>0</v>
      </c>
      <c r="K481">
        <f t="shared" si="136"/>
        <v>0</v>
      </c>
      <c r="L481">
        <f t="shared" si="137"/>
        <v>0</v>
      </c>
      <c r="M481">
        <f t="shared" si="138"/>
        <v>0</v>
      </c>
    </row>
    <row r="482" spans="1:13">
      <c r="A482">
        <v>241</v>
      </c>
      <c r="B482">
        <v>0.33991099999997232</v>
      </c>
      <c r="C482">
        <v>0.74671399999999721</v>
      </c>
      <c r="D482">
        <v>1.9843439999999646</v>
      </c>
      <c r="E482">
        <v>1.5438130000000001</v>
      </c>
      <c r="F482">
        <v>5.4608220000000074</v>
      </c>
      <c r="H482">
        <f t="shared" si="133"/>
        <v>241</v>
      </c>
      <c r="I482">
        <f t="shared" si="134"/>
        <v>0.33991099999997232</v>
      </c>
      <c r="J482">
        <f t="shared" si="135"/>
        <v>0.74671399999999721</v>
      </c>
      <c r="K482">
        <f t="shared" si="136"/>
        <v>1.9843439999999646</v>
      </c>
      <c r="L482">
        <f t="shared" si="137"/>
        <v>1.5438130000000001</v>
      </c>
      <c r="M482">
        <f t="shared" si="138"/>
        <v>5.4608220000000074</v>
      </c>
    </row>
    <row r="483" spans="1:13">
      <c r="B483">
        <v>0</v>
      </c>
      <c r="C483">
        <v>0</v>
      </c>
      <c r="D483">
        <v>0</v>
      </c>
      <c r="E483">
        <v>0</v>
      </c>
      <c r="F483">
        <v>0</v>
      </c>
      <c r="H483">
        <f t="shared" si="133"/>
        <v>0</v>
      </c>
      <c r="I483">
        <f t="shared" si="134"/>
        <v>0</v>
      </c>
      <c r="J483">
        <f t="shared" si="135"/>
        <v>0</v>
      </c>
      <c r="K483">
        <f t="shared" si="136"/>
        <v>0</v>
      </c>
      <c r="L483">
        <f t="shared" si="137"/>
        <v>0</v>
      </c>
      <c r="M483">
        <f t="shared" si="138"/>
        <v>0</v>
      </c>
    </row>
    <row r="484" spans="1:13">
      <c r="A484">
        <v>242</v>
      </c>
      <c r="B484">
        <v>0.18538499999999658</v>
      </c>
      <c r="C484">
        <v>0.39876600000002327</v>
      </c>
      <c r="D484">
        <v>0.76108699999997498</v>
      </c>
      <c r="E484">
        <v>2.6877439999999524</v>
      </c>
      <c r="F484">
        <v>0.21127500000000055</v>
      </c>
      <c r="H484">
        <f t="shared" si="133"/>
        <v>242</v>
      </c>
      <c r="I484">
        <f t="shared" si="134"/>
        <v>0.18538499999999658</v>
      </c>
      <c r="J484">
        <f t="shared" si="135"/>
        <v>0.39876600000002327</v>
      </c>
      <c r="K484">
        <f t="shared" si="136"/>
        <v>0.76108699999997498</v>
      </c>
      <c r="L484">
        <f t="shared" si="137"/>
        <v>2.6877439999999524</v>
      </c>
      <c r="M484">
        <f t="shared" si="138"/>
        <v>0.21127500000000055</v>
      </c>
    </row>
    <row r="485" spans="1:13">
      <c r="B485">
        <v>0</v>
      </c>
      <c r="C485">
        <v>0</v>
      </c>
      <c r="D485">
        <v>0</v>
      </c>
      <c r="E485">
        <v>0</v>
      </c>
      <c r="F485">
        <v>0</v>
      </c>
      <c r="H485">
        <f t="shared" si="133"/>
        <v>0</v>
      </c>
      <c r="I485">
        <f t="shared" si="134"/>
        <v>0</v>
      </c>
      <c r="J485">
        <f t="shared" si="135"/>
        <v>0</v>
      </c>
      <c r="K485">
        <f t="shared" si="136"/>
        <v>0</v>
      </c>
      <c r="L485">
        <f t="shared" si="137"/>
        <v>0</v>
      </c>
      <c r="M485">
        <f t="shared" si="138"/>
        <v>0</v>
      </c>
    </row>
    <row r="486" spans="1:13">
      <c r="A486">
        <v>243</v>
      </c>
      <c r="B486">
        <v>3.4507780000000139</v>
      </c>
      <c r="C486">
        <v>3.1507440000000315</v>
      </c>
      <c r="D486">
        <v>2.3404160000000047</v>
      </c>
      <c r="E486">
        <v>6.0076380000000427</v>
      </c>
      <c r="F486">
        <v>2.2812959999999975</v>
      </c>
      <c r="H486">
        <f t="shared" si="133"/>
        <v>243</v>
      </c>
      <c r="I486">
        <f t="shared" si="134"/>
        <v>3.4507780000000139</v>
      </c>
      <c r="J486">
        <f t="shared" si="135"/>
        <v>3.1507440000000315</v>
      </c>
      <c r="K486">
        <f t="shared" si="136"/>
        <v>2.3404160000000047</v>
      </c>
      <c r="L486">
        <f t="shared" si="137"/>
        <v>6.0076380000000427</v>
      </c>
      <c r="M486">
        <f t="shared" si="138"/>
        <v>2.2812959999999975</v>
      </c>
    </row>
    <row r="487" spans="1:13">
      <c r="B487">
        <v>0</v>
      </c>
      <c r="C487">
        <v>0</v>
      </c>
      <c r="D487">
        <v>0</v>
      </c>
      <c r="E487">
        <v>0</v>
      </c>
      <c r="F487">
        <v>0</v>
      </c>
      <c r="H487">
        <f t="shared" si="133"/>
        <v>0</v>
      </c>
      <c r="I487">
        <f t="shared" si="134"/>
        <v>0</v>
      </c>
      <c r="J487">
        <f t="shared" si="135"/>
        <v>0</v>
      </c>
      <c r="K487">
        <f t="shared" si="136"/>
        <v>0</v>
      </c>
      <c r="L487">
        <f t="shared" si="137"/>
        <v>0</v>
      </c>
      <c r="M487">
        <f t="shared" si="138"/>
        <v>0</v>
      </c>
    </row>
    <row r="488" spans="1:13">
      <c r="A488">
        <v>244</v>
      </c>
      <c r="B488">
        <v>0.27359899999999016</v>
      </c>
      <c r="C488">
        <v>2.5168230000000449</v>
      </c>
      <c r="D488">
        <v>0.72091899999998077</v>
      </c>
      <c r="E488">
        <v>0.66548799999998209</v>
      </c>
      <c r="F488">
        <v>2.8076919999999745</v>
      </c>
      <c r="H488">
        <f t="shared" si="133"/>
        <v>244</v>
      </c>
      <c r="I488">
        <f t="shared" si="134"/>
        <v>0.27359899999999016</v>
      </c>
      <c r="J488">
        <f t="shared" si="135"/>
        <v>2.5168230000000449</v>
      </c>
      <c r="K488">
        <f t="shared" si="136"/>
        <v>0.72091899999998077</v>
      </c>
      <c r="L488">
        <f t="shared" si="137"/>
        <v>0.66548799999998209</v>
      </c>
      <c r="M488">
        <f t="shared" si="138"/>
        <v>2.8076919999999745</v>
      </c>
    </row>
    <row r="489" spans="1:13">
      <c r="B489">
        <v>0</v>
      </c>
      <c r="C489">
        <v>0</v>
      </c>
      <c r="D489">
        <v>0</v>
      </c>
      <c r="E489">
        <v>0</v>
      </c>
      <c r="F489">
        <v>0</v>
      </c>
      <c r="H489">
        <f t="shared" si="133"/>
        <v>0</v>
      </c>
      <c r="I489">
        <f t="shared" si="134"/>
        <v>0</v>
      </c>
      <c r="J489">
        <f t="shared" si="135"/>
        <v>0</v>
      </c>
      <c r="K489">
        <f t="shared" si="136"/>
        <v>0</v>
      </c>
      <c r="L489">
        <f t="shared" si="137"/>
        <v>0</v>
      </c>
      <c r="M489">
        <f t="shared" si="138"/>
        <v>0</v>
      </c>
    </row>
    <row r="490" spans="1:13">
      <c r="A490">
        <v>245</v>
      </c>
      <c r="B490">
        <v>1.7682379999999966</v>
      </c>
      <c r="C490">
        <v>1.1567069999999831</v>
      </c>
      <c r="D490">
        <v>0.96199999999998909</v>
      </c>
      <c r="E490">
        <v>0.22808499999996457</v>
      </c>
      <c r="F490">
        <v>0.88756200000000263</v>
      </c>
      <c r="H490">
        <f t="shared" si="133"/>
        <v>245</v>
      </c>
      <c r="I490">
        <f t="shared" si="134"/>
        <v>1.7682379999999966</v>
      </c>
      <c r="J490">
        <f t="shared" si="135"/>
        <v>1.1567069999999831</v>
      </c>
      <c r="K490">
        <f t="shared" si="136"/>
        <v>0.96199999999998909</v>
      </c>
      <c r="L490">
        <f t="shared" si="137"/>
        <v>0.22808499999996457</v>
      </c>
      <c r="M490">
        <f t="shared" si="138"/>
        <v>0.88756200000000263</v>
      </c>
    </row>
    <row r="491" spans="1:13">
      <c r="B491">
        <v>0</v>
      </c>
      <c r="C491">
        <v>0</v>
      </c>
      <c r="D491">
        <v>0</v>
      </c>
      <c r="E491">
        <v>0</v>
      </c>
      <c r="F491">
        <v>0</v>
      </c>
      <c r="H491">
        <f t="shared" si="133"/>
        <v>0</v>
      </c>
      <c r="I491">
        <f t="shared" si="134"/>
        <v>0</v>
      </c>
      <c r="J491">
        <f t="shared" si="135"/>
        <v>0</v>
      </c>
      <c r="K491">
        <f t="shared" si="136"/>
        <v>0</v>
      </c>
      <c r="L491">
        <f t="shared" si="137"/>
        <v>0</v>
      </c>
      <c r="M491">
        <f t="shared" si="138"/>
        <v>0</v>
      </c>
    </row>
    <row r="492" spans="1:13">
      <c r="A492">
        <v>246</v>
      </c>
      <c r="B492">
        <v>0.72306900000000951</v>
      </c>
      <c r="C492">
        <v>9.981300000004012E-2</v>
      </c>
      <c r="D492">
        <v>0.898145999999997</v>
      </c>
      <c r="E492">
        <v>0.56018600000004426</v>
      </c>
      <c r="F492">
        <v>0.84415899999999056</v>
      </c>
      <c r="H492">
        <f t="shared" si="133"/>
        <v>246</v>
      </c>
      <c r="I492">
        <f t="shared" si="134"/>
        <v>0.72306900000000951</v>
      </c>
      <c r="J492">
        <f t="shared" si="135"/>
        <v>9.981300000004012E-2</v>
      </c>
      <c r="K492">
        <f t="shared" si="136"/>
        <v>0.898145999999997</v>
      </c>
      <c r="L492">
        <f t="shared" si="137"/>
        <v>0.56018600000004426</v>
      </c>
      <c r="M492">
        <f t="shared" si="138"/>
        <v>0.84415899999999056</v>
      </c>
    </row>
    <row r="493" spans="1:13">
      <c r="B493">
        <v>0</v>
      </c>
      <c r="C493">
        <v>0</v>
      </c>
      <c r="D493">
        <v>0</v>
      </c>
      <c r="E493">
        <v>0</v>
      </c>
      <c r="F493">
        <v>0</v>
      </c>
      <c r="H493">
        <f t="shared" si="133"/>
        <v>0</v>
      </c>
      <c r="I493">
        <f t="shared" si="134"/>
        <v>0</v>
      </c>
      <c r="J493">
        <f t="shared" si="135"/>
        <v>0</v>
      </c>
      <c r="K493">
        <f t="shared" si="136"/>
        <v>0</v>
      </c>
      <c r="L493">
        <f t="shared" si="137"/>
        <v>0</v>
      </c>
      <c r="M493">
        <f t="shared" si="138"/>
        <v>0</v>
      </c>
    </row>
    <row r="494" spans="1:13">
      <c r="A494">
        <v>247</v>
      </c>
      <c r="B494">
        <v>0.26146899999997686</v>
      </c>
      <c r="C494">
        <v>1.859279000000015</v>
      </c>
      <c r="D494">
        <v>4.3944609999999784</v>
      </c>
      <c r="E494">
        <v>0.89997700000003533</v>
      </c>
      <c r="F494">
        <v>0.5996900000000096</v>
      </c>
      <c r="H494">
        <f t="shared" si="133"/>
        <v>247</v>
      </c>
      <c r="I494">
        <f t="shared" si="134"/>
        <v>0.26146899999997686</v>
      </c>
      <c r="J494">
        <f t="shared" si="135"/>
        <v>1.859279000000015</v>
      </c>
      <c r="K494">
        <f t="shared" si="136"/>
        <v>4.3944609999999784</v>
      </c>
      <c r="L494">
        <f t="shared" si="137"/>
        <v>0.89997700000003533</v>
      </c>
      <c r="M494">
        <f t="shared" si="138"/>
        <v>0.5996900000000096</v>
      </c>
    </row>
    <row r="495" spans="1:13">
      <c r="B495">
        <v>0</v>
      </c>
      <c r="C495">
        <v>0</v>
      </c>
      <c r="D495">
        <v>0</v>
      </c>
      <c r="E495">
        <v>0</v>
      </c>
      <c r="F495">
        <v>0</v>
      </c>
      <c r="H495">
        <f t="shared" si="133"/>
        <v>0</v>
      </c>
      <c r="I495">
        <f t="shared" si="134"/>
        <v>0</v>
      </c>
      <c r="J495">
        <f t="shared" si="135"/>
        <v>0</v>
      </c>
      <c r="K495">
        <f t="shared" si="136"/>
        <v>0</v>
      </c>
      <c r="L495">
        <f t="shared" si="137"/>
        <v>0</v>
      </c>
      <c r="M495">
        <f t="shared" si="138"/>
        <v>0</v>
      </c>
    </row>
    <row r="496" spans="1:13">
      <c r="A496">
        <v>248</v>
      </c>
      <c r="B496">
        <v>1.4430070000000228</v>
      </c>
      <c r="C496">
        <v>1.1138829999999871</v>
      </c>
      <c r="D496">
        <v>2.2001840000000357</v>
      </c>
      <c r="E496">
        <v>4.9817809999999554</v>
      </c>
      <c r="F496">
        <v>1.13732600000003</v>
      </c>
      <c r="H496">
        <f t="shared" si="133"/>
        <v>248</v>
      </c>
      <c r="I496">
        <f t="shared" si="134"/>
        <v>1.4430070000000228</v>
      </c>
      <c r="J496">
        <f t="shared" si="135"/>
        <v>1.1138829999999871</v>
      </c>
      <c r="K496">
        <f t="shared" si="136"/>
        <v>2.2001840000000357</v>
      </c>
      <c r="L496">
        <f t="shared" si="137"/>
        <v>4.9817809999999554</v>
      </c>
      <c r="M496">
        <f t="shared" si="138"/>
        <v>1.13732600000003</v>
      </c>
    </row>
    <row r="497" spans="1:13">
      <c r="B497">
        <v>0</v>
      </c>
      <c r="C497">
        <v>0</v>
      </c>
      <c r="D497">
        <v>0</v>
      </c>
      <c r="E497">
        <v>0</v>
      </c>
      <c r="F497">
        <v>0</v>
      </c>
      <c r="H497">
        <f t="shared" si="133"/>
        <v>0</v>
      </c>
      <c r="I497">
        <f t="shared" si="134"/>
        <v>0</v>
      </c>
      <c r="J497">
        <f t="shared" si="135"/>
        <v>0</v>
      </c>
      <c r="K497">
        <f t="shared" si="136"/>
        <v>0</v>
      </c>
      <c r="L497">
        <f t="shared" si="137"/>
        <v>0</v>
      </c>
      <c r="M497">
        <f t="shared" si="138"/>
        <v>0</v>
      </c>
    </row>
    <row r="498" spans="1:13">
      <c r="A498">
        <v>249</v>
      </c>
      <c r="B498">
        <v>0.39205199999997831</v>
      </c>
      <c r="C498">
        <v>4.0459070000000565</v>
      </c>
      <c r="D498">
        <v>0.21784200000001874</v>
      </c>
      <c r="E498">
        <v>1.7838420000000497</v>
      </c>
      <c r="F498">
        <v>0.34661000000005515</v>
      </c>
      <c r="H498">
        <f t="shared" si="133"/>
        <v>249</v>
      </c>
      <c r="I498">
        <f t="shared" si="134"/>
        <v>0.39205199999997831</v>
      </c>
      <c r="J498">
        <f t="shared" si="135"/>
        <v>4.0459070000000565</v>
      </c>
      <c r="K498">
        <f t="shared" si="136"/>
        <v>0.21784200000001874</v>
      </c>
      <c r="L498">
        <f t="shared" si="137"/>
        <v>1.7838420000000497</v>
      </c>
      <c r="M498">
        <f t="shared" si="138"/>
        <v>0.34661000000005515</v>
      </c>
    </row>
    <row r="499" spans="1:13">
      <c r="B499">
        <v>0</v>
      </c>
      <c r="C499">
        <v>0</v>
      </c>
      <c r="D499">
        <v>0</v>
      </c>
      <c r="E499">
        <v>0</v>
      </c>
      <c r="F499">
        <v>0</v>
      </c>
      <c r="H499">
        <f t="shared" si="133"/>
        <v>0</v>
      </c>
      <c r="I499">
        <f t="shared" si="134"/>
        <v>0</v>
      </c>
      <c r="J499">
        <f t="shared" si="135"/>
        <v>0</v>
      </c>
      <c r="K499">
        <f t="shared" si="136"/>
        <v>0</v>
      </c>
      <c r="L499">
        <f t="shared" si="137"/>
        <v>0</v>
      </c>
      <c r="M499">
        <f t="shared" si="138"/>
        <v>0</v>
      </c>
    </row>
    <row r="500" spans="1:13">
      <c r="A500">
        <v>250</v>
      </c>
      <c r="B500">
        <v>5.3987989999999968</v>
      </c>
      <c r="C500">
        <v>5.6711729999999534</v>
      </c>
      <c r="D500">
        <v>1.6003110000000333</v>
      </c>
      <c r="E500">
        <v>5.0692980000000034</v>
      </c>
      <c r="F500">
        <v>8.2961400000000367</v>
      </c>
      <c r="H500">
        <f t="shared" si="133"/>
        <v>250</v>
      </c>
      <c r="I500">
        <f t="shared" si="134"/>
        <v>5.3987989999999968</v>
      </c>
      <c r="J500">
        <f t="shared" si="135"/>
        <v>5.6711729999999534</v>
      </c>
      <c r="K500">
        <f t="shared" si="136"/>
        <v>1.6003110000000333</v>
      </c>
      <c r="L500">
        <f t="shared" si="137"/>
        <v>5.0692980000000034</v>
      </c>
      <c r="M500">
        <f t="shared" si="138"/>
        <v>8.2961400000000367</v>
      </c>
    </row>
    <row r="501" spans="1:13">
      <c r="B501">
        <v>0</v>
      </c>
      <c r="C501">
        <v>0</v>
      </c>
      <c r="D501">
        <v>0</v>
      </c>
      <c r="E501">
        <v>0</v>
      </c>
      <c r="F501">
        <v>0</v>
      </c>
      <c r="H501">
        <f t="shared" si="133"/>
        <v>0</v>
      </c>
      <c r="I501">
        <f t="shared" si="134"/>
        <v>0</v>
      </c>
      <c r="J501">
        <f t="shared" si="135"/>
        <v>0</v>
      </c>
      <c r="K501">
        <f t="shared" si="136"/>
        <v>0</v>
      </c>
      <c r="L501">
        <f t="shared" si="137"/>
        <v>0</v>
      </c>
      <c r="M501">
        <f t="shared" si="138"/>
        <v>0</v>
      </c>
    </row>
    <row r="502" spans="1:13">
      <c r="A502">
        <v>251</v>
      </c>
      <c r="B502">
        <v>1.127081999999973</v>
      </c>
      <c r="C502">
        <v>2.966199999999958</v>
      </c>
      <c r="D502">
        <v>2.8804069999999911</v>
      </c>
      <c r="E502">
        <v>0.24864500000001044</v>
      </c>
      <c r="F502">
        <v>0.21212400000001708</v>
      </c>
      <c r="H502">
        <f t="shared" si="133"/>
        <v>251</v>
      </c>
      <c r="I502">
        <f t="shared" si="134"/>
        <v>1.127081999999973</v>
      </c>
      <c r="J502">
        <f t="shared" si="135"/>
        <v>2.966199999999958</v>
      </c>
      <c r="K502">
        <f t="shared" si="136"/>
        <v>2.8804069999999911</v>
      </c>
      <c r="L502">
        <f t="shared" si="137"/>
        <v>0.24864500000001044</v>
      </c>
      <c r="M502">
        <f t="shared" si="138"/>
        <v>0.21212400000001708</v>
      </c>
    </row>
    <row r="503" spans="1:13">
      <c r="B503">
        <v>0</v>
      </c>
      <c r="C503">
        <v>0</v>
      </c>
      <c r="D503">
        <v>0</v>
      </c>
      <c r="E503">
        <v>0</v>
      </c>
      <c r="F503">
        <v>0</v>
      </c>
      <c r="H503">
        <f t="shared" si="133"/>
        <v>0</v>
      </c>
      <c r="I503">
        <f t="shared" si="134"/>
        <v>0</v>
      </c>
      <c r="J503">
        <f t="shared" si="135"/>
        <v>0</v>
      </c>
      <c r="K503">
        <f t="shared" si="136"/>
        <v>0</v>
      </c>
      <c r="L503">
        <f t="shared" si="137"/>
        <v>0</v>
      </c>
      <c r="M503">
        <f t="shared" si="138"/>
        <v>0</v>
      </c>
    </row>
    <row r="504" spans="1:13">
      <c r="A504">
        <v>252</v>
      </c>
      <c r="B504">
        <v>0.46862099999998463</v>
      </c>
      <c r="C504">
        <v>4.4670949999999721</v>
      </c>
      <c r="D504">
        <v>3.5571969999999737</v>
      </c>
      <c r="E504">
        <v>2.46908499999995</v>
      </c>
      <c r="F504">
        <v>0.96650899999997364</v>
      </c>
      <c r="H504">
        <f t="shared" si="133"/>
        <v>252</v>
      </c>
      <c r="I504">
        <f t="shared" si="134"/>
        <v>0.46862099999998463</v>
      </c>
      <c r="J504">
        <f t="shared" si="135"/>
        <v>4.4670949999999721</v>
      </c>
      <c r="K504">
        <f t="shared" si="136"/>
        <v>3.5571969999999737</v>
      </c>
      <c r="L504">
        <f t="shared" si="137"/>
        <v>2.46908499999995</v>
      </c>
      <c r="M504">
        <f t="shared" si="138"/>
        <v>0.96650899999997364</v>
      </c>
    </row>
    <row r="505" spans="1:13">
      <c r="B505">
        <v>0</v>
      </c>
      <c r="C505">
        <v>0</v>
      </c>
      <c r="D505">
        <v>0</v>
      </c>
      <c r="E505">
        <v>0</v>
      </c>
      <c r="F505">
        <v>0</v>
      </c>
      <c r="H505">
        <f t="shared" si="133"/>
        <v>0</v>
      </c>
      <c r="I505">
        <f t="shared" si="134"/>
        <v>0</v>
      </c>
      <c r="J505">
        <f t="shared" si="135"/>
        <v>0</v>
      </c>
      <c r="K505">
        <f t="shared" si="136"/>
        <v>0</v>
      </c>
      <c r="L505">
        <f t="shared" si="137"/>
        <v>0</v>
      </c>
      <c r="M505">
        <f t="shared" si="138"/>
        <v>0</v>
      </c>
    </row>
    <row r="506" spans="1:13">
      <c r="A506">
        <v>253</v>
      </c>
      <c r="B506">
        <v>0.42162000000001854</v>
      </c>
      <c r="C506">
        <v>3.953487999999993</v>
      </c>
      <c r="D506">
        <v>0.93111899999996695</v>
      </c>
      <c r="E506">
        <v>0.58356900000001133</v>
      </c>
      <c r="F506">
        <v>0.40612599999997201</v>
      </c>
      <c r="H506">
        <f t="shared" si="133"/>
        <v>253</v>
      </c>
      <c r="I506">
        <f t="shared" si="134"/>
        <v>0.42162000000001854</v>
      </c>
      <c r="J506">
        <f t="shared" si="135"/>
        <v>3.953487999999993</v>
      </c>
      <c r="K506">
        <f t="shared" si="136"/>
        <v>0.93111899999996695</v>
      </c>
      <c r="L506">
        <f t="shared" si="137"/>
        <v>0.58356900000001133</v>
      </c>
      <c r="M506">
        <f t="shared" si="138"/>
        <v>0.40612599999997201</v>
      </c>
    </row>
    <row r="507" spans="1:13">
      <c r="B507">
        <v>0</v>
      </c>
      <c r="C507">
        <v>0</v>
      </c>
      <c r="D507">
        <v>0</v>
      </c>
      <c r="E507">
        <v>0</v>
      </c>
      <c r="F507">
        <v>0</v>
      </c>
      <c r="H507">
        <f t="shared" si="133"/>
        <v>0</v>
      </c>
      <c r="I507">
        <f t="shared" si="134"/>
        <v>0</v>
      </c>
      <c r="J507">
        <f t="shared" si="135"/>
        <v>0</v>
      </c>
      <c r="K507">
        <f t="shared" si="136"/>
        <v>0</v>
      </c>
      <c r="L507">
        <f t="shared" si="137"/>
        <v>0</v>
      </c>
      <c r="M507">
        <f t="shared" si="138"/>
        <v>0</v>
      </c>
    </row>
    <row r="508" spans="1:13">
      <c r="A508">
        <v>254</v>
      </c>
      <c r="B508">
        <v>0.43826100000001134</v>
      </c>
      <c r="C508">
        <v>3.4966220000000021</v>
      </c>
      <c r="D508">
        <v>0.28429900000003272</v>
      </c>
      <c r="E508">
        <v>2.0609799999999723</v>
      </c>
      <c r="F508">
        <v>1.1840349999999944</v>
      </c>
      <c r="H508">
        <f t="shared" si="133"/>
        <v>254</v>
      </c>
      <c r="I508">
        <f t="shared" si="134"/>
        <v>0.43826100000001134</v>
      </c>
      <c r="J508">
        <f t="shared" si="135"/>
        <v>3.4966220000000021</v>
      </c>
      <c r="K508">
        <f t="shared" si="136"/>
        <v>0.28429900000003272</v>
      </c>
      <c r="L508">
        <f t="shared" si="137"/>
        <v>2.0609799999999723</v>
      </c>
      <c r="M508">
        <f t="shared" si="138"/>
        <v>1.1840349999999944</v>
      </c>
    </row>
    <row r="509" spans="1:13">
      <c r="B509">
        <v>0</v>
      </c>
      <c r="C509">
        <v>0</v>
      </c>
      <c r="D509">
        <v>0.29971999999986565</v>
      </c>
      <c r="E509">
        <v>0</v>
      </c>
      <c r="F509">
        <v>0</v>
      </c>
      <c r="H509">
        <f t="shared" si="133"/>
        <v>0</v>
      </c>
      <c r="I509">
        <f t="shared" si="134"/>
        <v>0</v>
      </c>
      <c r="J509">
        <f t="shared" si="135"/>
        <v>0</v>
      </c>
      <c r="K509">
        <f t="shared" si="136"/>
        <v>0.29971999999986565</v>
      </c>
      <c r="L509">
        <f t="shared" si="137"/>
        <v>0</v>
      </c>
      <c r="M509">
        <f t="shared" si="138"/>
        <v>0</v>
      </c>
    </row>
    <row r="510" spans="1:13">
      <c r="A510">
        <v>255</v>
      </c>
      <c r="B510">
        <v>1.4810840000000098</v>
      </c>
      <c r="C510">
        <v>1.0929740000000265</v>
      </c>
      <c r="D510">
        <v>3.5195730000000367</v>
      </c>
      <c r="E510">
        <v>0.81912799999997787</v>
      </c>
      <c r="F510">
        <v>3.1915549999999939</v>
      </c>
      <c r="H510">
        <f t="shared" si="133"/>
        <v>255</v>
      </c>
      <c r="I510">
        <f t="shared" si="134"/>
        <v>1.4810840000000098</v>
      </c>
      <c r="J510">
        <f t="shared" si="135"/>
        <v>1.0929740000000265</v>
      </c>
      <c r="K510">
        <f t="shared" si="136"/>
        <v>3.5195730000000367</v>
      </c>
      <c r="L510">
        <f t="shared" si="137"/>
        <v>0.81912799999997787</v>
      </c>
      <c r="M510">
        <f t="shared" si="138"/>
        <v>3.1915549999999939</v>
      </c>
    </row>
    <row r="511" spans="1:13">
      <c r="B511">
        <v>0</v>
      </c>
      <c r="C511">
        <v>0</v>
      </c>
      <c r="D511">
        <v>0</v>
      </c>
      <c r="E511">
        <v>0</v>
      </c>
      <c r="F511">
        <v>0</v>
      </c>
      <c r="H511">
        <f t="shared" si="133"/>
        <v>0</v>
      </c>
      <c r="I511">
        <f t="shared" si="134"/>
        <v>0</v>
      </c>
      <c r="J511">
        <f t="shared" si="135"/>
        <v>0</v>
      </c>
      <c r="K511">
        <f t="shared" si="136"/>
        <v>0</v>
      </c>
      <c r="L511">
        <f t="shared" si="137"/>
        <v>0</v>
      </c>
      <c r="M511">
        <f t="shared" si="138"/>
        <v>0</v>
      </c>
    </row>
    <row r="512" spans="1:13">
      <c r="A512">
        <v>256</v>
      </c>
      <c r="B512">
        <v>0.57933800000000701</v>
      </c>
      <c r="C512">
        <v>2.9361669999999549</v>
      </c>
      <c r="D512">
        <v>2.2450410000000147</v>
      </c>
      <c r="E512">
        <v>0.90791500000000269</v>
      </c>
      <c r="F512">
        <v>1.3654970000000048</v>
      </c>
      <c r="H512">
        <f t="shared" si="133"/>
        <v>256</v>
      </c>
      <c r="I512">
        <f t="shared" si="134"/>
        <v>0.57933800000000701</v>
      </c>
      <c r="J512">
        <f t="shared" si="135"/>
        <v>2.9361669999999549</v>
      </c>
      <c r="K512">
        <f t="shared" si="136"/>
        <v>2.2450410000000147</v>
      </c>
      <c r="L512">
        <f t="shared" si="137"/>
        <v>0.90791500000000269</v>
      </c>
      <c r="M512">
        <f t="shared" si="138"/>
        <v>1.3654970000000048</v>
      </c>
    </row>
    <row r="513" spans="1:13">
      <c r="B513">
        <v>0</v>
      </c>
      <c r="C513">
        <v>0</v>
      </c>
      <c r="D513">
        <v>0</v>
      </c>
      <c r="E513">
        <v>0</v>
      </c>
      <c r="F513">
        <v>0</v>
      </c>
      <c r="H513">
        <f t="shared" si="133"/>
        <v>0</v>
      </c>
      <c r="I513">
        <f t="shared" si="134"/>
        <v>0</v>
      </c>
      <c r="J513">
        <f t="shared" si="135"/>
        <v>0</v>
      </c>
      <c r="K513">
        <f t="shared" si="136"/>
        <v>0</v>
      </c>
      <c r="L513">
        <f t="shared" si="137"/>
        <v>0</v>
      </c>
      <c r="M513">
        <f t="shared" si="138"/>
        <v>0</v>
      </c>
    </row>
    <row r="514" spans="1:13">
      <c r="A514">
        <v>257</v>
      </c>
      <c r="B514">
        <v>1.0242289999999912</v>
      </c>
      <c r="C514">
        <v>1.8844779999999446</v>
      </c>
      <c r="D514">
        <v>1.2683439999999564</v>
      </c>
      <c r="E514">
        <v>1.1415150000000267</v>
      </c>
      <c r="F514">
        <v>0.96212200000002213</v>
      </c>
      <c r="H514">
        <f t="shared" si="133"/>
        <v>257</v>
      </c>
      <c r="I514">
        <f t="shared" si="134"/>
        <v>1.0242289999999912</v>
      </c>
      <c r="J514">
        <f t="shared" si="135"/>
        <v>1.8844779999999446</v>
      </c>
      <c r="K514">
        <f t="shared" si="136"/>
        <v>1.2683439999999564</v>
      </c>
      <c r="L514">
        <f t="shared" si="137"/>
        <v>1.1415150000000267</v>
      </c>
      <c r="M514">
        <f t="shared" si="138"/>
        <v>0.96212200000002213</v>
      </c>
    </row>
    <row r="515" spans="1:13">
      <c r="B515">
        <v>0</v>
      </c>
      <c r="C515">
        <v>0</v>
      </c>
      <c r="D515">
        <v>0</v>
      </c>
      <c r="E515">
        <v>0</v>
      </c>
      <c r="F515">
        <v>0</v>
      </c>
      <c r="H515">
        <f t="shared" si="133"/>
        <v>0</v>
      </c>
      <c r="I515">
        <f t="shared" si="134"/>
        <v>0</v>
      </c>
      <c r="J515">
        <f t="shared" si="135"/>
        <v>0</v>
      </c>
      <c r="K515">
        <f t="shared" si="136"/>
        <v>0</v>
      </c>
      <c r="L515">
        <f t="shared" si="137"/>
        <v>0</v>
      </c>
      <c r="M515">
        <f t="shared" si="138"/>
        <v>0</v>
      </c>
    </row>
    <row r="516" spans="1:13">
      <c r="A516">
        <v>258</v>
      </c>
      <c r="B516">
        <v>0.79237899999998263</v>
      </c>
      <c r="C516">
        <v>1.0694220000000314</v>
      </c>
      <c r="D516">
        <v>1.8656469999999672</v>
      </c>
      <c r="E516">
        <v>0.55103599999995367</v>
      </c>
      <c r="F516">
        <v>8.5661770000000388</v>
      </c>
      <c r="H516">
        <f t="shared" si="133"/>
        <v>258</v>
      </c>
      <c r="I516">
        <f t="shared" si="134"/>
        <v>0.79237899999998263</v>
      </c>
      <c r="J516">
        <f t="shared" si="135"/>
        <v>1.0694220000000314</v>
      </c>
      <c r="K516">
        <f t="shared" si="136"/>
        <v>1.8656469999999672</v>
      </c>
      <c r="L516">
        <f t="shared" si="137"/>
        <v>0.55103599999995367</v>
      </c>
      <c r="M516">
        <f t="shared" si="138"/>
        <v>8.5661770000000388</v>
      </c>
    </row>
    <row r="517" spans="1:13">
      <c r="B517">
        <v>0</v>
      </c>
      <c r="C517">
        <v>0</v>
      </c>
      <c r="D517">
        <v>0</v>
      </c>
      <c r="E517">
        <v>0</v>
      </c>
      <c r="F517">
        <v>0</v>
      </c>
      <c r="H517">
        <f t="shared" si="133"/>
        <v>0</v>
      </c>
      <c r="I517">
        <f t="shared" si="134"/>
        <v>0</v>
      </c>
      <c r="J517">
        <f t="shared" si="135"/>
        <v>0</v>
      </c>
      <c r="K517">
        <f t="shared" si="136"/>
        <v>0</v>
      </c>
      <c r="L517">
        <f t="shared" si="137"/>
        <v>0</v>
      </c>
      <c r="M517">
        <f t="shared" si="138"/>
        <v>0</v>
      </c>
    </row>
    <row r="518" spans="1:13">
      <c r="A518">
        <v>259</v>
      </c>
      <c r="B518">
        <v>3.115587000000005</v>
      </c>
      <c r="C518">
        <v>2.3770170000000235</v>
      </c>
      <c r="D518">
        <v>0.41967999999997119</v>
      </c>
      <c r="E518">
        <v>0.22732799999994313</v>
      </c>
      <c r="F518">
        <v>0.7075720000000274</v>
      </c>
      <c r="H518">
        <f t="shared" si="133"/>
        <v>259</v>
      </c>
      <c r="I518">
        <f t="shared" si="134"/>
        <v>3.115587000000005</v>
      </c>
      <c r="J518">
        <f t="shared" si="135"/>
        <v>2.3770170000000235</v>
      </c>
      <c r="K518">
        <f t="shared" si="136"/>
        <v>0.41967999999997119</v>
      </c>
      <c r="L518">
        <f t="shared" si="137"/>
        <v>0.22732799999994313</v>
      </c>
      <c r="M518">
        <f t="shared" si="138"/>
        <v>0.7075720000000274</v>
      </c>
    </row>
    <row r="519" spans="1:13">
      <c r="B519">
        <v>0</v>
      </c>
      <c r="C519">
        <v>0</v>
      </c>
      <c r="D519">
        <v>0</v>
      </c>
      <c r="E519">
        <v>0</v>
      </c>
      <c r="F519">
        <v>0</v>
      </c>
      <c r="H519">
        <f t="shared" si="133"/>
        <v>0</v>
      </c>
      <c r="I519">
        <f t="shared" si="134"/>
        <v>0</v>
      </c>
      <c r="J519">
        <f t="shared" si="135"/>
        <v>0</v>
      </c>
      <c r="K519">
        <f t="shared" si="136"/>
        <v>0</v>
      </c>
      <c r="L519">
        <f t="shared" si="137"/>
        <v>0</v>
      </c>
      <c r="M519">
        <f t="shared" si="138"/>
        <v>0</v>
      </c>
    </row>
    <row r="520" spans="1:13">
      <c r="A520">
        <v>260</v>
      </c>
      <c r="B520">
        <v>0.82059299999997393</v>
      </c>
      <c r="C520">
        <v>0.4497639999999592</v>
      </c>
      <c r="D520">
        <v>2.6984149999999545</v>
      </c>
      <c r="E520">
        <v>0.30768699999998717</v>
      </c>
      <c r="F520">
        <v>1.6039759999999887</v>
      </c>
      <c r="H520">
        <f t="shared" si="133"/>
        <v>260</v>
      </c>
      <c r="I520">
        <f t="shared" si="134"/>
        <v>0.82059299999997393</v>
      </c>
      <c r="J520">
        <f t="shared" si="135"/>
        <v>0.4497639999999592</v>
      </c>
      <c r="K520">
        <f t="shared" si="136"/>
        <v>2.6984149999999545</v>
      </c>
      <c r="L520">
        <f t="shared" si="137"/>
        <v>0.30768699999998717</v>
      </c>
      <c r="M520">
        <f t="shared" si="138"/>
        <v>1.6039759999999887</v>
      </c>
    </row>
    <row r="521" spans="1:13">
      <c r="B521">
        <v>0</v>
      </c>
      <c r="C521">
        <v>0</v>
      </c>
      <c r="D521">
        <v>6.9701109999999744</v>
      </c>
      <c r="E521">
        <v>0</v>
      </c>
      <c r="F521">
        <v>0</v>
      </c>
      <c r="H521">
        <f t="shared" si="133"/>
        <v>0</v>
      </c>
      <c r="I521">
        <f t="shared" si="134"/>
        <v>0</v>
      </c>
      <c r="J521">
        <f t="shared" si="135"/>
        <v>0</v>
      </c>
      <c r="K521">
        <f t="shared" si="136"/>
        <v>6.9701109999999744</v>
      </c>
      <c r="L521">
        <f t="shared" si="137"/>
        <v>0</v>
      </c>
      <c r="M521">
        <f t="shared" si="138"/>
        <v>0</v>
      </c>
    </row>
    <row r="522" spans="1:13">
      <c r="A522">
        <v>261</v>
      </c>
      <c r="B522">
        <v>0.79883799999998928</v>
      </c>
      <c r="C522">
        <v>10.269962999999962</v>
      </c>
      <c r="D522">
        <v>2.6110559999999623</v>
      </c>
      <c r="E522">
        <v>0.78767800000002808</v>
      </c>
      <c r="F522">
        <v>0.13191700000004403</v>
      </c>
      <c r="H522">
        <f t="shared" si="133"/>
        <v>261</v>
      </c>
      <c r="I522">
        <f t="shared" si="134"/>
        <v>0.79883799999998928</v>
      </c>
      <c r="J522">
        <f t="shared" si="135"/>
        <v>10.269962999999962</v>
      </c>
      <c r="K522">
        <f t="shared" si="136"/>
        <v>2.6110559999999623</v>
      </c>
      <c r="L522">
        <f t="shared" si="137"/>
        <v>0.78767800000002808</v>
      </c>
      <c r="M522">
        <f t="shared" si="138"/>
        <v>0.13191700000004403</v>
      </c>
    </row>
    <row r="523" spans="1:13">
      <c r="B523">
        <v>0</v>
      </c>
      <c r="C523">
        <v>0</v>
      </c>
      <c r="D523">
        <v>0</v>
      </c>
      <c r="E523">
        <v>0</v>
      </c>
      <c r="F523">
        <v>0</v>
      </c>
      <c r="H523">
        <f t="shared" si="133"/>
        <v>0</v>
      </c>
      <c r="I523">
        <f t="shared" si="134"/>
        <v>0</v>
      </c>
      <c r="J523">
        <f t="shared" si="135"/>
        <v>0</v>
      </c>
      <c r="K523">
        <f t="shared" si="136"/>
        <v>0</v>
      </c>
      <c r="L523">
        <f t="shared" si="137"/>
        <v>0</v>
      </c>
      <c r="M523">
        <f t="shared" si="138"/>
        <v>0</v>
      </c>
    </row>
    <row r="524" spans="1:13">
      <c r="A524">
        <v>262</v>
      </c>
      <c r="B524">
        <v>0.70722299999999905</v>
      </c>
      <c r="C524">
        <v>0.25689399999998841</v>
      </c>
      <c r="D524">
        <v>0.70558600000003935</v>
      </c>
      <c r="E524">
        <v>0.41050499999994372</v>
      </c>
      <c r="F524">
        <v>1.3308449999999539</v>
      </c>
      <c r="H524">
        <f t="shared" si="133"/>
        <v>262</v>
      </c>
      <c r="I524">
        <f t="shared" si="134"/>
        <v>0.70722299999999905</v>
      </c>
      <c r="J524">
        <f t="shared" si="135"/>
        <v>0.25689399999998841</v>
      </c>
      <c r="K524">
        <f t="shared" si="136"/>
        <v>0.70558600000003935</v>
      </c>
      <c r="L524">
        <f t="shared" si="137"/>
        <v>0.41050499999994372</v>
      </c>
      <c r="M524">
        <f t="shared" si="138"/>
        <v>1.3308449999999539</v>
      </c>
    </row>
    <row r="525" spans="1:13">
      <c r="B525">
        <v>0</v>
      </c>
      <c r="C525">
        <v>0</v>
      </c>
      <c r="D525">
        <v>0</v>
      </c>
      <c r="E525">
        <v>0</v>
      </c>
      <c r="F525">
        <v>0</v>
      </c>
      <c r="H525">
        <f t="shared" si="133"/>
        <v>0</v>
      </c>
      <c r="I525">
        <f t="shared" si="134"/>
        <v>0</v>
      </c>
      <c r="J525">
        <f t="shared" si="135"/>
        <v>0</v>
      </c>
      <c r="K525">
        <f t="shared" si="136"/>
        <v>0</v>
      </c>
      <c r="L525">
        <f t="shared" si="137"/>
        <v>0</v>
      </c>
      <c r="M525">
        <f t="shared" si="138"/>
        <v>0</v>
      </c>
    </row>
    <row r="526" spans="1:13">
      <c r="A526">
        <v>263</v>
      </c>
      <c r="B526">
        <v>0.68950300000000198</v>
      </c>
      <c r="C526">
        <v>0.6429960000000392</v>
      </c>
      <c r="D526">
        <v>5.5306440000000521</v>
      </c>
      <c r="E526">
        <v>0.47989900000004582</v>
      </c>
      <c r="F526">
        <v>1.472802999999999</v>
      </c>
      <c r="H526">
        <f t="shared" si="133"/>
        <v>263</v>
      </c>
      <c r="I526">
        <f t="shared" si="134"/>
        <v>0.68950300000000198</v>
      </c>
      <c r="J526">
        <f t="shared" si="135"/>
        <v>0.6429960000000392</v>
      </c>
      <c r="K526">
        <f t="shared" si="136"/>
        <v>5.5306440000000521</v>
      </c>
      <c r="L526">
        <f t="shared" si="137"/>
        <v>0.47989900000004582</v>
      </c>
      <c r="M526">
        <f t="shared" si="138"/>
        <v>1.472802999999999</v>
      </c>
    </row>
    <row r="527" spans="1:13">
      <c r="B527">
        <v>0</v>
      </c>
      <c r="C527">
        <v>0</v>
      </c>
      <c r="D527">
        <v>0</v>
      </c>
      <c r="E527">
        <v>0</v>
      </c>
      <c r="F527">
        <v>0</v>
      </c>
      <c r="H527">
        <f t="shared" si="133"/>
        <v>0</v>
      </c>
      <c r="I527">
        <f t="shared" si="134"/>
        <v>0</v>
      </c>
      <c r="J527">
        <f t="shared" si="135"/>
        <v>0</v>
      </c>
      <c r="K527">
        <f t="shared" si="136"/>
        <v>0</v>
      </c>
      <c r="L527">
        <f t="shared" si="137"/>
        <v>0</v>
      </c>
      <c r="M527">
        <f t="shared" si="138"/>
        <v>0</v>
      </c>
    </row>
    <row r="528" spans="1:13">
      <c r="A528">
        <v>264</v>
      </c>
      <c r="B528">
        <v>1.2931009999999787</v>
      </c>
      <c r="C528">
        <v>2.6526639999999588</v>
      </c>
      <c r="D528">
        <v>2.9088440000000446</v>
      </c>
      <c r="E528">
        <v>0.81246599999997215</v>
      </c>
      <c r="F528">
        <v>2.1782389999999623</v>
      </c>
      <c r="H528">
        <f t="shared" si="133"/>
        <v>264</v>
      </c>
      <c r="I528">
        <f t="shared" si="134"/>
        <v>1.2931009999999787</v>
      </c>
      <c r="J528">
        <f t="shared" si="135"/>
        <v>2.6526639999999588</v>
      </c>
      <c r="K528">
        <f t="shared" si="136"/>
        <v>2.9088440000000446</v>
      </c>
      <c r="L528">
        <f t="shared" si="137"/>
        <v>0.81246599999997215</v>
      </c>
      <c r="M528">
        <f t="shared" si="138"/>
        <v>2.1782389999999623</v>
      </c>
    </row>
    <row r="529" spans="1:13">
      <c r="B529">
        <v>0</v>
      </c>
      <c r="C529">
        <v>0</v>
      </c>
      <c r="D529">
        <v>0</v>
      </c>
      <c r="E529">
        <v>0</v>
      </c>
      <c r="F529">
        <v>0</v>
      </c>
      <c r="H529">
        <f t="shared" si="133"/>
        <v>0</v>
      </c>
      <c r="I529">
        <f t="shared" si="134"/>
        <v>0</v>
      </c>
      <c r="J529">
        <f t="shared" si="135"/>
        <v>0</v>
      </c>
      <c r="K529">
        <f t="shared" si="136"/>
        <v>0</v>
      </c>
      <c r="L529">
        <f t="shared" si="137"/>
        <v>0</v>
      </c>
      <c r="M529">
        <f t="shared" si="138"/>
        <v>0</v>
      </c>
    </row>
    <row r="530" spans="1:13">
      <c r="A530">
        <v>265</v>
      </c>
      <c r="B530">
        <v>1.2872179999999958</v>
      </c>
      <c r="C530">
        <v>0.61411299999997482</v>
      </c>
      <c r="D530">
        <v>0.83669299999996838</v>
      </c>
      <c r="E530">
        <v>0.23370999999997366</v>
      </c>
      <c r="F530">
        <v>0.82763499999998658</v>
      </c>
      <c r="H530">
        <f t="shared" si="133"/>
        <v>265</v>
      </c>
      <c r="I530">
        <f t="shared" si="134"/>
        <v>1.2872179999999958</v>
      </c>
      <c r="J530">
        <f t="shared" si="135"/>
        <v>0.61411299999997482</v>
      </c>
      <c r="K530">
        <f t="shared" si="136"/>
        <v>0.83669299999996838</v>
      </c>
      <c r="L530">
        <f t="shared" si="137"/>
        <v>0.23370999999997366</v>
      </c>
      <c r="M530">
        <f t="shared" si="138"/>
        <v>0.82763499999998658</v>
      </c>
    </row>
    <row r="531" spans="1:13">
      <c r="B531">
        <v>0</v>
      </c>
      <c r="C531">
        <v>0</v>
      </c>
      <c r="D531">
        <v>0</v>
      </c>
      <c r="E531">
        <v>0</v>
      </c>
      <c r="F531">
        <v>0</v>
      </c>
      <c r="H531">
        <f t="shared" si="133"/>
        <v>0</v>
      </c>
      <c r="I531">
        <f t="shared" si="134"/>
        <v>0</v>
      </c>
      <c r="J531">
        <f t="shared" si="135"/>
        <v>0</v>
      </c>
      <c r="K531">
        <f t="shared" si="136"/>
        <v>0</v>
      </c>
      <c r="L531">
        <f t="shared" si="137"/>
        <v>0</v>
      </c>
      <c r="M531">
        <f t="shared" si="138"/>
        <v>0</v>
      </c>
    </row>
    <row r="532" spans="1:13">
      <c r="A532">
        <v>266</v>
      </c>
      <c r="B532">
        <v>0.18042700000000877</v>
      </c>
      <c r="C532">
        <v>8.0328309999999874</v>
      </c>
      <c r="D532">
        <v>0.44079799999997249</v>
      </c>
      <c r="E532">
        <v>0.12635099999999966</v>
      </c>
      <c r="F532">
        <v>0.39298799999994571</v>
      </c>
      <c r="H532">
        <f t="shared" si="133"/>
        <v>266</v>
      </c>
      <c r="I532">
        <f t="shared" si="134"/>
        <v>0.18042700000000877</v>
      </c>
      <c r="J532">
        <f t="shared" si="135"/>
        <v>8.0328309999999874</v>
      </c>
      <c r="K532">
        <f t="shared" si="136"/>
        <v>0.44079799999997249</v>
      </c>
      <c r="L532">
        <f t="shared" si="137"/>
        <v>0.12635099999999966</v>
      </c>
      <c r="M532">
        <f t="shared" si="138"/>
        <v>0.39298799999994571</v>
      </c>
    </row>
    <row r="533" spans="1:13">
      <c r="B533">
        <v>0</v>
      </c>
      <c r="C533">
        <v>0</v>
      </c>
      <c r="D533">
        <v>1.26141999999993</v>
      </c>
      <c r="E533">
        <v>0</v>
      </c>
      <c r="F533">
        <v>0</v>
      </c>
      <c r="H533">
        <f t="shared" si="133"/>
        <v>0</v>
      </c>
      <c r="I533">
        <f t="shared" si="134"/>
        <v>0</v>
      </c>
      <c r="J533">
        <f t="shared" si="135"/>
        <v>0</v>
      </c>
      <c r="K533">
        <f t="shared" si="136"/>
        <v>1.26141999999993</v>
      </c>
      <c r="L533">
        <f t="shared" si="137"/>
        <v>0</v>
      </c>
      <c r="M533">
        <f t="shared" si="138"/>
        <v>0</v>
      </c>
    </row>
    <row r="534" spans="1:13">
      <c r="A534">
        <v>267</v>
      </c>
      <c r="B534">
        <v>0.15785099999999375</v>
      </c>
      <c r="C534">
        <v>2.0955430000000206</v>
      </c>
      <c r="D534">
        <v>0.90744900000004236</v>
      </c>
      <c r="E534">
        <v>0.27449000000001433</v>
      </c>
      <c r="F534">
        <v>3.5250029999999697</v>
      </c>
      <c r="H534">
        <f t="shared" si="133"/>
        <v>267</v>
      </c>
      <c r="I534">
        <f t="shared" si="134"/>
        <v>0.15785099999999375</v>
      </c>
      <c r="J534">
        <f t="shared" si="135"/>
        <v>2.0955430000000206</v>
      </c>
      <c r="K534">
        <f t="shared" si="136"/>
        <v>0.90744900000004236</v>
      </c>
      <c r="L534">
        <f t="shared" si="137"/>
        <v>0.27449000000001433</v>
      </c>
      <c r="M534">
        <f t="shared" si="138"/>
        <v>3.5250029999999697</v>
      </c>
    </row>
    <row r="535" spans="1:13">
      <c r="B535">
        <v>0</v>
      </c>
      <c r="C535">
        <v>0</v>
      </c>
      <c r="D535">
        <v>1.4273449999999457</v>
      </c>
      <c r="E535">
        <v>0.638213000000178</v>
      </c>
      <c r="F535">
        <v>0</v>
      </c>
      <c r="H535">
        <f t="shared" si="133"/>
        <v>0</v>
      </c>
      <c r="I535">
        <f t="shared" si="134"/>
        <v>0</v>
      </c>
      <c r="J535">
        <f t="shared" si="135"/>
        <v>0</v>
      </c>
      <c r="K535">
        <f t="shared" si="136"/>
        <v>1.4273449999999457</v>
      </c>
      <c r="L535">
        <f t="shared" si="137"/>
        <v>0.638213000000178</v>
      </c>
      <c r="M535">
        <f t="shared" si="138"/>
        <v>0</v>
      </c>
    </row>
    <row r="536" spans="1:13">
      <c r="A536">
        <v>268</v>
      </c>
      <c r="B536">
        <v>2.1293860000000109</v>
      </c>
      <c r="C536">
        <v>2.334793999999988</v>
      </c>
      <c r="D536">
        <v>1.6360310000000027</v>
      </c>
      <c r="E536">
        <v>0.21994800000004489</v>
      </c>
      <c r="F536">
        <v>0.18989499999997861</v>
      </c>
      <c r="H536">
        <f t="shared" si="133"/>
        <v>268</v>
      </c>
      <c r="I536">
        <f t="shared" si="134"/>
        <v>2.1293860000000109</v>
      </c>
      <c r="J536">
        <f t="shared" si="135"/>
        <v>2.334793999999988</v>
      </c>
      <c r="K536">
        <f t="shared" si="136"/>
        <v>1.6360310000000027</v>
      </c>
      <c r="L536">
        <f t="shared" si="137"/>
        <v>0.21994800000004489</v>
      </c>
      <c r="M536">
        <f t="shared" si="138"/>
        <v>0.18989499999997861</v>
      </c>
    </row>
    <row r="537" spans="1:13">
      <c r="B537">
        <v>0</v>
      </c>
      <c r="C537">
        <v>0</v>
      </c>
      <c r="D537">
        <v>1.0073280000000295</v>
      </c>
      <c r="E537">
        <v>9.3366849999999886</v>
      </c>
      <c r="F537">
        <v>0</v>
      </c>
      <c r="H537">
        <f t="shared" si="133"/>
        <v>0</v>
      </c>
      <c r="I537">
        <f t="shared" si="134"/>
        <v>0</v>
      </c>
      <c r="J537">
        <f t="shared" si="135"/>
        <v>0</v>
      </c>
      <c r="K537">
        <f t="shared" si="136"/>
        <v>1.0073280000000295</v>
      </c>
      <c r="L537">
        <f t="shared" si="137"/>
        <v>9.3366849999999886</v>
      </c>
      <c r="M537">
        <f t="shared" si="138"/>
        <v>0</v>
      </c>
    </row>
    <row r="538" spans="1:13">
      <c r="A538">
        <v>269</v>
      </c>
      <c r="B538">
        <v>3.554046000000028</v>
      </c>
      <c r="C538">
        <v>2.6433590000000322</v>
      </c>
      <c r="D538">
        <v>8.5493050000000039</v>
      </c>
      <c r="E538">
        <v>2.4893650000000207</v>
      </c>
      <c r="F538">
        <v>2.8434790000000021</v>
      </c>
      <c r="H538">
        <f t="shared" si="133"/>
        <v>269</v>
      </c>
      <c r="I538">
        <f t="shared" si="134"/>
        <v>3.554046000000028</v>
      </c>
      <c r="J538">
        <f t="shared" si="135"/>
        <v>2.6433590000000322</v>
      </c>
      <c r="K538">
        <f t="shared" si="136"/>
        <v>8.5493050000000039</v>
      </c>
      <c r="L538">
        <f t="shared" si="137"/>
        <v>2.4893650000000207</v>
      </c>
      <c r="M538">
        <f t="shared" si="138"/>
        <v>2.8434790000000021</v>
      </c>
    </row>
    <row r="539" spans="1:13">
      <c r="B539">
        <v>0</v>
      </c>
      <c r="C539">
        <v>0</v>
      </c>
      <c r="D539">
        <v>0</v>
      </c>
      <c r="E539">
        <v>0</v>
      </c>
      <c r="F539">
        <v>0</v>
      </c>
      <c r="H539">
        <f t="shared" ref="H539:H572" si="139">+A539</f>
        <v>0</v>
      </c>
      <c r="I539">
        <f t="shared" ref="I539:I580" si="140">+B539</f>
        <v>0</v>
      </c>
      <c r="J539">
        <f t="shared" ref="J539:J580" si="141">+C539</f>
        <v>0</v>
      </c>
      <c r="K539">
        <f t="shared" ref="K539:K580" si="142">+D539</f>
        <v>0</v>
      </c>
      <c r="L539">
        <f t="shared" ref="L539:L580" si="143">+E539</f>
        <v>0</v>
      </c>
      <c r="M539">
        <f t="shared" ref="M539:M580" si="144">+F539</f>
        <v>0</v>
      </c>
    </row>
    <row r="540" spans="1:13">
      <c r="A540">
        <v>270</v>
      </c>
      <c r="B540">
        <v>0.52622400000001335</v>
      </c>
      <c r="C540">
        <v>2.0441060000000562</v>
      </c>
      <c r="D540">
        <v>0.33493899999996302</v>
      </c>
      <c r="E540">
        <v>0.11563100000000759</v>
      </c>
      <c r="F540">
        <v>0.44923600000004171</v>
      </c>
      <c r="H540">
        <f t="shared" si="139"/>
        <v>270</v>
      </c>
      <c r="I540">
        <f t="shared" si="140"/>
        <v>0.52622400000001335</v>
      </c>
      <c r="J540">
        <f t="shared" si="141"/>
        <v>2.0441060000000562</v>
      </c>
      <c r="K540">
        <f t="shared" si="142"/>
        <v>0.33493899999996302</v>
      </c>
      <c r="L540">
        <f t="shared" si="143"/>
        <v>0.11563100000000759</v>
      </c>
      <c r="M540">
        <f t="shared" si="144"/>
        <v>0.44923600000004171</v>
      </c>
    </row>
    <row r="541" spans="1:13">
      <c r="B541">
        <v>0</v>
      </c>
      <c r="C541">
        <v>0</v>
      </c>
      <c r="D541">
        <v>0</v>
      </c>
      <c r="E541">
        <v>0</v>
      </c>
      <c r="F541">
        <v>0</v>
      </c>
      <c r="H541">
        <f t="shared" si="139"/>
        <v>0</v>
      </c>
      <c r="I541">
        <f t="shared" si="140"/>
        <v>0</v>
      </c>
      <c r="J541">
        <f t="shared" si="141"/>
        <v>0</v>
      </c>
      <c r="K541">
        <f t="shared" si="142"/>
        <v>0</v>
      </c>
      <c r="L541">
        <f t="shared" si="143"/>
        <v>0</v>
      </c>
      <c r="M541">
        <f t="shared" si="144"/>
        <v>0</v>
      </c>
    </row>
    <row r="542" spans="1:13">
      <c r="A542">
        <v>271</v>
      </c>
      <c r="B542">
        <v>1.3049379999999928</v>
      </c>
      <c r="C542">
        <v>0.8607520000000477</v>
      </c>
      <c r="D542">
        <v>0.19755999999995311</v>
      </c>
      <c r="E542">
        <v>0.22000700000000961</v>
      </c>
      <c r="F542">
        <v>2.608086999999955</v>
      </c>
      <c r="H542">
        <f t="shared" si="139"/>
        <v>271</v>
      </c>
      <c r="I542">
        <f t="shared" si="140"/>
        <v>1.3049379999999928</v>
      </c>
      <c r="J542">
        <f t="shared" si="141"/>
        <v>0.8607520000000477</v>
      </c>
      <c r="K542">
        <f t="shared" si="142"/>
        <v>0.19755999999995311</v>
      </c>
      <c r="L542">
        <f t="shared" si="143"/>
        <v>0.22000700000000961</v>
      </c>
      <c r="M542">
        <f t="shared" si="144"/>
        <v>2.608086999999955</v>
      </c>
    </row>
    <row r="543" spans="1:13">
      <c r="B543">
        <v>0</v>
      </c>
      <c r="C543">
        <v>0</v>
      </c>
      <c r="D543">
        <v>0</v>
      </c>
      <c r="E543">
        <v>0</v>
      </c>
      <c r="F543">
        <v>0</v>
      </c>
      <c r="H543">
        <f t="shared" si="139"/>
        <v>0</v>
      </c>
      <c r="I543">
        <f t="shared" si="140"/>
        <v>0</v>
      </c>
      <c r="J543">
        <f t="shared" si="141"/>
        <v>0</v>
      </c>
      <c r="K543">
        <f t="shared" si="142"/>
        <v>0</v>
      </c>
      <c r="L543">
        <f t="shared" si="143"/>
        <v>0</v>
      </c>
      <c r="M543">
        <f t="shared" si="144"/>
        <v>0</v>
      </c>
    </row>
    <row r="544" spans="1:13">
      <c r="A544">
        <v>272</v>
      </c>
      <c r="B544">
        <v>4.4142000000022108E-2</v>
      </c>
      <c r="C544">
        <v>0.43602099999998245</v>
      </c>
      <c r="D544">
        <v>2.0265699999999924</v>
      </c>
      <c r="E544">
        <v>5.690969999999993</v>
      </c>
      <c r="F544">
        <v>2.4492510000000038</v>
      </c>
      <c r="H544">
        <f t="shared" si="139"/>
        <v>272</v>
      </c>
      <c r="I544">
        <f t="shared" si="140"/>
        <v>4.4142000000022108E-2</v>
      </c>
      <c r="J544">
        <f t="shared" si="141"/>
        <v>0.43602099999998245</v>
      </c>
      <c r="K544">
        <f t="shared" si="142"/>
        <v>2.0265699999999924</v>
      </c>
      <c r="L544">
        <f t="shared" si="143"/>
        <v>5.690969999999993</v>
      </c>
      <c r="M544">
        <f t="shared" si="144"/>
        <v>2.4492510000000038</v>
      </c>
    </row>
    <row r="545" spans="1:13">
      <c r="B545">
        <v>0</v>
      </c>
      <c r="C545">
        <v>0</v>
      </c>
      <c r="D545">
        <v>1.5464620000001332</v>
      </c>
      <c r="E545">
        <v>0</v>
      </c>
      <c r="F545">
        <v>0</v>
      </c>
      <c r="H545">
        <f t="shared" si="139"/>
        <v>0</v>
      </c>
      <c r="I545">
        <f t="shared" si="140"/>
        <v>0</v>
      </c>
      <c r="J545">
        <f t="shared" si="141"/>
        <v>0</v>
      </c>
      <c r="K545">
        <f t="shared" si="142"/>
        <v>1.5464620000001332</v>
      </c>
      <c r="L545">
        <f t="shared" si="143"/>
        <v>0</v>
      </c>
      <c r="M545">
        <f t="shared" si="144"/>
        <v>0</v>
      </c>
    </row>
    <row r="546" spans="1:13">
      <c r="A546">
        <v>273</v>
      </c>
      <c r="B546">
        <v>1.3463949999999727</v>
      </c>
      <c r="C546">
        <v>9.3139569999999594</v>
      </c>
      <c r="D546">
        <v>3.1306190000000242</v>
      </c>
      <c r="E546">
        <v>0.48985800000002655</v>
      </c>
      <c r="F546">
        <v>0.37780699999996159</v>
      </c>
      <c r="H546">
        <f t="shared" si="139"/>
        <v>273</v>
      </c>
      <c r="I546">
        <f t="shared" si="140"/>
        <v>1.3463949999999727</v>
      </c>
      <c r="J546">
        <f t="shared" si="141"/>
        <v>9.3139569999999594</v>
      </c>
      <c r="K546">
        <f t="shared" si="142"/>
        <v>3.1306190000000242</v>
      </c>
      <c r="L546">
        <f t="shared" si="143"/>
        <v>0.48985800000002655</v>
      </c>
      <c r="M546">
        <f t="shared" si="144"/>
        <v>0.37780699999996159</v>
      </c>
    </row>
    <row r="547" spans="1:13">
      <c r="B547">
        <v>0</v>
      </c>
      <c r="C547">
        <v>0</v>
      </c>
      <c r="D547">
        <v>0</v>
      </c>
      <c r="E547">
        <v>11.36705500000005</v>
      </c>
      <c r="F547">
        <v>0</v>
      </c>
      <c r="H547">
        <f t="shared" si="139"/>
        <v>0</v>
      </c>
      <c r="I547">
        <f t="shared" si="140"/>
        <v>0</v>
      </c>
      <c r="J547">
        <f t="shared" si="141"/>
        <v>0</v>
      </c>
      <c r="K547">
        <f t="shared" si="142"/>
        <v>0</v>
      </c>
      <c r="L547">
        <f t="shared" si="143"/>
        <v>11.36705500000005</v>
      </c>
      <c r="M547">
        <f t="shared" si="144"/>
        <v>0</v>
      </c>
    </row>
    <row r="548" spans="1:13">
      <c r="A548">
        <v>274</v>
      </c>
      <c r="B548">
        <v>0.46250300000002653</v>
      </c>
      <c r="C548">
        <v>1.0634240000000545</v>
      </c>
      <c r="D548">
        <v>13.136736000000042</v>
      </c>
      <c r="E548">
        <v>2.9146429999999555</v>
      </c>
      <c r="F548">
        <v>2.5394880000000057</v>
      </c>
      <c r="H548">
        <f t="shared" si="139"/>
        <v>274</v>
      </c>
      <c r="I548">
        <f t="shared" si="140"/>
        <v>0.46250300000002653</v>
      </c>
      <c r="J548">
        <f t="shared" si="141"/>
        <v>1.0634240000000545</v>
      </c>
      <c r="K548">
        <f t="shared" si="142"/>
        <v>13.136736000000042</v>
      </c>
      <c r="L548">
        <f t="shared" si="143"/>
        <v>2.9146429999999555</v>
      </c>
      <c r="M548">
        <f t="shared" si="144"/>
        <v>2.5394880000000057</v>
      </c>
    </row>
    <row r="549" spans="1:13">
      <c r="B549">
        <v>0</v>
      </c>
      <c r="C549">
        <v>0</v>
      </c>
      <c r="D549">
        <v>0</v>
      </c>
      <c r="E549">
        <v>0.74195000000008804</v>
      </c>
      <c r="F549">
        <v>0</v>
      </c>
      <c r="H549">
        <f t="shared" si="139"/>
        <v>0</v>
      </c>
      <c r="I549">
        <f t="shared" si="140"/>
        <v>0</v>
      </c>
      <c r="J549">
        <f t="shared" si="141"/>
        <v>0</v>
      </c>
      <c r="K549">
        <f t="shared" si="142"/>
        <v>0</v>
      </c>
      <c r="L549">
        <f t="shared" si="143"/>
        <v>0.74195000000008804</v>
      </c>
      <c r="M549">
        <f t="shared" si="144"/>
        <v>0</v>
      </c>
    </row>
    <row r="550" spans="1:13">
      <c r="A550">
        <v>275</v>
      </c>
      <c r="B550">
        <v>1.5501140000000078</v>
      </c>
      <c r="C550">
        <v>0.67610400000000936</v>
      </c>
      <c r="D550">
        <v>3.6565930000000435</v>
      </c>
      <c r="E550">
        <v>1.0296829999999773</v>
      </c>
      <c r="F550">
        <v>1.5189560000000029</v>
      </c>
      <c r="H550">
        <f t="shared" si="139"/>
        <v>275</v>
      </c>
      <c r="I550">
        <f t="shared" si="140"/>
        <v>1.5501140000000078</v>
      </c>
      <c r="J550">
        <f t="shared" si="141"/>
        <v>0.67610400000000936</v>
      </c>
      <c r="K550">
        <f t="shared" si="142"/>
        <v>3.6565930000000435</v>
      </c>
      <c r="L550">
        <f t="shared" si="143"/>
        <v>1.0296829999999773</v>
      </c>
      <c r="M550">
        <f t="shared" si="144"/>
        <v>1.5189560000000029</v>
      </c>
    </row>
    <row r="551" spans="1:13">
      <c r="B551">
        <v>0</v>
      </c>
      <c r="C551">
        <v>0</v>
      </c>
      <c r="D551">
        <v>0</v>
      </c>
      <c r="E551">
        <v>0.28589499999998225</v>
      </c>
      <c r="F551">
        <v>0</v>
      </c>
      <c r="H551">
        <f t="shared" si="139"/>
        <v>0</v>
      </c>
      <c r="I551">
        <f t="shared" si="140"/>
        <v>0</v>
      </c>
      <c r="J551">
        <f t="shared" si="141"/>
        <v>0</v>
      </c>
      <c r="K551">
        <f t="shared" si="142"/>
        <v>0</v>
      </c>
      <c r="L551">
        <f t="shared" si="143"/>
        <v>0.28589499999998225</v>
      </c>
      <c r="M551">
        <f t="shared" si="144"/>
        <v>0</v>
      </c>
    </row>
    <row r="552" spans="1:13">
      <c r="A552">
        <v>276</v>
      </c>
      <c r="B552">
        <v>2.3658669999999802</v>
      </c>
      <c r="C552">
        <v>0.31108200000005581</v>
      </c>
      <c r="D552">
        <v>1.3155779999999595</v>
      </c>
      <c r="E552">
        <v>1.2210340000000315</v>
      </c>
      <c r="F552">
        <v>8.2738999999946827E-2</v>
      </c>
      <c r="H552">
        <f t="shared" si="139"/>
        <v>276</v>
      </c>
      <c r="I552">
        <f t="shared" si="140"/>
        <v>2.3658669999999802</v>
      </c>
      <c r="J552">
        <f t="shared" si="141"/>
        <v>0.31108200000005581</v>
      </c>
      <c r="K552">
        <f t="shared" si="142"/>
        <v>1.3155779999999595</v>
      </c>
      <c r="L552">
        <f t="shared" si="143"/>
        <v>1.2210340000000315</v>
      </c>
      <c r="M552">
        <f t="shared" si="144"/>
        <v>8.2738999999946827E-2</v>
      </c>
    </row>
    <row r="553" spans="1:13">
      <c r="B553">
        <v>0</v>
      </c>
      <c r="C553">
        <v>0</v>
      </c>
      <c r="D553">
        <v>0</v>
      </c>
      <c r="E553">
        <v>16.651908999999932</v>
      </c>
      <c r="F553">
        <v>0</v>
      </c>
      <c r="H553">
        <f t="shared" si="139"/>
        <v>0</v>
      </c>
      <c r="I553">
        <f t="shared" si="140"/>
        <v>0</v>
      </c>
      <c r="J553">
        <f t="shared" si="141"/>
        <v>0</v>
      </c>
      <c r="K553">
        <f t="shared" si="142"/>
        <v>0</v>
      </c>
      <c r="L553">
        <f t="shared" si="143"/>
        <v>16.651908999999932</v>
      </c>
      <c r="M553">
        <f t="shared" si="144"/>
        <v>0</v>
      </c>
    </row>
    <row r="554" spans="1:13">
      <c r="A554">
        <v>277</v>
      </c>
      <c r="B554">
        <v>5.2989239999999995</v>
      </c>
      <c r="C554">
        <v>0.72358399999995981</v>
      </c>
      <c r="D554">
        <v>17.872942999999964</v>
      </c>
      <c r="E554">
        <v>2.5832349999999451</v>
      </c>
      <c r="F554">
        <v>0.60694100000000617</v>
      </c>
      <c r="H554">
        <f t="shared" si="139"/>
        <v>277</v>
      </c>
      <c r="I554">
        <f t="shared" si="140"/>
        <v>5.2989239999999995</v>
      </c>
      <c r="J554">
        <f t="shared" si="141"/>
        <v>0.72358399999995981</v>
      </c>
      <c r="K554">
        <f t="shared" si="142"/>
        <v>17.872942999999964</v>
      </c>
      <c r="L554">
        <f t="shared" si="143"/>
        <v>2.5832349999999451</v>
      </c>
      <c r="M554">
        <f t="shared" si="144"/>
        <v>0.60694100000000617</v>
      </c>
    </row>
    <row r="555" spans="1:13">
      <c r="B555">
        <v>0</v>
      </c>
      <c r="C555">
        <v>0</v>
      </c>
      <c r="D555">
        <v>0</v>
      </c>
      <c r="E555">
        <v>0</v>
      </c>
      <c r="F555">
        <v>0</v>
      </c>
      <c r="H555">
        <f t="shared" si="139"/>
        <v>0</v>
      </c>
      <c r="I555">
        <f t="shared" si="140"/>
        <v>0</v>
      </c>
      <c r="J555">
        <f t="shared" si="141"/>
        <v>0</v>
      </c>
      <c r="K555">
        <f t="shared" si="142"/>
        <v>0</v>
      </c>
      <c r="L555">
        <f t="shared" si="143"/>
        <v>0</v>
      </c>
      <c r="M555">
        <f t="shared" si="144"/>
        <v>0</v>
      </c>
    </row>
    <row r="556" spans="1:13">
      <c r="A556">
        <v>278</v>
      </c>
      <c r="B556">
        <v>1.8836749999999824</v>
      </c>
      <c r="C556">
        <v>0.42781600000000708</v>
      </c>
      <c r="D556">
        <v>0.11359300000003714</v>
      </c>
      <c r="E556">
        <v>5.2560320000000047</v>
      </c>
      <c r="F556">
        <v>1.1275550000000294</v>
      </c>
      <c r="H556">
        <f t="shared" si="139"/>
        <v>278</v>
      </c>
      <c r="I556">
        <f t="shared" si="140"/>
        <v>1.8836749999999824</v>
      </c>
      <c r="J556">
        <f t="shared" si="141"/>
        <v>0.42781600000000708</v>
      </c>
      <c r="K556">
        <f t="shared" si="142"/>
        <v>0.11359300000003714</v>
      </c>
      <c r="L556">
        <f t="shared" si="143"/>
        <v>5.2560320000000047</v>
      </c>
      <c r="M556">
        <f t="shared" si="144"/>
        <v>1.1275550000000294</v>
      </c>
    </row>
    <row r="557" spans="1:13">
      <c r="B557">
        <v>0</v>
      </c>
      <c r="C557">
        <v>0</v>
      </c>
      <c r="D557">
        <v>0</v>
      </c>
      <c r="E557">
        <v>5.0075620000001209</v>
      </c>
      <c r="F557">
        <v>0</v>
      </c>
      <c r="H557">
        <f t="shared" si="139"/>
        <v>0</v>
      </c>
      <c r="I557">
        <f t="shared" si="140"/>
        <v>0</v>
      </c>
      <c r="J557">
        <f t="shared" si="141"/>
        <v>0</v>
      </c>
      <c r="K557">
        <f t="shared" si="142"/>
        <v>0</v>
      </c>
      <c r="L557">
        <f t="shared" si="143"/>
        <v>5.0075620000001209</v>
      </c>
      <c r="M557">
        <f t="shared" si="144"/>
        <v>0</v>
      </c>
    </row>
    <row r="558" spans="1:13">
      <c r="A558">
        <v>279</v>
      </c>
      <c r="B558">
        <v>0.21890400000000909</v>
      </c>
      <c r="C558">
        <v>0.58427200000005541</v>
      </c>
      <c r="D558">
        <v>12.733236000000034</v>
      </c>
      <c r="E558">
        <v>0.61629900000002635</v>
      </c>
      <c r="F558">
        <v>7.1653059999999869</v>
      </c>
      <c r="H558">
        <f t="shared" si="139"/>
        <v>279</v>
      </c>
      <c r="I558">
        <f t="shared" si="140"/>
        <v>0.21890400000000909</v>
      </c>
      <c r="J558">
        <f t="shared" si="141"/>
        <v>0.58427200000005541</v>
      </c>
      <c r="K558">
        <f t="shared" si="142"/>
        <v>12.733236000000034</v>
      </c>
      <c r="L558">
        <f t="shared" si="143"/>
        <v>0.61629900000002635</v>
      </c>
      <c r="M558">
        <f t="shared" si="144"/>
        <v>7.1653059999999869</v>
      </c>
    </row>
    <row r="559" spans="1:13">
      <c r="B559">
        <v>0</v>
      </c>
      <c r="C559">
        <v>0</v>
      </c>
      <c r="D559">
        <v>0</v>
      </c>
      <c r="E559">
        <v>2.3807419999999411</v>
      </c>
      <c r="F559">
        <v>0</v>
      </c>
      <c r="H559">
        <f t="shared" si="139"/>
        <v>0</v>
      </c>
      <c r="I559">
        <f t="shared" si="140"/>
        <v>0</v>
      </c>
      <c r="J559">
        <f t="shared" si="141"/>
        <v>0</v>
      </c>
      <c r="K559">
        <f t="shared" si="142"/>
        <v>0</v>
      </c>
      <c r="L559">
        <f t="shared" si="143"/>
        <v>2.3807419999999411</v>
      </c>
      <c r="M559">
        <f t="shared" si="144"/>
        <v>0</v>
      </c>
    </row>
    <row r="560" spans="1:13">
      <c r="A560">
        <v>280</v>
      </c>
      <c r="B560">
        <v>0.22322100000002365</v>
      </c>
      <c r="C560">
        <v>7.2632680000000391</v>
      </c>
      <c r="D560">
        <v>2.9970409999999674</v>
      </c>
      <c r="E560">
        <v>0.34748700000000099</v>
      </c>
      <c r="F560">
        <v>0.34462099999996099</v>
      </c>
      <c r="H560">
        <f t="shared" si="139"/>
        <v>280</v>
      </c>
      <c r="I560">
        <f t="shared" si="140"/>
        <v>0.22322100000002365</v>
      </c>
      <c r="J560">
        <f t="shared" si="141"/>
        <v>7.2632680000000391</v>
      </c>
      <c r="K560">
        <f t="shared" si="142"/>
        <v>2.9970409999999674</v>
      </c>
      <c r="L560">
        <f t="shared" si="143"/>
        <v>0.34748700000000099</v>
      </c>
      <c r="M560">
        <f t="shared" si="144"/>
        <v>0.34462099999996099</v>
      </c>
    </row>
    <row r="561" spans="1:13">
      <c r="B561">
        <v>0</v>
      </c>
      <c r="C561">
        <v>0</v>
      </c>
      <c r="D561">
        <v>0</v>
      </c>
      <c r="E561">
        <v>0</v>
      </c>
      <c r="F561">
        <v>27.584799000000089</v>
      </c>
      <c r="H561">
        <f t="shared" si="139"/>
        <v>0</v>
      </c>
      <c r="I561">
        <f t="shared" si="140"/>
        <v>0</v>
      </c>
      <c r="J561">
        <f t="shared" si="141"/>
        <v>0</v>
      </c>
      <c r="K561">
        <f t="shared" si="142"/>
        <v>0</v>
      </c>
      <c r="L561">
        <f t="shared" si="143"/>
        <v>0</v>
      </c>
      <c r="M561">
        <f t="shared" si="144"/>
        <v>27.584799000000089</v>
      </c>
    </row>
    <row r="562" spans="1:13">
      <c r="A562">
        <v>281</v>
      </c>
      <c r="B562">
        <v>0.35810700000001816</v>
      </c>
      <c r="C562">
        <v>0.3507520000000568</v>
      </c>
      <c r="D562">
        <v>0.22647700000004534</v>
      </c>
      <c r="E562">
        <v>43.177741999999967</v>
      </c>
      <c r="F562">
        <v>0.97794899999996687</v>
      </c>
      <c r="H562">
        <f t="shared" si="139"/>
        <v>281</v>
      </c>
      <c r="I562">
        <f t="shared" si="140"/>
        <v>0.35810700000001816</v>
      </c>
      <c r="J562">
        <f t="shared" si="141"/>
        <v>0.3507520000000568</v>
      </c>
      <c r="K562">
        <f t="shared" si="142"/>
        <v>0.22647700000004534</v>
      </c>
      <c r="L562">
        <f t="shared" si="143"/>
        <v>43.177741999999967</v>
      </c>
      <c r="M562">
        <f t="shared" si="144"/>
        <v>0.97794899999996687</v>
      </c>
    </row>
    <row r="563" spans="1:13">
      <c r="B563">
        <v>0</v>
      </c>
      <c r="C563">
        <v>0</v>
      </c>
      <c r="D563">
        <v>0</v>
      </c>
      <c r="E563">
        <v>0</v>
      </c>
      <c r="F563">
        <v>0.14127400000006674</v>
      </c>
      <c r="H563">
        <f t="shared" si="139"/>
        <v>0</v>
      </c>
      <c r="I563">
        <f t="shared" si="140"/>
        <v>0</v>
      </c>
      <c r="J563">
        <f t="shared" si="141"/>
        <v>0</v>
      </c>
      <c r="K563">
        <f t="shared" si="142"/>
        <v>0</v>
      </c>
      <c r="L563">
        <f t="shared" si="143"/>
        <v>0</v>
      </c>
      <c r="M563">
        <f t="shared" si="144"/>
        <v>0.14127400000006674</v>
      </c>
    </row>
    <row r="564" spans="1:13">
      <c r="A564">
        <v>282</v>
      </c>
      <c r="B564">
        <v>0.67315999999999576</v>
      </c>
      <c r="C564">
        <v>0.66355399999997644</v>
      </c>
      <c r="D564">
        <v>0.28177500000003874</v>
      </c>
      <c r="E564">
        <v>1.1192230000000336</v>
      </c>
      <c r="F564">
        <v>0.47348499999998239</v>
      </c>
      <c r="H564">
        <f t="shared" si="139"/>
        <v>282</v>
      </c>
      <c r="I564">
        <f t="shared" si="140"/>
        <v>0.67315999999999576</v>
      </c>
      <c r="J564">
        <f t="shared" si="141"/>
        <v>0.66355399999997644</v>
      </c>
      <c r="K564">
        <f t="shared" si="142"/>
        <v>0.28177500000003874</v>
      </c>
      <c r="L564">
        <f t="shared" si="143"/>
        <v>1.1192230000000336</v>
      </c>
      <c r="M564">
        <f t="shared" si="144"/>
        <v>0.47348499999998239</v>
      </c>
    </row>
    <row r="565" spans="1:13">
      <c r="B565">
        <v>0</v>
      </c>
      <c r="C565">
        <v>0</v>
      </c>
      <c r="D565">
        <v>0</v>
      </c>
      <c r="E565">
        <v>0</v>
      </c>
      <c r="F565">
        <v>0</v>
      </c>
      <c r="H565">
        <f t="shared" si="139"/>
        <v>0</v>
      </c>
      <c r="I565">
        <f t="shared" si="140"/>
        <v>0</v>
      </c>
      <c r="J565">
        <f t="shared" si="141"/>
        <v>0</v>
      </c>
      <c r="K565">
        <f t="shared" si="142"/>
        <v>0</v>
      </c>
      <c r="L565">
        <f t="shared" si="143"/>
        <v>0</v>
      </c>
      <c r="M565">
        <f t="shared" si="144"/>
        <v>0</v>
      </c>
    </row>
    <row r="566" spans="1:13">
      <c r="A566">
        <v>283</v>
      </c>
      <c r="B566">
        <v>0.56773099999998067</v>
      </c>
      <c r="C566">
        <v>1.1195259999999507</v>
      </c>
      <c r="D566">
        <v>0.97989099999995233</v>
      </c>
      <c r="E566">
        <v>0.24419799999998304</v>
      </c>
      <c r="F566">
        <v>0.92651699999998982</v>
      </c>
      <c r="H566">
        <f t="shared" si="139"/>
        <v>283</v>
      </c>
      <c r="I566">
        <f t="shared" si="140"/>
        <v>0.56773099999998067</v>
      </c>
      <c r="J566">
        <f t="shared" si="141"/>
        <v>1.1195259999999507</v>
      </c>
      <c r="K566">
        <f t="shared" si="142"/>
        <v>0.97989099999995233</v>
      </c>
      <c r="L566">
        <f t="shared" si="143"/>
        <v>0.24419799999998304</v>
      </c>
      <c r="M566">
        <f t="shared" si="144"/>
        <v>0.92651699999998982</v>
      </c>
    </row>
    <row r="567" spans="1:13">
      <c r="B567">
        <v>0</v>
      </c>
      <c r="C567">
        <v>0</v>
      </c>
      <c r="D567">
        <v>0</v>
      </c>
      <c r="E567">
        <v>0</v>
      </c>
      <c r="F567">
        <v>0</v>
      </c>
      <c r="H567">
        <f t="shared" si="139"/>
        <v>0</v>
      </c>
      <c r="I567">
        <f t="shared" si="140"/>
        <v>0</v>
      </c>
      <c r="J567">
        <f t="shared" si="141"/>
        <v>0</v>
      </c>
      <c r="K567">
        <f t="shared" si="142"/>
        <v>0</v>
      </c>
      <c r="L567">
        <f t="shared" si="143"/>
        <v>0</v>
      </c>
      <c r="M567">
        <f t="shared" si="144"/>
        <v>0</v>
      </c>
    </row>
    <row r="568" spans="1:13">
      <c r="A568">
        <v>284</v>
      </c>
      <c r="B568">
        <v>0.20940799999999626</v>
      </c>
      <c r="C568">
        <v>1.8236610000000155</v>
      </c>
      <c r="D568">
        <v>4.3627410000000282</v>
      </c>
      <c r="E568">
        <v>0.19788600000003953</v>
      </c>
      <c r="F568">
        <v>0.27759800000001178</v>
      </c>
      <c r="H568">
        <f t="shared" si="139"/>
        <v>284</v>
      </c>
      <c r="I568">
        <f t="shared" si="140"/>
        <v>0.20940799999999626</v>
      </c>
      <c r="J568">
        <f t="shared" si="141"/>
        <v>1.8236610000000155</v>
      </c>
      <c r="K568">
        <f t="shared" si="142"/>
        <v>4.3627410000000282</v>
      </c>
      <c r="L568">
        <f t="shared" si="143"/>
        <v>0.19788600000003953</v>
      </c>
      <c r="M568">
        <f t="shared" si="144"/>
        <v>0.27759800000001178</v>
      </c>
    </row>
    <row r="569" spans="1:13">
      <c r="B569">
        <v>0</v>
      </c>
      <c r="C569">
        <v>0</v>
      </c>
      <c r="D569">
        <v>0</v>
      </c>
      <c r="E569">
        <v>0</v>
      </c>
      <c r="F569">
        <v>0</v>
      </c>
      <c r="H569">
        <f t="shared" si="139"/>
        <v>0</v>
      </c>
      <c r="I569">
        <f t="shared" si="140"/>
        <v>0</v>
      </c>
      <c r="J569">
        <f t="shared" si="141"/>
        <v>0</v>
      </c>
      <c r="K569">
        <f t="shared" si="142"/>
        <v>0</v>
      </c>
      <c r="L569">
        <f t="shared" si="143"/>
        <v>0</v>
      </c>
      <c r="M569">
        <f t="shared" si="144"/>
        <v>0</v>
      </c>
    </row>
    <row r="570" spans="1:13">
      <c r="A570">
        <v>285</v>
      </c>
      <c r="B570">
        <v>0.56440199999997276</v>
      </c>
      <c r="C570">
        <v>0.36907599999995</v>
      </c>
      <c r="D570">
        <v>1.5154159999999592</v>
      </c>
      <c r="E570">
        <v>0.30763200000001234</v>
      </c>
      <c r="F570">
        <v>2.1232109999999693</v>
      </c>
      <c r="H570">
        <f t="shared" si="139"/>
        <v>285</v>
      </c>
      <c r="I570">
        <f t="shared" si="140"/>
        <v>0.56440199999997276</v>
      </c>
      <c r="J570">
        <f t="shared" si="141"/>
        <v>0.36907599999995</v>
      </c>
      <c r="K570">
        <f t="shared" si="142"/>
        <v>1.5154159999999592</v>
      </c>
      <c r="L570">
        <f t="shared" si="143"/>
        <v>0.30763200000001234</v>
      </c>
      <c r="M570">
        <f t="shared" si="144"/>
        <v>2.1232109999999693</v>
      </c>
    </row>
    <row r="571" spans="1:13">
      <c r="B571">
        <v>0</v>
      </c>
      <c r="C571">
        <v>0</v>
      </c>
      <c r="D571">
        <v>0</v>
      </c>
      <c r="E571">
        <v>0</v>
      </c>
      <c r="F571">
        <v>1.976300000012543E-2</v>
      </c>
      <c r="H571">
        <f t="shared" si="139"/>
        <v>0</v>
      </c>
      <c r="I571">
        <f t="shared" si="140"/>
        <v>0</v>
      </c>
      <c r="J571">
        <f t="shared" si="141"/>
        <v>0</v>
      </c>
      <c r="K571">
        <f t="shared" si="142"/>
        <v>0</v>
      </c>
      <c r="L571">
        <f t="shared" si="143"/>
        <v>0</v>
      </c>
      <c r="M571">
        <f t="shared" si="144"/>
        <v>1.976300000012543E-2</v>
      </c>
    </row>
    <row r="572" spans="1:13">
      <c r="A572">
        <v>286</v>
      </c>
      <c r="B572">
        <v>0.73739599999998973</v>
      </c>
      <c r="C572">
        <v>2.3234860000000026</v>
      </c>
      <c r="D572">
        <v>2.063761999999997</v>
      </c>
      <c r="E572">
        <v>3.0708580000000438</v>
      </c>
      <c r="F572">
        <v>4.3674549999999499</v>
      </c>
      <c r="H572">
        <f t="shared" si="139"/>
        <v>286</v>
      </c>
      <c r="I572">
        <f t="shared" si="140"/>
        <v>0.73739599999998973</v>
      </c>
      <c r="J572">
        <f t="shared" si="141"/>
        <v>2.3234860000000026</v>
      </c>
      <c r="K572">
        <f t="shared" si="142"/>
        <v>2.063761999999997</v>
      </c>
      <c r="L572">
        <f t="shared" si="143"/>
        <v>3.0708580000000438</v>
      </c>
      <c r="M572">
        <f t="shared" si="144"/>
        <v>4.3674549999999499</v>
      </c>
    </row>
    <row r="573" spans="1:13">
      <c r="B573">
        <v>0</v>
      </c>
      <c r="C573">
        <v>0</v>
      </c>
      <c r="D573">
        <v>0</v>
      </c>
      <c r="E573">
        <v>0</v>
      </c>
      <c r="F573">
        <v>0.28796200000010685</v>
      </c>
      <c r="H573">
        <f>+A573</f>
        <v>0</v>
      </c>
      <c r="I573">
        <f t="shared" si="140"/>
        <v>0</v>
      </c>
      <c r="J573">
        <f t="shared" si="141"/>
        <v>0</v>
      </c>
      <c r="K573">
        <f t="shared" si="142"/>
        <v>0</v>
      </c>
      <c r="L573">
        <f t="shared" si="143"/>
        <v>0</v>
      </c>
      <c r="M573">
        <f t="shared" si="144"/>
        <v>0.28796200000010685</v>
      </c>
    </row>
    <row r="574" spans="1:13">
      <c r="A574">
        <v>287</v>
      </c>
      <c r="B574">
        <v>1.2939220000000091</v>
      </c>
      <c r="C574">
        <v>2.8412720000000036</v>
      </c>
      <c r="D574">
        <v>0.81999399999995148</v>
      </c>
      <c r="E574">
        <v>4.6554170000000568</v>
      </c>
      <c r="F574">
        <v>0.43649100000004637</v>
      </c>
      <c r="H574">
        <f t="shared" ref="H574:H575" si="145">+A574</f>
        <v>287</v>
      </c>
      <c r="I574">
        <f t="shared" si="140"/>
        <v>1.2939220000000091</v>
      </c>
      <c r="J574">
        <f t="shared" si="141"/>
        <v>2.8412720000000036</v>
      </c>
      <c r="K574">
        <f t="shared" si="142"/>
        <v>0.81999399999995148</v>
      </c>
      <c r="L574">
        <f t="shared" si="143"/>
        <v>4.6554170000000568</v>
      </c>
      <c r="M574">
        <f t="shared" si="144"/>
        <v>0.43649100000004637</v>
      </c>
    </row>
    <row r="575" spans="1:13">
      <c r="B575">
        <v>0</v>
      </c>
      <c r="C575">
        <v>0</v>
      </c>
      <c r="D575">
        <v>0</v>
      </c>
      <c r="E575">
        <v>0</v>
      </c>
      <c r="F575">
        <v>0.13713099999995393</v>
      </c>
      <c r="H575">
        <f t="shared" si="145"/>
        <v>0</v>
      </c>
      <c r="I575">
        <f t="shared" si="140"/>
        <v>0</v>
      </c>
      <c r="J575">
        <f t="shared" si="141"/>
        <v>0</v>
      </c>
      <c r="K575">
        <f t="shared" si="142"/>
        <v>0</v>
      </c>
      <c r="L575">
        <f t="shared" si="143"/>
        <v>0</v>
      </c>
      <c r="M575">
        <f t="shared" si="144"/>
        <v>0.13713099999995393</v>
      </c>
    </row>
    <row r="576" spans="1:13">
      <c r="A576">
        <v>288</v>
      </c>
      <c r="B576">
        <v>4.9094460000000026</v>
      </c>
      <c r="C576">
        <v>0.87925600000005488</v>
      </c>
      <c r="D576">
        <v>3.4188950000000204</v>
      </c>
      <c r="E576">
        <v>0.5736220000000003</v>
      </c>
      <c r="F576">
        <v>0.60763999999994667</v>
      </c>
      <c r="H576">
        <f>+A576</f>
        <v>288</v>
      </c>
      <c r="I576">
        <f t="shared" si="140"/>
        <v>4.9094460000000026</v>
      </c>
      <c r="J576">
        <f t="shared" si="141"/>
        <v>0.87925600000005488</v>
      </c>
      <c r="K576">
        <f t="shared" si="142"/>
        <v>3.4188950000000204</v>
      </c>
      <c r="L576">
        <f t="shared" si="143"/>
        <v>0.5736220000000003</v>
      </c>
      <c r="M576">
        <f t="shared" si="144"/>
        <v>0.60763999999994667</v>
      </c>
    </row>
    <row r="577" spans="1:13">
      <c r="B577">
        <v>0</v>
      </c>
      <c r="C577">
        <v>0</v>
      </c>
      <c r="D577">
        <v>0</v>
      </c>
      <c r="E577">
        <v>0</v>
      </c>
      <c r="F577">
        <v>0.69355500000006032</v>
      </c>
      <c r="H577">
        <f t="shared" ref="H577:H580" si="146">+A577</f>
        <v>0</v>
      </c>
      <c r="I577">
        <f t="shared" si="140"/>
        <v>0</v>
      </c>
      <c r="J577">
        <f t="shared" si="141"/>
        <v>0</v>
      </c>
      <c r="K577">
        <f t="shared" si="142"/>
        <v>0</v>
      </c>
      <c r="L577">
        <f t="shared" si="143"/>
        <v>0</v>
      </c>
      <c r="M577">
        <f t="shared" si="144"/>
        <v>0.69355500000006032</v>
      </c>
    </row>
    <row r="578" spans="1:13">
      <c r="A578">
        <v>289</v>
      </c>
      <c r="B578">
        <v>1.2966589999999769</v>
      </c>
      <c r="C578">
        <v>0.63827900000001137</v>
      </c>
      <c r="D578">
        <v>0.15344100000004346</v>
      </c>
      <c r="E578">
        <v>1.301195000000007</v>
      </c>
      <c r="F578">
        <v>0.20408099999997376</v>
      </c>
      <c r="H578">
        <f t="shared" si="146"/>
        <v>289</v>
      </c>
      <c r="I578">
        <f t="shared" si="140"/>
        <v>1.2966589999999769</v>
      </c>
      <c r="J578">
        <f t="shared" si="141"/>
        <v>0.63827900000001137</v>
      </c>
      <c r="K578">
        <f t="shared" si="142"/>
        <v>0.15344100000004346</v>
      </c>
      <c r="L578">
        <f t="shared" si="143"/>
        <v>1.301195000000007</v>
      </c>
      <c r="M578">
        <f t="shared" si="144"/>
        <v>0.20408099999997376</v>
      </c>
    </row>
    <row r="579" spans="1:13">
      <c r="B579">
        <v>0</v>
      </c>
      <c r="C579">
        <v>0</v>
      </c>
      <c r="D579">
        <v>0</v>
      </c>
      <c r="E579">
        <v>0</v>
      </c>
      <c r="F579">
        <v>2.2650250000000369</v>
      </c>
      <c r="H579">
        <f t="shared" si="146"/>
        <v>0</v>
      </c>
      <c r="I579">
        <f t="shared" si="140"/>
        <v>0</v>
      </c>
      <c r="J579">
        <f t="shared" si="141"/>
        <v>0</v>
      </c>
      <c r="K579">
        <f t="shared" si="142"/>
        <v>0</v>
      </c>
      <c r="L579">
        <f t="shared" si="143"/>
        <v>0</v>
      </c>
      <c r="M579">
        <f t="shared" si="144"/>
        <v>2.2650250000000369</v>
      </c>
    </row>
    <row r="580" spans="1:13">
      <c r="A580">
        <v>290</v>
      </c>
      <c r="B580">
        <v>0.8069290000000251</v>
      </c>
      <c r="C580">
        <v>7.7551039999999603</v>
      </c>
      <c r="D580">
        <v>0.18379200000003948</v>
      </c>
      <c r="E580">
        <v>2.4691060000000107</v>
      </c>
      <c r="F580">
        <v>2.2650340000000142</v>
      </c>
      <c r="H580">
        <f t="shared" si="146"/>
        <v>290</v>
      </c>
      <c r="I580">
        <f t="shared" si="140"/>
        <v>0.8069290000000251</v>
      </c>
      <c r="J580">
        <f t="shared" si="141"/>
        <v>7.7551039999999603</v>
      </c>
      <c r="K580">
        <f t="shared" si="142"/>
        <v>0.18379200000003948</v>
      </c>
      <c r="L580">
        <f t="shared" si="143"/>
        <v>2.4691060000000107</v>
      </c>
      <c r="M580">
        <f t="shared" si="144"/>
        <v>2.2650340000000142</v>
      </c>
    </row>
    <row r="581" spans="1:13">
      <c r="B581">
        <v>0</v>
      </c>
      <c r="C581">
        <v>0</v>
      </c>
      <c r="D581">
        <v>0</v>
      </c>
      <c r="E581">
        <v>0</v>
      </c>
      <c r="F581">
        <v>0</v>
      </c>
    </row>
    <row r="582" spans="1:13">
      <c r="A582">
        <v>291</v>
      </c>
      <c r="B582">
        <v>1.077590999999984</v>
      </c>
      <c r="C582">
        <v>0.28368999999997868</v>
      </c>
      <c r="D582">
        <v>1.5421089999999822</v>
      </c>
      <c r="E582">
        <v>0.52858400000002348</v>
      </c>
      <c r="F582">
        <v>0.67728499999998348</v>
      </c>
    </row>
    <row r="583" spans="1:13">
      <c r="B583">
        <v>0</v>
      </c>
      <c r="C583">
        <v>0</v>
      </c>
      <c r="D583">
        <v>0</v>
      </c>
      <c r="E583">
        <v>0</v>
      </c>
      <c r="F583">
        <v>0</v>
      </c>
    </row>
    <row r="584" spans="1:13">
      <c r="A584">
        <v>292</v>
      </c>
      <c r="B584">
        <v>2.9878290000000334</v>
      </c>
      <c r="C584">
        <v>0.70474000000001524</v>
      </c>
      <c r="D584">
        <v>3.5328990000000431</v>
      </c>
      <c r="E584">
        <v>0.84458900000004178</v>
      </c>
      <c r="F584">
        <v>2.0465189999999893</v>
      </c>
    </row>
    <row r="585" spans="1:13">
      <c r="B585">
        <v>0</v>
      </c>
      <c r="C585">
        <v>0</v>
      </c>
      <c r="D585">
        <v>0</v>
      </c>
      <c r="E585">
        <v>0</v>
      </c>
      <c r="F585">
        <v>0</v>
      </c>
    </row>
    <row r="586" spans="1:13">
      <c r="A586">
        <v>293</v>
      </c>
      <c r="B586">
        <v>1.0862839999999778</v>
      </c>
      <c r="C586">
        <v>0.11707300000000487</v>
      </c>
      <c r="D586">
        <v>6.8088860000000295</v>
      </c>
      <c r="E586">
        <v>0.73787700000002587</v>
      </c>
      <c r="F586">
        <v>0.9188010000000304</v>
      </c>
    </row>
    <row r="587" spans="1:13">
      <c r="B587">
        <v>0</v>
      </c>
      <c r="C587">
        <v>0</v>
      </c>
      <c r="D587">
        <v>0</v>
      </c>
      <c r="E587">
        <v>0</v>
      </c>
      <c r="F587">
        <v>0</v>
      </c>
    </row>
    <row r="588" spans="1:13">
      <c r="A588">
        <v>294</v>
      </c>
      <c r="B588">
        <v>4.6385239999999612</v>
      </c>
      <c r="C588">
        <v>0.88367700000003424</v>
      </c>
      <c r="D588">
        <v>0.57383800000002338</v>
      </c>
      <c r="E588">
        <v>1.0642850000000408</v>
      </c>
      <c r="F588">
        <v>1.6072450000000345</v>
      </c>
    </row>
    <row r="589" spans="1:13">
      <c r="B589">
        <v>0</v>
      </c>
      <c r="C589">
        <v>0</v>
      </c>
      <c r="D589">
        <v>0</v>
      </c>
      <c r="E589">
        <v>0</v>
      </c>
      <c r="F589">
        <v>0</v>
      </c>
    </row>
    <row r="590" spans="1:13">
      <c r="A590">
        <v>295</v>
      </c>
      <c r="B590">
        <v>1.8284340000000157</v>
      </c>
      <c r="C590">
        <v>0.84382000000005064</v>
      </c>
      <c r="D590">
        <v>0.36575100000004568</v>
      </c>
      <c r="E590">
        <v>0.61904200000003584</v>
      </c>
      <c r="F590">
        <v>0.75049999999998818</v>
      </c>
    </row>
    <row r="591" spans="1:13">
      <c r="B591">
        <v>0</v>
      </c>
      <c r="C591">
        <v>0</v>
      </c>
      <c r="D591">
        <v>0</v>
      </c>
      <c r="E591">
        <v>0</v>
      </c>
      <c r="F591">
        <v>0</v>
      </c>
    </row>
    <row r="592" spans="1:13">
      <c r="A592">
        <v>296</v>
      </c>
      <c r="B592">
        <v>0.22593900000003941</v>
      </c>
      <c r="C592">
        <v>0.78659400000003643</v>
      </c>
      <c r="D592">
        <v>1.1544939999999997</v>
      </c>
      <c r="E592">
        <v>0.22446800000000167</v>
      </c>
      <c r="F592">
        <v>1.275765999999976</v>
      </c>
    </row>
    <row r="593" spans="1:6">
      <c r="B593">
        <v>0</v>
      </c>
      <c r="C593">
        <v>0</v>
      </c>
      <c r="D593">
        <v>0</v>
      </c>
      <c r="E593">
        <v>0</v>
      </c>
      <c r="F593">
        <v>3.7522670000001881</v>
      </c>
    </row>
    <row r="594" spans="1:6">
      <c r="A594">
        <v>297</v>
      </c>
      <c r="B594">
        <v>1.9821590000000242</v>
      </c>
      <c r="C594">
        <v>0.45339300000000549</v>
      </c>
      <c r="D594">
        <v>1.082761000000005</v>
      </c>
      <c r="E594">
        <v>9.2745720000000347</v>
      </c>
      <c r="F594">
        <v>1.4632990000000063</v>
      </c>
    </row>
    <row r="595" spans="1:6">
      <c r="B595">
        <v>0</v>
      </c>
      <c r="C595">
        <v>0</v>
      </c>
      <c r="D595">
        <v>0</v>
      </c>
      <c r="E595">
        <v>0</v>
      </c>
      <c r="F595">
        <v>0</v>
      </c>
    </row>
    <row r="596" spans="1:6">
      <c r="A596">
        <v>298</v>
      </c>
      <c r="B596">
        <v>1.9425089999999727</v>
      </c>
      <c r="C596">
        <v>1.154186999999979</v>
      </c>
      <c r="D596">
        <v>0.87189300000000003</v>
      </c>
      <c r="E596">
        <v>0.10712100000000646</v>
      </c>
      <c r="F596">
        <v>1.4645490000000336</v>
      </c>
    </row>
    <row r="597" spans="1:6">
      <c r="B597">
        <v>0</v>
      </c>
      <c r="C597">
        <v>0</v>
      </c>
      <c r="D597">
        <v>0</v>
      </c>
      <c r="E597">
        <v>0</v>
      </c>
      <c r="F597">
        <v>0</v>
      </c>
    </row>
    <row r="598" spans="1:6">
      <c r="A598">
        <v>299</v>
      </c>
      <c r="B598">
        <v>5.7664929999999686</v>
      </c>
      <c r="C598">
        <v>0.26749500000005355</v>
      </c>
      <c r="D598">
        <v>1.889075000000048</v>
      </c>
      <c r="E598">
        <v>0.40643499999998767</v>
      </c>
      <c r="F598">
        <v>0.74273400000004131</v>
      </c>
    </row>
    <row r="599" spans="1:6">
      <c r="B599">
        <v>0</v>
      </c>
      <c r="C599">
        <v>0</v>
      </c>
      <c r="D599">
        <v>0</v>
      </c>
      <c r="E599">
        <v>0</v>
      </c>
      <c r="F599">
        <v>0</v>
      </c>
    </row>
    <row r="600" spans="1:6">
      <c r="A600">
        <v>300</v>
      </c>
      <c r="B600">
        <v>2.1141099999999824</v>
      </c>
      <c r="C600">
        <v>0.33051599999998871</v>
      </c>
      <c r="D600">
        <v>5.5062599999999975</v>
      </c>
      <c r="E600">
        <v>0.16212700000005498</v>
      </c>
      <c r="F600">
        <v>0.50295500000004267</v>
      </c>
    </row>
    <row r="601" spans="1:6">
      <c r="B601">
        <v>0</v>
      </c>
      <c r="C601">
        <v>0</v>
      </c>
      <c r="D601">
        <v>0</v>
      </c>
      <c r="E601">
        <v>0</v>
      </c>
      <c r="F601">
        <v>0</v>
      </c>
    </row>
    <row r="602" spans="1:6">
      <c r="A602">
        <v>301</v>
      </c>
      <c r="B602">
        <v>0.25202200000001085</v>
      </c>
      <c r="C602">
        <v>0.90286000000003241</v>
      </c>
      <c r="D602">
        <v>0.21529899999995905</v>
      </c>
      <c r="E602">
        <v>1.0159770000000208</v>
      </c>
      <c r="F602">
        <v>4.7287159999999631</v>
      </c>
    </row>
    <row r="603" spans="1:6">
      <c r="B603">
        <v>0</v>
      </c>
      <c r="C603">
        <v>0</v>
      </c>
      <c r="D603">
        <v>0</v>
      </c>
      <c r="E603">
        <v>0</v>
      </c>
      <c r="F603">
        <v>0</v>
      </c>
    </row>
    <row r="604" spans="1:6">
      <c r="A604">
        <v>302</v>
      </c>
      <c r="B604">
        <v>1.1691650000000209</v>
      </c>
      <c r="C604">
        <v>0.69538799999997991</v>
      </c>
      <c r="D604">
        <v>1.1471109999999953</v>
      </c>
      <c r="E604">
        <v>2.9042510000000448</v>
      </c>
      <c r="F604">
        <v>1.081641999999988</v>
      </c>
    </row>
    <row r="605" spans="1:6">
      <c r="B605">
        <v>0</v>
      </c>
      <c r="C605">
        <v>0</v>
      </c>
      <c r="D605">
        <v>0</v>
      </c>
      <c r="E605">
        <v>0</v>
      </c>
      <c r="F605">
        <v>0</v>
      </c>
    </row>
    <row r="606" spans="1:6">
      <c r="A606">
        <v>303</v>
      </c>
      <c r="B606">
        <v>0.4321629999999459</v>
      </c>
      <c r="C606">
        <v>2.8296860000000379</v>
      </c>
      <c r="D606">
        <v>1.0220849999999473</v>
      </c>
      <c r="E606">
        <v>0.25238899999999376</v>
      </c>
      <c r="F606">
        <v>0.10402399999998124</v>
      </c>
    </row>
    <row r="607" spans="1:6">
      <c r="B607">
        <v>0</v>
      </c>
      <c r="C607">
        <v>0</v>
      </c>
      <c r="D607">
        <v>0</v>
      </c>
      <c r="E607">
        <v>0</v>
      </c>
      <c r="F607">
        <v>14.587591000000089</v>
      </c>
    </row>
    <row r="608" spans="1:6">
      <c r="A608">
        <v>304</v>
      </c>
      <c r="B608">
        <v>9.6868640000000141</v>
      </c>
      <c r="C608">
        <v>3.85340199999996</v>
      </c>
      <c r="D608">
        <v>2.8080149999999549</v>
      </c>
      <c r="E608">
        <v>19.827210000000036</v>
      </c>
      <c r="F608">
        <v>0.80633799999998246</v>
      </c>
    </row>
    <row r="609" spans="1:6">
      <c r="B609">
        <v>0</v>
      </c>
      <c r="C609">
        <v>0</v>
      </c>
      <c r="D609">
        <v>0</v>
      </c>
      <c r="E609">
        <v>0</v>
      </c>
      <c r="F609">
        <v>4.1057279999999992</v>
      </c>
    </row>
    <row r="610" spans="1:6">
      <c r="A610">
        <v>305</v>
      </c>
      <c r="B610">
        <v>0.50204599999995025</v>
      </c>
      <c r="C610">
        <v>1.669226999999978</v>
      </c>
      <c r="D610">
        <v>3.9486229999999978</v>
      </c>
      <c r="E610">
        <v>4.9120659999999816</v>
      </c>
      <c r="F610">
        <v>0.50909999999998945</v>
      </c>
    </row>
    <row r="611" spans="1:6">
      <c r="B611">
        <v>0</v>
      </c>
      <c r="C611">
        <v>0</v>
      </c>
      <c r="D611">
        <v>0</v>
      </c>
      <c r="E611">
        <v>0</v>
      </c>
      <c r="F611">
        <v>0.91949699999997847</v>
      </c>
    </row>
    <row r="612" spans="1:6">
      <c r="A612">
        <v>306</v>
      </c>
      <c r="B612">
        <v>2.8315099999999802</v>
      </c>
      <c r="C612">
        <v>0.54938900000001922</v>
      </c>
      <c r="D612">
        <v>1.7161569999999529</v>
      </c>
      <c r="E612">
        <v>1.4285969999999679</v>
      </c>
      <c r="F612">
        <v>2.8835289999999532</v>
      </c>
    </row>
    <row r="613" spans="1:6">
      <c r="B613">
        <v>0</v>
      </c>
      <c r="C613">
        <v>0</v>
      </c>
      <c r="D613">
        <v>0</v>
      </c>
      <c r="E613">
        <v>0</v>
      </c>
      <c r="F613">
        <v>0</v>
      </c>
    </row>
    <row r="614" spans="1:6">
      <c r="A614">
        <v>307</v>
      </c>
      <c r="B614">
        <v>3.004558999999972</v>
      </c>
      <c r="C614">
        <v>0.48090100000001712</v>
      </c>
      <c r="D614">
        <v>1.4678460000000086</v>
      </c>
      <c r="E614">
        <v>0.87462500000003729</v>
      </c>
      <c r="F614">
        <v>0.77684599999997772</v>
      </c>
    </row>
    <row r="615" spans="1:6">
      <c r="B615">
        <v>0</v>
      </c>
      <c r="C615">
        <v>0</v>
      </c>
      <c r="D615">
        <v>0</v>
      </c>
      <c r="E615">
        <v>0</v>
      </c>
      <c r="F615">
        <v>7.9435410000000957</v>
      </c>
    </row>
    <row r="616" spans="1:6">
      <c r="A616">
        <v>308</v>
      </c>
      <c r="B616">
        <v>1.6429510000000391</v>
      </c>
      <c r="C616">
        <v>0.91378699999995661</v>
      </c>
      <c r="D616">
        <v>1.6849399999999832</v>
      </c>
      <c r="E616">
        <v>10.729290999999989</v>
      </c>
      <c r="F616">
        <v>6.4058000000045467E-2</v>
      </c>
    </row>
    <row r="617" spans="1:6">
      <c r="B617">
        <v>0</v>
      </c>
      <c r="C617">
        <v>0</v>
      </c>
      <c r="D617">
        <v>0</v>
      </c>
      <c r="E617">
        <v>0</v>
      </c>
      <c r="F617">
        <v>1.1454959999999801</v>
      </c>
    </row>
    <row r="618" spans="1:6">
      <c r="A618">
        <v>309</v>
      </c>
      <c r="B618">
        <v>1.8709330000000364</v>
      </c>
      <c r="C618">
        <v>11.95919200000003</v>
      </c>
      <c r="D618">
        <v>1.7587610000000495</v>
      </c>
      <c r="E618">
        <v>1.2095540000000256</v>
      </c>
      <c r="F618">
        <v>7.8495910000000322</v>
      </c>
    </row>
    <row r="619" spans="1:6">
      <c r="B619">
        <v>0</v>
      </c>
      <c r="C619">
        <v>0</v>
      </c>
      <c r="D619">
        <v>0</v>
      </c>
      <c r="E619">
        <v>0</v>
      </c>
      <c r="F619">
        <v>0</v>
      </c>
    </row>
    <row r="620" spans="1:6">
      <c r="A620">
        <v>310</v>
      </c>
      <c r="B620">
        <v>1.7175240000000258</v>
      </c>
      <c r="C620">
        <v>0.358983999999964</v>
      </c>
      <c r="D620">
        <v>1.2124669999999469</v>
      </c>
      <c r="E620">
        <v>1.2771999999999935</v>
      </c>
      <c r="F620">
        <v>0.32479999999998199</v>
      </c>
    </row>
    <row r="621" spans="1:6">
      <c r="B621">
        <v>0</v>
      </c>
      <c r="C621">
        <v>0</v>
      </c>
      <c r="D621">
        <v>0</v>
      </c>
      <c r="E621">
        <v>0</v>
      </c>
      <c r="F621">
        <v>11.016841999999997</v>
      </c>
    </row>
    <row r="622" spans="1:6">
      <c r="A622">
        <v>311</v>
      </c>
      <c r="B622">
        <v>0.75739499999997406</v>
      </c>
      <c r="C622">
        <v>0.61311599999999089</v>
      </c>
      <c r="D622">
        <v>1.2427730000000565</v>
      </c>
      <c r="E622">
        <v>17.914033000000018</v>
      </c>
      <c r="F622">
        <v>3.2329429999999775</v>
      </c>
    </row>
    <row r="623" spans="1:6">
      <c r="B623">
        <v>0</v>
      </c>
      <c r="C623">
        <v>0</v>
      </c>
      <c r="D623">
        <v>0</v>
      </c>
      <c r="E623">
        <v>0</v>
      </c>
      <c r="F623">
        <v>0</v>
      </c>
    </row>
    <row r="624" spans="1:6">
      <c r="A624">
        <v>312</v>
      </c>
      <c r="B624">
        <v>2.0638380000000325</v>
      </c>
      <c r="C624">
        <v>0.28338299999995797</v>
      </c>
      <c r="D624">
        <v>4.4502959999999803</v>
      </c>
      <c r="E624">
        <v>1.3084380000000237</v>
      </c>
      <c r="F624">
        <v>2.2402100000000473</v>
      </c>
    </row>
    <row r="625" spans="1:6">
      <c r="B625">
        <v>0</v>
      </c>
      <c r="C625">
        <v>0</v>
      </c>
      <c r="D625">
        <v>0</v>
      </c>
      <c r="E625">
        <v>0</v>
      </c>
      <c r="F625">
        <v>0</v>
      </c>
    </row>
    <row r="626" spans="1:6">
      <c r="A626">
        <v>313</v>
      </c>
      <c r="B626">
        <v>1.5935809999999719</v>
      </c>
      <c r="C626">
        <v>2.5694449999999733</v>
      </c>
      <c r="D626">
        <v>0.5902849999999944</v>
      </c>
      <c r="E626">
        <v>1.1763610000000426</v>
      </c>
      <c r="F626">
        <v>0.15455499999995936</v>
      </c>
    </row>
    <row r="627" spans="1:6">
      <c r="B627">
        <v>0</v>
      </c>
      <c r="C627">
        <v>0</v>
      </c>
      <c r="D627">
        <v>0</v>
      </c>
      <c r="E627">
        <v>0</v>
      </c>
      <c r="F627">
        <v>0</v>
      </c>
    </row>
    <row r="628" spans="1:6">
      <c r="A628">
        <v>314</v>
      </c>
      <c r="B628">
        <v>7.9444600000000491</v>
      </c>
      <c r="C628">
        <v>0.57064300000001822</v>
      </c>
      <c r="D628">
        <v>1.0261010000000397</v>
      </c>
      <c r="E628">
        <v>0.25056400000005397</v>
      </c>
      <c r="F628">
        <v>7.5558959999999615</v>
      </c>
    </row>
    <row r="629" spans="1:6">
      <c r="B629">
        <v>0</v>
      </c>
      <c r="C629">
        <v>0</v>
      </c>
      <c r="D629">
        <v>0</v>
      </c>
      <c r="E629">
        <v>0</v>
      </c>
      <c r="F629">
        <v>0</v>
      </c>
    </row>
    <row r="630" spans="1:6">
      <c r="A630">
        <v>315</v>
      </c>
      <c r="B630">
        <v>0.58189500000003136</v>
      </c>
      <c r="C630">
        <v>1.2310019999999895</v>
      </c>
      <c r="D630">
        <v>1.1860910000000331</v>
      </c>
      <c r="E630">
        <v>0.65335400000003574</v>
      </c>
      <c r="F630">
        <v>11.407444000000055</v>
      </c>
    </row>
    <row r="631" spans="1:6">
      <c r="B631">
        <v>0</v>
      </c>
      <c r="C631">
        <v>0</v>
      </c>
      <c r="D631">
        <v>0</v>
      </c>
      <c r="E631">
        <v>0</v>
      </c>
      <c r="F631">
        <v>0</v>
      </c>
    </row>
    <row r="632" spans="1:6">
      <c r="A632">
        <v>316</v>
      </c>
      <c r="B632">
        <v>0.82150100000001203</v>
      </c>
      <c r="C632">
        <v>0.17947300000002997</v>
      </c>
      <c r="D632">
        <v>3.362308999999982</v>
      </c>
      <c r="E632">
        <v>2.8333579999999756</v>
      </c>
      <c r="F632">
        <v>0.54006100000003698</v>
      </c>
    </row>
    <row r="633" spans="1:6">
      <c r="B633">
        <v>0</v>
      </c>
      <c r="C633">
        <v>0</v>
      </c>
      <c r="D633">
        <v>0</v>
      </c>
      <c r="E633">
        <v>0</v>
      </c>
      <c r="F633">
        <v>0</v>
      </c>
    </row>
    <row r="634" spans="1:6">
      <c r="A634">
        <v>317</v>
      </c>
      <c r="B634">
        <v>0.15039400000000569</v>
      </c>
      <c r="C634">
        <v>1.0628189999999904</v>
      </c>
      <c r="D634">
        <v>7.866677999999979</v>
      </c>
      <c r="E634">
        <v>0.88342299999999341</v>
      </c>
      <c r="F634">
        <v>0.47820999999999003</v>
      </c>
    </row>
    <row r="635" spans="1:6">
      <c r="B635">
        <v>0</v>
      </c>
      <c r="C635">
        <v>0</v>
      </c>
      <c r="D635">
        <v>0</v>
      </c>
      <c r="E635">
        <v>0</v>
      </c>
      <c r="F635">
        <v>0</v>
      </c>
    </row>
    <row r="636" spans="1:6">
      <c r="A636">
        <v>318</v>
      </c>
      <c r="B636">
        <v>0.84572500000001583</v>
      </c>
      <c r="C636">
        <v>6.2914650000000165</v>
      </c>
      <c r="D636">
        <v>2.6028290000000425</v>
      </c>
      <c r="E636">
        <v>0.62486300000000483</v>
      </c>
      <c r="F636">
        <v>4.7182109999999966</v>
      </c>
    </row>
    <row r="637" spans="1:6">
      <c r="B637">
        <v>0</v>
      </c>
      <c r="C637">
        <v>0</v>
      </c>
      <c r="D637">
        <v>0</v>
      </c>
      <c r="E637">
        <v>0</v>
      </c>
      <c r="F637">
        <v>0</v>
      </c>
    </row>
    <row r="638" spans="1:6">
      <c r="A638">
        <v>319</v>
      </c>
      <c r="B638">
        <v>0.79305099999999129</v>
      </c>
      <c r="C638">
        <v>1.4614289999999528</v>
      </c>
      <c r="D638">
        <v>1.3848379999999452</v>
      </c>
      <c r="E638">
        <v>0.66675799999995888</v>
      </c>
      <c r="F638">
        <v>0.24350900000001729</v>
      </c>
    </row>
    <row r="639" spans="1:6">
      <c r="B639">
        <v>0</v>
      </c>
      <c r="C639">
        <v>0</v>
      </c>
      <c r="D639">
        <v>0</v>
      </c>
      <c r="E639">
        <v>0</v>
      </c>
      <c r="F639">
        <v>0</v>
      </c>
    </row>
    <row r="640" spans="1:6">
      <c r="A640">
        <v>320</v>
      </c>
      <c r="B640">
        <v>0.25469799999996212</v>
      </c>
      <c r="C640">
        <v>0.55901700000003984</v>
      </c>
      <c r="D640">
        <v>11.484324000000015</v>
      </c>
      <c r="E640">
        <v>2.4397149999999783</v>
      </c>
      <c r="F640">
        <v>2.21841500000005</v>
      </c>
    </row>
    <row r="641" spans="1:6">
      <c r="B641">
        <v>0</v>
      </c>
      <c r="C641">
        <v>0</v>
      </c>
      <c r="D641">
        <v>0</v>
      </c>
      <c r="E641">
        <v>0</v>
      </c>
      <c r="F641">
        <v>0</v>
      </c>
    </row>
    <row r="642" spans="1:6">
      <c r="A642">
        <v>321</v>
      </c>
      <c r="B642">
        <v>1.7050309999999627</v>
      </c>
      <c r="C642">
        <v>3.3023399999999583</v>
      </c>
      <c r="D642">
        <v>2.1885499999999638</v>
      </c>
      <c r="E642">
        <v>0.82997000000000298</v>
      </c>
      <c r="F642">
        <v>5.9871829999999591</v>
      </c>
    </row>
    <row r="643" spans="1:6">
      <c r="B643">
        <v>0</v>
      </c>
      <c r="C643">
        <v>0</v>
      </c>
      <c r="D643">
        <v>0</v>
      </c>
      <c r="E643">
        <v>0</v>
      </c>
      <c r="F643">
        <v>0</v>
      </c>
    </row>
    <row r="644" spans="1:6">
      <c r="A644">
        <v>322</v>
      </c>
      <c r="B644">
        <v>0.92274799999995594</v>
      </c>
      <c r="C644">
        <v>0.48333800000000338</v>
      </c>
      <c r="D644">
        <v>1.1826369999999997</v>
      </c>
      <c r="E644">
        <v>1.8467769999999746</v>
      </c>
      <c r="F644">
        <v>0.54927099999997608</v>
      </c>
    </row>
    <row r="645" spans="1:6">
      <c r="B645">
        <v>0</v>
      </c>
      <c r="C645">
        <v>0</v>
      </c>
      <c r="D645">
        <v>0</v>
      </c>
      <c r="E645">
        <v>0</v>
      </c>
      <c r="F645">
        <v>0</v>
      </c>
    </row>
    <row r="646" spans="1:6">
      <c r="A646">
        <v>323</v>
      </c>
      <c r="B646">
        <v>0.40383199999996577</v>
      </c>
      <c r="C646">
        <v>1.0416639999999688</v>
      </c>
      <c r="D646">
        <v>1.4655599999999822</v>
      </c>
      <c r="E646">
        <v>1.0159039999999777</v>
      </c>
      <c r="F646">
        <v>1.6876720000000205</v>
      </c>
    </row>
    <row r="647" spans="1:6">
      <c r="B647">
        <v>0</v>
      </c>
      <c r="C647">
        <v>0</v>
      </c>
      <c r="D647">
        <v>0</v>
      </c>
      <c r="E647">
        <v>0</v>
      </c>
      <c r="F647">
        <v>0</v>
      </c>
    </row>
    <row r="648" spans="1:6">
      <c r="A648">
        <v>324</v>
      </c>
      <c r="B648">
        <v>0.46787200000005669</v>
      </c>
      <c r="C648">
        <v>0.24651300000004994</v>
      </c>
      <c r="D648">
        <v>1.2941520000000537</v>
      </c>
      <c r="E648">
        <v>3.4612560000000485</v>
      </c>
      <c r="F648">
        <v>0.90967699999998786</v>
      </c>
    </row>
    <row r="649" spans="1:6">
      <c r="B649">
        <v>0</v>
      </c>
      <c r="C649">
        <v>0</v>
      </c>
      <c r="D649">
        <v>0</v>
      </c>
      <c r="E649">
        <v>0</v>
      </c>
      <c r="F649">
        <v>0</v>
      </c>
    </row>
    <row r="650" spans="1:6">
      <c r="A650">
        <v>325</v>
      </c>
      <c r="B650">
        <v>0.65690600000004906</v>
      </c>
      <c r="C650">
        <v>1.787480999999957</v>
      </c>
      <c r="D650">
        <v>0.94166199999995115</v>
      </c>
      <c r="E650">
        <v>1.0203960000000052</v>
      </c>
      <c r="F650">
        <v>0.66564100000005055</v>
      </c>
    </row>
    <row r="651" spans="1:6">
      <c r="B651">
        <v>0</v>
      </c>
      <c r="C651">
        <v>0</v>
      </c>
      <c r="D651">
        <v>0</v>
      </c>
      <c r="E651">
        <v>0</v>
      </c>
      <c r="F651">
        <v>0</v>
      </c>
    </row>
    <row r="652" spans="1:6">
      <c r="A652">
        <v>326</v>
      </c>
      <c r="B652">
        <v>0.75642600000003313</v>
      </c>
      <c r="C652">
        <v>0.76567199999999502</v>
      </c>
      <c r="D652">
        <v>0.83631100000002334</v>
      </c>
      <c r="E652">
        <v>1.5300549999999475</v>
      </c>
      <c r="F652">
        <v>0.13369699999998375</v>
      </c>
    </row>
    <row r="653" spans="1:6">
      <c r="B653">
        <v>0</v>
      </c>
      <c r="C653">
        <v>0</v>
      </c>
      <c r="D653">
        <v>0</v>
      </c>
      <c r="E653">
        <v>0</v>
      </c>
      <c r="F653">
        <v>0</v>
      </c>
    </row>
    <row r="654" spans="1:6">
      <c r="A654">
        <v>327</v>
      </c>
      <c r="B654">
        <v>1.3656959999999572</v>
      </c>
      <c r="C654">
        <v>1.1692279999999755</v>
      </c>
      <c r="D654">
        <v>2.3516230000000178</v>
      </c>
      <c r="E654">
        <v>0.76970200000005207</v>
      </c>
      <c r="F654">
        <v>1.9766379999999799</v>
      </c>
    </row>
    <row r="655" spans="1:6">
      <c r="B655">
        <v>0</v>
      </c>
      <c r="C655">
        <v>0</v>
      </c>
      <c r="D655">
        <v>0</v>
      </c>
      <c r="E655">
        <v>0</v>
      </c>
      <c r="F655">
        <v>0</v>
      </c>
    </row>
    <row r="656" spans="1:6">
      <c r="A656">
        <v>328</v>
      </c>
      <c r="B656">
        <v>0.87920599999995375</v>
      </c>
      <c r="C656">
        <v>0.18782099999998536</v>
      </c>
      <c r="D656">
        <v>3.0412440000000061</v>
      </c>
      <c r="E656">
        <v>2.257349999999974</v>
      </c>
      <c r="F656">
        <v>0.96303199999999833</v>
      </c>
    </row>
    <row r="657" spans="1:6">
      <c r="B657">
        <v>0</v>
      </c>
      <c r="C657">
        <v>0</v>
      </c>
      <c r="D657">
        <v>0</v>
      </c>
      <c r="E657">
        <v>0</v>
      </c>
      <c r="F657">
        <v>0</v>
      </c>
    </row>
    <row r="658" spans="1:6">
      <c r="A658">
        <v>329</v>
      </c>
      <c r="B658">
        <v>3.4099029999999857</v>
      </c>
      <c r="C658">
        <v>1.1213729999999487</v>
      </c>
      <c r="D658">
        <v>0.56296799999995528</v>
      </c>
      <c r="E658">
        <v>0.20082500000000891</v>
      </c>
      <c r="F658">
        <v>0.79065300000002026</v>
      </c>
    </row>
    <row r="659" spans="1:6">
      <c r="B659">
        <v>0</v>
      </c>
      <c r="C659">
        <v>0</v>
      </c>
      <c r="D659">
        <v>0</v>
      </c>
      <c r="E659">
        <v>0</v>
      </c>
      <c r="F659">
        <v>0</v>
      </c>
    </row>
    <row r="660" spans="1:6">
      <c r="A660">
        <v>330</v>
      </c>
      <c r="B660">
        <v>0.5629950000000008</v>
      </c>
      <c r="C660">
        <v>1.3491320000000542</v>
      </c>
      <c r="D660">
        <v>2.0629669999999578</v>
      </c>
      <c r="E660">
        <v>9.1138000000000829E-2</v>
      </c>
      <c r="F660">
        <v>0.57629199999996672</v>
      </c>
    </row>
    <row r="661" spans="1:6">
      <c r="B661">
        <v>0</v>
      </c>
      <c r="C661">
        <v>0</v>
      </c>
      <c r="D661">
        <v>0</v>
      </c>
      <c r="E661">
        <v>0</v>
      </c>
      <c r="F661">
        <v>0</v>
      </c>
    </row>
    <row r="662" spans="1:6">
      <c r="A662">
        <v>331</v>
      </c>
      <c r="B662">
        <v>0.46961299999998118</v>
      </c>
      <c r="C662">
        <v>0.96579899999994723</v>
      </c>
      <c r="D662">
        <v>0.22503800000004048</v>
      </c>
      <c r="E662">
        <v>2.2642540000000508</v>
      </c>
      <c r="F662">
        <v>5.2652560000000221</v>
      </c>
    </row>
    <row r="663" spans="1:6">
      <c r="B663">
        <v>0</v>
      </c>
      <c r="C663">
        <v>0</v>
      </c>
      <c r="D663">
        <v>0</v>
      </c>
      <c r="E663">
        <v>0</v>
      </c>
      <c r="F663">
        <v>0</v>
      </c>
    </row>
    <row r="664" spans="1:6">
      <c r="A664">
        <v>332</v>
      </c>
      <c r="B664">
        <v>0.14649099999996906</v>
      </c>
      <c r="C664">
        <v>3.7254920000000311</v>
      </c>
      <c r="D664">
        <v>0.18043999999997595</v>
      </c>
      <c r="E664">
        <v>1.7481780000000526</v>
      </c>
      <c r="F664">
        <v>0.54505500000004758</v>
      </c>
    </row>
    <row r="665" spans="1:6">
      <c r="B665">
        <v>0</v>
      </c>
      <c r="C665">
        <v>0</v>
      </c>
      <c r="D665">
        <v>0</v>
      </c>
      <c r="E665">
        <v>0</v>
      </c>
      <c r="F665">
        <v>0</v>
      </c>
    </row>
    <row r="666" spans="1:6">
      <c r="A666">
        <v>333</v>
      </c>
      <c r="B666">
        <v>1.1770390000000361</v>
      </c>
      <c r="C666">
        <v>0.90778000000000247</v>
      </c>
      <c r="D666">
        <v>3.4640140000000201</v>
      </c>
      <c r="E666">
        <v>0.92745700000000397</v>
      </c>
      <c r="F666">
        <v>0.4444300000000112</v>
      </c>
    </row>
    <row r="667" spans="1:6">
      <c r="B667">
        <v>0</v>
      </c>
      <c r="C667">
        <v>0</v>
      </c>
      <c r="D667">
        <v>0</v>
      </c>
      <c r="E667">
        <v>0</v>
      </c>
      <c r="F667">
        <v>0</v>
      </c>
    </row>
    <row r="668" spans="1:6">
      <c r="A668">
        <v>334</v>
      </c>
      <c r="B668">
        <v>0.57176100000003771</v>
      </c>
      <c r="C668">
        <v>8.1131000000027598E-2</v>
      </c>
      <c r="D668">
        <v>3.5741480000000365</v>
      </c>
      <c r="E668">
        <v>2.3091789999999719</v>
      </c>
      <c r="F668">
        <v>0.36724900000001526</v>
      </c>
    </row>
    <row r="669" spans="1:6">
      <c r="B669">
        <v>0</v>
      </c>
      <c r="C669">
        <v>0</v>
      </c>
      <c r="D669">
        <v>0</v>
      </c>
      <c r="E669">
        <v>0</v>
      </c>
      <c r="F669">
        <v>0</v>
      </c>
    </row>
    <row r="670" spans="1:6">
      <c r="A670">
        <v>335</v>
      </c>
      <c r="B670">
        <v>3.5753730000000132</v>
      </c>
      <c r="C670">
        <v>0.41819299999997384</v>
      </c>
      <c r="D670">
        <v>0.5503479999999854</v>
      </c>
      <c r="E670">
        <v>1.0083630000000312</v>
      </c>
      <c r="F670">
        <v>0.88895300000001498</v>
      </c>
    </row>
    <row r="671" spans="1:6">
      <c r="B671">
        <v>0</v>
      </c>
      <c r="C671">
        <v>0</v>
      </c>
      <c r="D671">
        <v>0</v>
      </c>
      <c r="E671">
        <v>0</v>
      </c>
      <c r="F671">
        <v>0</v>
      </c>
    </row>
    <row r="672" spans="1:6">
      <c r="A672">
        <v>336</v>
      </c>
      <c r="B672">
        <v>0.79000399999995352</v>
      </c>
      <c r="C672">
        <v>0.35080700000003162</v>
      </c>
      <c r="D672">
        <v>2.262642000000028</v>
      </c>
      <c r="E672">
        <v>5.9828750000000355</v>
      </c>
      <c r="F672">
        <v>2.3832509999999729</v>
      </c>
    </row>
    <row r="673" spans="1:6">
      <c r="B673">
        <v>0</v>
      </c>
      <c r="C673">
        <v>0</v>
      </c>
      <c r="D673">
        <v>0</v>
      </c>
      <c r="E673">
        <v>0</v>
      </c>
      <c r="F673">
        <v>0</v>
      </c>
    </row>
    <row r="674" spans="1:6">
      <c r="A674">
        <v>337</v>
      </c>
      <c r="B674">
        <v>1.9662210000000186</v>
      </c>
      <c r="C674">
        <v>0.92180299999995441</v>
      </c>
      <c r="D674">
        <v>1.9297709999999597</v>
      </c>
      <c r="E674">
        <v>0.99931100000003426</v>
      </c>
      <c r="F674">
        <v>1.2388310000000047</v>
      </c>
    </row>
    <row r="675" spans="1:6">
      <c r="B675">
        <v>0</v>
      </c>
      <c r="C675">
        <v>0</v>
      </c>
      <c r="D675">
        <v>0</v>
      </c>
      <c r="E675">
        <v>0</v>
      </c>
      <c r="F675">
        <v>0</v>
      </c>
    </row>
    <row r="676" spans="1:6">
      <c r="A676">
        <v>338</v>
      </c>
      <c r="B676">
        <v>1.1285510000000158</v>
      </c>
      <c r="C676">
        <v>6.59198200000003</v>
      </c>
      <c r="D676">
        <v>0.79947600000002694</v>
      </c>
      <c r="E676">
        <v>1.0444979999999759</v>
      </c>
      <c r="F676">
        <v>1.4454980000000432</v>
      </c>
    </row>
    <row r="677" spans="1:6">
      <c r="B677">
        <v>0</v>
      </c>
      <c r="C677">
        <v>0</v>
      </c>
      <c r="D677">
        <v>0</v>
      </c>
      <c r="E677">
        <v>0</v>
      </c>
      <c r="F677">
        <v>0</v>
      </c>
    </row>
    <row r="678" spans="1:6">
      <c r="A678">
        <v>339</v>
      </c>
      <c r="B678">
        <v>4.1508280000000468</v>
      </c>
      <c r="C678">
        <v>0.94786799999997129</v>
      </c>
      <c r="D678">
        <v>0.62902199999996355</v>
      </c>
      <c r="E678">
        <v>0.92473099999995156</v>
      </c>
      <c r="F678">
        <v>0.24448900000004414</v>
      </c>
    </row>
    <row r="679" spans="1:6">
      <c r="B679">
        <v>0</v>
      </c>
      <c r="C679">
        <v>0</v>
      </c>
      <c r="D679">
        <v>0</v>
      </c>
      <c r="E679">
        <v>0</v>
      </c>
      <c r="F679">
        <v>0</v>
      </c>
    </row>
    <row r="680" spans="1:6">
      <c r="A680">
        <v>340</v>
      </c>
      <c r="B680">
        <v>0.47929999999996653</v>
      </c>
      <c r="C680">
        <v>2.7745169999999462</v>
      </c>
      <c r="D680">
        <v>8.1661749999999529</v>
      </c>
      <c r="E680">
        <v>0.73656500000004144</v>
      </c>
      <c r="F680">
        <v>1.2009100000000217</v>
      </c>
    </row>
    <row r="681" spans="1:6">
      <c r="B681">
        <v>0</v>
      </c>
      <c r="C681">
        <v>0</v>
      </c>
      <c r="D681">
        <v>0</v>
      </c>
      <c r="E681">
        <v>0</v>
      </c>
      <c r="F681">
        <v>0</v>
      </c>
    </row>
    <row r="682" spans="1:6">
      <c r="A682">
        <v>341</v>
      </c>
      <c r="B682">
        <v>1.7158210000000054</v>
      </c>
      <c r="C682">
        <v>1.7449769999999489</v>
      </c>
      <c r="D682">
        <v>2.4482110000000148</v>
      </c>
      <c r="E682">
        <v>5.2608880000000227</v>
      </c>
      <c r="F682">
        <v>3.3466809999999896</v>
      </c>
    </row>
    <row r="683" spans="1:6">
      <c r="B683">
        <v>0</v>
      </c>
      <c r="C683">
        <v>0</v>
      </c>
      <c r="D683">
        <v>0</v>
      </c>
      <c r="E683">
        <v>0</v>
      </c>
      <c r="F683">
        <v>0</v>
      </c>
    </row>
    <row r="684" spans="1:6">
      <c r="A684">
        <v>342</v>
      </c>
      <c r="B684">
        <v>0.2147820000000138</v>
      </c>
      <c r="C684">
        <v>3.5265610000000152</v>
      </c>
      <c r="D684">
        <v>2.7343230000000176</v>
      </c>
      <c r="E684">
        <v>10.817720000000008</v>
      </c>
      <c r="F684">
        <v>0.1986180000000104</v>
      </c>
    </row>
    <row r="685" spans="1:6">
      <c r="B685">
        <v>0</v>
      </c>
      <c r="C685">
        <v>0</v>
      </c>
      <c r="D685">
        <v>0</v>
      </c>
      <c r="E685">
        <v>0</v>
      </c>
      <c r="F685">
        <v>0</v>
      </c>
    </row>
    <row r="686" spans="1:6">
      <c r="A686">
        <v>343</v>
      </c>
      <c r="B686">
        <v>3.5462489999999889</v>
      </c>
      <c r="C686">
        <v>1.084214999999972</v>
      </c>
      <c r="D686">
        <v>0.6598549999999932</v>
      </c>
      <c r="E686">
        <v>0.64076499999998759</v>
      </c>
      <c r="F686">
        <v>5.114394999999945</v>
      </c>
    </row>
    <row r="687" spans="1:6">
      <c r="B687">
        <v>0</v>
      </c>
      <c r="C687">
        <v>0</v>
      </c>
      <c r="D687">
        <v>0</v>
      </c>
      <c r="E687">
        <v>0</v>
      </c>
      <c r="F687">
        <v>0</v>
      </c>
    </row>
    <row r="688" spans="1:6">
      <c r="A688">
        <v>344</v>
      </c>
      <c r="B688">
        <v>6.5054039999999986</v>
      </c>
      <c r="C688">
        <v>0.85673499999995784</v>
      </c>
      <c r="D688">
        <v>0.73019799999997304</v>
      </c>
      <c r="E688">
        <v>0.19577300000003106</v>
      </c>
      <c r="F688">
        <v>0.40788499999996475</v>
      </c>
    </row>
    <row r="689" spans="1:6">
      <c r="B689">
        <v>0</v>
      </c>
      <c r="C689">
        <v>0</v>
      </c>
      <c r="D689">
        <v>0</v>
      </c>
      <c r="E689">
        <v>0</v>
      </c>
      <c r="F689">
        <v>0</v>
      </c>
    </row>
    <row r="690" spans="1:6">
      <c r="A690">
        <v>345</v>
      </c>
      <c r="B690">
        <v>2.604712999999947</v>
      </c>
      <c r="C690">
        <v>2.6812720000000354</v>
      </c>
      <c r="D690">
        <v>6.7658549999999877</v>
      </c>
      <c r="E690">
        <v>1.4376230000000305</v>
      </c>
      <c r="F690">
        <v>2.5837269999999535</v>
      </c>
    </row>
    <row r="691" spans="1:6">
      <c r="B691">
        <v>0</v>
      </c>
      <c r="C691">
        <v>0</v>
      </c>
      <c r="D691">
        <v>0</v>
      </c>
      <c r="E691">
        <v>0</v>
      </c>
      <c r="F691">
        <v>0</v>
      </c>
    </row>
    <row r="692" spans="1:6">
      <c r="A692">
        <v>346</v>
      </c>
      <c r="B692">
        <v>0.34597199999996064</v>
      </c>
      <c r="C692">
        <v>5.2503779999999551</v>
      </c>
      <c r="D692">
        <v>1.0757959999999684</v>
      </c>
      <c r="E692">
        <v>9.0323309999999992</v>
      </c>
      <c r="F692">
        <v>0.27097100000003138</v>
      </c>
    </row>
    <row r="693" spans="1:6">
      <c r="B693">
        <v>0</v>
      </c>
      <c r="C693">
        <v>0</v>
      </c>
      <c r="D693">
        <v>0</v>
      </c>
      <c r="E693">
        <v>0</v>
      </c>
      <c r="F693">
        <v>6.0633240000001933</v>
      </c>
    </row>
    <row r="694" spans="1:6">
      <c r="A694">
        <v>347</v>
      </c>
      <c r="B694">
        <v>0.71663999999998396</v>
      </c>
      <c r="C694">
        <v>1.0579370000000381</v>
      </c>
      <c r="D694">
        <v>4.2193260000000237</v>
      </c>
      <c r="E694">
        <v>9.8480150000000322</v>
      </c>
      <c r="F694">
        <v>2.9739349999999831</v>
      </c>
    </row>
    <row r="695" spans="1:6">
      <c r="B695">
        <v>0</v>
      </c>
      <c r="C695">
        <v>0</v>
      </c>
      <c r="D695">
        <v>0</v>
      </c>
      <c r="E695">
        <v>0</v>
      </c>
      <c r="F695">
        <v>0</v>
      </c>
    </row>
    <row r="696" spans="1:6">
      <c r="A696">
        <v>348</v>
      </c>
      <c r="B696">
        <v>1.5762369999999919</v>
      </c>
      <c r="C696">
        <v>1.3100419999999531</v>
      </c>
      <c r="D696">
        <v>1.1263350000000401</v>
      </c>
      <c r="E696">
        <v>0.58739900000000489</v>
      </c>
      <c r="F696">
        <v>0.9323020000000497</v>
      </c>
    </row>
    <row r="697" spans="1:6">
      <c r="B697">
        <v>0</v>
      </c>
      <c r="C697">
        <v>0</v>
      </c>
      <c r="D697">
        <v>0</v>
      </c>
      <c r="E697">
        <v>0</v>
      </c>
      <c r="F697">
        <v>0</v>
      </c>
    </row>
    <row r="698" spans="1:6">
      <c r="A698">
        <v>349</v>
      </c>
      <c r="B698">
        <v>0.8186799999999721</v>
      </c>
      <c r="C698">
        <v>0.55675399999995534</v>
      </c>
      <c r="D698">
        <v>0.29988300000002255</v>
      </c>
      <c r="E698">
        <v>0.28433800000004794</v>
      </c>
      <c r="F698">
        <v>1.1194520000000239</v>
      </c>
    </row>
    <row r="699" spans="1:6">
      <c r="B699">
        <v>0</v>
      </c>
      <c r="C699">
        <v>0</v>
      </c>
      <c r="D699">
        <v>0</v>
      </c>
      <c r="E699">
        <v>0</v>
      </c>
      <c r="F699">
        <v>0</v>
      </c>
    </row>
    <row r="700" spans="1:6">
      <c r="A700">
        <v>350</v>
      </c>
      <c r="B700">
        <v>0.5082119999999577</v>
      </c>
      <c r="C700">
        <v>5.5858789999999772</v>
      </c>
      <c r="D700">
        <v>2.181002000000035</v>
      </c>
      <c r="E700">
        <v>1.8145090000000437</v>
      </c>
      <c r="F700">
        <v>1.7492220000000316</v>
      </c>
    </row>
    <row r="701" spans="1:6">
      <c r="B701">
        <v>0</v>
      </c>
      <c r="C701">
        <v>0</v>
      </c>
      <c r="D701">
        <v>0</v>
      </c>
      <c r="E701">
        <v>0</v>
      </c>
      <c r="F701">
        <v>0</v>
      </c>
    </row>
    <row r="702" spans="1:6">
      <c r="A702">
        <v>351</v>
      </c>
      <c r="B702">
        <v>0.94820400000003247</v>
      </c>
      <c r="C702">
        <v>2.1591789999999946</v>
      </c>
      <c r="D702">
        <v>1.0919139999999743</v>
      </c>
      <c r="E702">
        <v>0.99686499999995704</v>
      </c>
      <c r="F702">
        <v>2.8688600000000406</v>
      </c>
    </row>
    <row r="703" spans="1:6">
      <c r="B703">
        <v>0</v>
      </c>
      <c r="C703">
        <v>0</v>
      </c>
      <c r="D703">
        <v>0</v>
      </c>
      <c r="E703">
        <v>0</v>
      </c>
      <c r="F703">
        <v>0</v>
      </c>
    </row>
    <row r="704" spans="1:6">
      <c r="A704">
        <v>352</v>
      </c>
      <c r="B704">
        <v>4.6777509999999438</v>
      </c>
      <c r="C704">
        <v>1.2530600000000049</v>
      </c>
      <c r="D704">
        <v>0.63181599999995797</v>
      </c>
      <c r="E704">
        <v>1.550393999999983</v>
      </c>
      <c r="F704">
        <v>0.32123500000000149</v>
      </c>
    </row>
    <row r="705" spans="1:6">
      <c r="B705">
        <v>0</v>
      </c>
      <c r="C705">
        <v>0</v>
      </c>
      <c r="D705">
        <v>0</v>
      </c>
      <c r="E705">
        <v>0</v>
      </c>
      <c r="F705">
        <v>0</v>
      </c>
    </row>
    <row r="706" spans="1:6">
      <c r="A706">
        <v>353</v>
      </c>
      <c r="B706">
        <v>0.80440199999998185</v>
      </c>
      <c r="C706">
        <v>2.9070090000000164</v>
      </c>
      <c r="D706">
        <v>6.3257650000000467</v>
      </c>
      <c r="E706">
        <v>0.17941499999994903</v>
      </c>
      <c r="F706">
        <v>15.285757999999987</v>
      </c>
    </row>
    <row r="707" spans="1:6">
      <c r="B707">
        <v>0</v>
      </c>
      <c r="C707">
        <v>0</v>
      </c>
      <c r="D707">
        <v>0</v>
      </c>
      <c r="E707">
        <v>0</v>
      </c>
      <c r="F707">
        <v>0</v>
      </c>
    </row>
    <row r="708" spans="1:6">
      <c r="A708">
        <v>354</v>
      </c>
      <c r="B708">
        <v>1.6068659999999682</v>
      </c>
      <c r="C708">
        <v>0.51248099999997976</v>
      </c>
      <c r="D708">
        <v>0.69566699999995762</v>
      </c>
      <c r="E708">
        <v>2.6669590000000198</v>
      </c>
      <c r="F708">
        <v>1.4826399999999467</v>
      </c>
    </row>
    <row r="709" spans="1:6">
      <c r="B709">
        <v>0</v>
      </c>
      <c r="C709">
        <v>0</v>
      </c>
      <c r="D709">
        <v>0</v>
      </c>
      <c r="E709">
        <v>0</v>
      </c>
      <c r="F709">
        <v>0</v>
      </c>
    </row>
    <row r="710" spans="1:6">
      <c r="A710">
        <v>355</v>
      </c>
      <c r="B710">
        <v>7.7560999999946034E-2</v>
      </c>
      <c r="C710">
        <v>0.38538900000003196</v>
      </c>
      <c r="D710">
        <v>0.40067899999996825</v>
      </c>
      <c r="E710">
        <v>2.0376969999999801</v>
      </c>
      <c r="F710">
        <v>2.6871849999999995</v>
      </c>
    </row>
    <row r="711" spans="1:6">
      <c r="B711">
        <v>0</v>
      </c>
      <c r="C711">
        <v>0</v>
      </c>
      <c r="D711">
        <v>0</v>
      </c>
      <c r="E711">
        <v>0</v>
      </c>
      <c r="F711">
        <v>0</v>
      </c>
    </row>
    <row r="712" spans="1:6">
      <c r="A712">
        <v>356</v>
      </c>
      <c r="B712">
        <v>0.47038199999997232</v>
      </c>
      <c r="C712">
        <v>20.32171900000003</v>
      </c>
      <c r="D712">
        <v>1.496530000000007</v>
      </c>
      <c r="E712">
        <v>1.9747949999999719</v>
      </c>
      <c r="F712">
        <v>1.0827940000000353</v>
      </c>
    </row>
    <row r="713" spans="1:6">
      <c r="B713">
        <v>0</v>
      </c>
      <c r="C713">
        <v>0</v>
      </c>
      <c r="D713">
        <v>0</v>
      </c>
      <c r="E713">
        <v>0</v>
      </c>
      <c r="F713">
        <v>0</v>
      </c>
    </row>
    <row r="714" spans="1:6">
      <c r="A714">
        <v>357</v>
      </c>
      <c r="B714">
        <v>0.41881499999999505</v>
      </c>
      <c r="C714">
        <v>0.89979700000003504</v>
      </c>
      <c r="D714">
        <v>0.5635379999999941</v>
      </c>
      <c r="E714">
        <v>9.9348999999961052E-2</v>
      </c>
      <c r="F714">
        <v>0.78492900000003374</v>
      </c>
    </row>
    <row r="715" spans="1:6">
      <c r="B715">
        <v>0</v>
      </c>
      <c r="C715">
        <v>0</v>
      </c>
      <c r="D715">
        <v>0</v>
      </c>
      <c r="E715">
        <v>0</v>
      </c>
      <c r="F715">
        <v>0</v>
      </c>
    </row>
    <row r="716" spans="1:6">
      <c r="A716">
        <v>358</v>
      </c>
      <c r="B716">
        <v>2.3913009999999986</v>
      </c>
      <c r="C716">
        <v>3.510387000000037</v>
      </c>
      <c r="D716">
        <v>0.31677600000000439</v>
      </c>
      <c r="E716">
        <v>0.1611400000000458</v>
      </c>
      <c r="F716">
        <v>4.5124550000000454</v>
      </c>
    </row>
    <row r="717" spans="1:6">
      <c r="B717">
        <v>0</v>
      </c>
      <c r="C717">
        <v>0</v>
      </c>
      <c r="D717">
        <v>0</v>
      </c>
      <c r="E717">
        <v>0</v>
      </c>
      <c r="F717">
        <v>0</v>
      </c>
    </row>
    <row r="718" spans="1:6">
      <c r="A718">
        <v>359</v>
      </c>
      <c r="B718">
        <v>1.034010999999964</v>
      </c>
      <c r="C718">
        <v>1.1303510000000188</v>
      </c>
      <c r="D718">
        <v>0.15982899999994515</v>
      </c>
      <c r="E718">
        <v>2.1987950000000183</v>
      </c>
      <c r="F718">
        <v>3.5353999999983898E-2</v>
      </c>
    </row>
    <row r="719" spans="1:6">
      <c r="B719">
        <v>0</v>
      </c>
      <c r="C719">
        <v>0</v>
      </c>
      <c r="D719">
        <v>0</v>
      </c>
      <c r="E719">
        <v>0</v>
      </c>
      <c r="F719">
        <v>0</v>
      </c>
    </row>
    <row r="720" spans="1:6">
      <c r="A720">
        <v>360</v>
      </c>
      <c r="B720">
        <v>0.13851999999997133</v>
      </c>
      <c r="C720">
        <v>8.7238889999999856</v>
      </c>
      <c r="D720">
        <v>3.1471900000000232</v>
      </c>
      <c r="E720">
        <v>17.783464999999978</v>
      </c>
      <c r="F720">
        <v>0.64236700000003566</v>
      </c>
    </row>
    <row r="721" spans="1:6">
      <c r="B721">
        <v>0</v>
      </c>
      <c r="C721">
        <v>0</v>
      </c>
      <c r="D721">
        <v>0</v>
      </c>
      <c r="E721">
        <v>0</v>
      </c>
      <c r="F721">
        <v>0</v>
      </c>
    </row>
    <row r="722" spans="1:6">
      <c r="A722">
        <v>361</v>
      </c>
      <c r="B722">
        <v>0.55563099999994847</v>
      </c>
      <c r="C722">
        <v>0.28413100000000213</v>
      </c>
      <c r="D722">
        <v>0.46260700000004817</v>
      </c>
      <c r="E722">
        <v>2.2379560000000538</v>
      </c>
      <c r="F722">
        <v>0.2826270000000477</v>
      </c>
    </row>
    <row r="723" spans="1:6">
      <c r="B723">
        <v>0</v>
      </c>
      <c r="C723">
        <v>0</v>
      </c>
      <c r="D723">
        <v>0</v>
      </c>
      <c r="E723">
        <v>0</v>
      </c>
      <c r="F723">
        <v>0</v>
      </c>
    </row>
    <row r="724" spans="1:6">
      <c r="A724">
        <v>362</v>
      </c>
      <c r="B724">
        <v>2.2508950000000141</v>
      </c>
      <c r="C724">
        <v>0.22271499999999378</v>
      </c>
      <c r="D724">
        <v>2.0219779999999901</v>
      </c>
      <c r="E724">
        <v>0.94405800000004092</v>
      </c>
      <c r="F724">
        <v>2.3499080000000276</v>
      </c>
    </row>
    <row r="725" spans="1:6">
      <c r="B725">
        <v>0</v>
      </c>
      <c r="C725">
        <v>0</v>
      </c>
      <c r="D725">
        <v>0</v>
      </c>
      <c r="E725">
        <v>0</v>
      </c>
      <c r="F725">
        <v>0</v>
      </c>
    </row>
    <row r="726" spans="1:6">
      <c r="A726">
        <v>363</v>
      </c>
      <c r="B726">
        <v>0.99549600000000282</v>
      </c>
      <c r="C726">
        <v>1.486199000000056</v>
      </c>
      <c r="D726">
        <v>1.6953479999999672</v>
      </c>
      <c r="E726">
        <v>0.63193200000000616</v>
      </c>
      <c r="F726">
        <v>14.275696000000039</v>
      </c>
    </row>
    <row r="727" spans="1:6">
      <c r="B727">
        <v>0</v>
      </c>
      <c r="C727">
        <v>0</v>
      </c>
      <c r="D727">
        <v>0</v>
      </c>
      <c r="E727">
        <v>0</v>
      </c>
      <c r="F727">
        <v>0</v>
      </c>
    </row>
    <row r="728" spans="1:6">
      <c r="A728">
        <v>364</v>
      </c>
      <c r="B728">
        <v>1.8096739999999727</v>
      </c>
      <c r="C728">
        <v>1.8789950000000317</v>
      </c>
      <c r="D728">
        <v>0.19782499999996617</v>
      </c>
      <c r="E728">
        <v>0.3420730000000276</v>
      </c>
      <c r="F728">
        <v>1.3586890000000267</v>
      </c>
    </row>
    <row r="729" spans="1:6">
      <c r="B729">
        <v>0</v>
      </c>
      <c r="C729">
        <v>0</v>
      </c>
      <c r="D729">
        <v>0</v>
      </c>
      <c r="E729">
        <v>0</v>
      </c>
      <c r="F729">
        <v>4.1529519999998001</v>
      </c>
    </row>
    <row r="730" spans="1:6">
      <c r="A730">
        <v>365</v>
      </c>
      <c r="B730">
        <v>0.23768099999995229</v>
      </c>
      <c r="C730">
        <v>0.26538500000003751</v>
      </c>
      <c r="D730">
        <v>0.67753400000003694</v>
      </c>
      <c r="E730">
        <v>22.40722100000005</v>
      </c>
      <c r="F730">
        <v>0.56219899999996414</v>
      </c>
    </row>
    <row r="731" spans="1:6">
      <c r="B731">
        <v>0</v>
      </c>
      <c r="C731">
        <v>0</v>
      </c>
      <c r="D731">
        <v>0</v>
      </c>
      <c r="E731">
        <v>0</v>
      </c>
      <c r="F731">
        <v>3.3450169999999844</v>
      </c>
    </row>
    <row r="732" spans="1:6">
      <c r="A732">
        <v>366</v>
      </c>
      <c r="B732">
        <v>2.7331179999999904</v>
      </c>
      <c r="C732">
        <v>1.2730319999999438</v>
      </c>
      <c r="D732">
        <v>1.2796789999999874</v>
      </c>
      <c r="E732">
        <v>3.9072159999999485</v>
      </c>
      <c r="F732">
        <v>1.1903409999999894</v>
      </c>
    </row>
    <row r="733" spans="1:6">
      <c r="B733">
        <v>0</v>
      </c>
      <c r="C733">
        <v>0</v>
      </c>
      <c r="D733">
        <v>0</v>
      </c>
      <c r="E733">
        <v>0</v>
      </c>
      <c r="F733">
        <v>2.875821999999971</v>
      </c>
    </row>
    <row r="734" spans="1:6">
      <c r="A734">
        <v>367</v>
      </c>
      <c r="B734">
        <v>1.9128839999999627</v>
      </c>
      <c r="C734">
        <v>1.3493099999999458</v>
      </c>
      <c r="D734">
        <v>0.13077399999997397</v>
      </c>
      <c r="E734">
        <v>4.0661629999999604</v>
      </c>
      <c r="F734">
        <v>0.73126800000000003</v>
      </c>
    </row>
    <row r="735" spans="1:6">
      <c r="B735">
        <v>0</v>
      </c>
      <c r="C735">
        <v>0</v>
      </c>
      <c r="D735">
        <v>0</v>
      </c>
      <c r="E735">
        <v>0</v>
      </c>
      <c r="F735">
        <v>3.2338640000000396</v>
      </c>
    </row>
    <row r="736" spans="1:6">
      <c r="A736">
        <v>368</v>
      </c>
      <c r="B736">
        <v>10.449192000000039</v>
      </c>
      <c r="C736">
        <v>5.0687249999999722</v>
      </c>
      <c r="D736">
        <v>1.0914060000000063</v>
      </c>
      <c r="E736">
        <v>3.9651320000000396</v>
      </c>
      <c r="F736">
        <v>0.62167299999998704</v>
      </c>
    </row>
    <row r="737" spans="1:6">
      <c r="B737">
        <v>0</v>
      </c>
      <c r="C737">
        <v>0</v>
      </c>
      <c r="D737">
        <v>0</v>
      </c>
      <c r="E737">
        <v>0</v>
      </c>
      <c r="F737">
        <v>0.36249899999995705</v>
      </c>
    </row>
    <row r="738" spans="1:6">
      <c r="A738">
        <v>369</v>
      </c>
      <c r="B738">
        <v>2.6516950000000179</v>
      </c>
      <c r="C738">
        <v>2.0483920000000353</v>
      </c>
      <c r="D738">
        <v>1.9456069999999954</v>
      </c>
      <c r="E738">
        <v>0.98417199999994409</v>
      </c>
      <c r="F738">
        <v>0.49212599999998474</v>
      </c>
    </row>
    <row r="739" spans="1:6">
      <c r="B739">
        <v>0</v>
      </c>
      <c r="C739">
        <v>0</v>
      </c>
      <c r="D739">
        <v>0</v>
      </c>
      <c r="E739">
        <v>0</v>
      </c>
      <c r="F739">
        <v>0</v>
      </c>
    </row>
    <row r="740" spans="1:6">
      <c r="A740">
        <v>370</v>
      </c>
      <c r="B740">
        <v>0.37006399999995665</v>
      </c>
      <c r="C740">
        <v>0.12986000000000786</v>
      </c>
      <c r="D740">
        <v>0.73316499999998541</v>
      </c>
      <c r="E740">
        <v>0.40214400000002115</v>
      </c>
      <c r="F740">
        <v>0.43985699999996086</v>
      </c>
    </row>
    <row r="741" spans="1:6">
      <c r="B741">
        <v>0</v>
      </c>
      <c r="C741">
        <v>0</v>
      </c>
      <c r="D741">
        <v>0</v>
      </c>
      <c r="E741">
        <v>0</v>
      </c>
      <c r="F741">
        <v>5.4239250000000538</v>
      </c>
    </row>
    <row r="742" spans="1:6">
      <c r="A742">
        <v>371</v>
      </c>
      <c r="B742">
        <v>3.4212009999999964</v>
      </c>
      <c r="C742">
        <v>4.6840089999999464</v>
      </c>
      <c r="D742">
        <v>2.499121999999943</v>
      </c>
      <c r="E742">
        <v>5.9537639999999783</v>
      </c>
      <c r="F742">
        <v>0.29254700000001321</v>
      </c>
    </row>
    <row r="743" spans="1:6">
      <c r="B743">
        <v>0</v>
      </c>
      <c r="C743">
        <v>0</v>
      </c>
      <c r="D743">
        <v>0</v>
      </c>
      <c r="E743">
        <v>0</v>
      </c>
      <c r="F743">
        <v>15.12032899999997</v>
      </c>
    </row>
    <row r="744" spans="1:6">
      <c r="A744">
        <v>372</v>
      </c>
      <c r="B744">
        <v>1.0739810000000034</v>
      </c>
      <c r="C744">
        <v>0.2509820000000218</v>
      </c>
      <c r="D744">
        <v>0.51561400000002777</v>
      </c>
      <c r="E744">
        <v>15.412875999999983</v>
      </c>
      <c r="F744">
        <v>3.0781369999999697</v>
      </c>
    </row>
    <row r="745" spans="1:6">
      <c r="B745">
        <v>0</v>
      </c>
      <c r="C745">
        <v>0</v>
      </c>
      <c r="D745">
        <v>0</v>
      </c>
      <c r="E745">
        <v>0</v>
      </c>
      <c r="F745">
        <v>0</v>
      </c>
    </row>
    <row r="746" spans="1:6">
      <c r="A746">
        <v>373</v>
      </c>
      <c r="B746">
        <v>0.25968799999998282</v>
      </c>
      <c r="C746">
        <v>0.73032200000000103</v>
      </c>
      <c r="D746">
        <v>0.86239799999998468</v>
      </c>
      <c r="E746">
        <v>2.1543729999999641</v>
      </c>
      <c r="F746">
        <v>0.67810499999995955</v>
      </c>
    </row>
    <row r="747" spans="1:6">
      <c r="B747">
        <v>0</v>
      </c>
      <c r="C747">
        <v>0</v>
      </c>
      <c r="D747">
        <v>0</v>
      </c>
      <c r="E747">
        <v>0</v>
      </c>
      <c r="F747">
        <v>2.5749789999999848</v>
      </c>
    </row>
    <row r="748" spans="1:6">
      <c r="A748">
        <v>374</v>
      </c>
      <c r="B748">
        <v>0.6905779999999595</v>
      </c>
      <c r="C748">
        <v>0.92552499999999327</v>
      </c>
      <c r="D748">
        <v>1.3985259999999471</v>
      </c>
      <c r="E748">
        <v>4.1768479999999499</v>
      </c>
      <c r="F748">
        <v>0.44275200000004133</v>
      </c>
    </row>
    <row r="749" spans="1:6">
      <c r="B749">
        <v>0</v>
      </c>
      <c r="C749">
        <v>0</v>
      </c>
      <c r="D749">
        <v>0</v>
      </c>
      <c r="E749">
        <v>0</v>
      </c>
      <c r="F749">
        <v>1.8888359999999693</v>
      </c>
    </row>
    <row r="750" spans="1:6">
      <c r="A750">
        <v>375</v>
      </c>
      <c r="B750">
        <v>1.4479189999999562</v>
      </c>
      <c r="C750">
        <v>1.386064000000033</v>
      </c>
      <c r="D750">
        <v>0.53406199999994897</v>
      </c>
      <c r="E750">
        <v>2.3315880000000107</v>
      </c>
      <c r="F750">
        <v>0.39034500000002481</v>
      </c>
    </row>
    <row r="751" spans="1:6">
      <c r="B751">
        <v>0</v>
      </c>
      <c r="C751">
        <v>0</v>
      </c>
      <c r="D751">
        <v>0</v>
      </c>
      <c r="E751">
        <v>0</v>
      </c>
      <c r="F751">
        <v>2.4419990000000098</v>
      </c>
    </row>
    <row r="752" spans="1:6">
      <c r="A752">
        <v>376</v>
      </c>
      <c r="B752">
        <v>2.039009999999962</v>
      </c>
      <c r="C752">
        <v>0.36799199999995835</v>
      </c>
      <c r="D752">
        <v>0.54861100000005081</v>
      </c>
      <c r="E752">
        <v>2.8323440000000346</v>
      </c>
      <c r="F752">
        <v>0.67364699999995992</v>
      </c>
    </row>
    <row r="753" spans="1:6">
      <c r="B753">
        <v>0</v>
      </c>
      <c r="C753">
        <v>0</v>
      </c>
      <c r="D753">
        <v>0</v>
      </c>
      <c r="E753">
        <v>0</v>
      </c>
      <c r="F753">
        <v>0.15418600000009519</v>
      </c>
    </row>
    <row r="754" spans="1:6">
      <c r="A754">
        <v>377</v>
      </c>
      <c r="B754">
        <v>2.9568000000000438</v>
      </c>
      <c r="C754">
        <v>1.7082739999999603</v>
      </c>
      <c r="D754">
        <v>1.0514379999999619</v>
      </c>
      <c r="E754">
        <v>0.82783300000005511</v>
      </c>
      <c r="F754">
        <v>0.20939199999997982</v>
      </c>
    </row>
    <row r="755" spans="1:6">
      <c r="B755">
        <v>0</v>
      </c>
      <c r="C755">
        <v>0</v>
      </c>
      <c r="D755">
        <v>0</v>
      </c>
      <c r="E755">
        <v>0</v>
      </c>
      <c r="F755">
        <v>0.51747499999999036</v>
      </c>
    </row>
    <row r="756" spans="1:6">
      <c r="A756">
        <v>378</v>
      </c>
      <c r="B756">
        <v>0.71461799999997311</v>
      </c>
      <c r="C756">
        <v>1.273003000000017</v>
      </c>
      <c r="D756">
        <v>0.50753499999996166</v>
      </c>
      <c r="E756">
        <v>0.72686699999997018</v>
      </c>
      <c r="F756">
        <v>0.31479699999999866</v>
      </c>
    </row>
    <row r="757" spans="1:6">
      <c r="B757">
        <v>0</v>
      </c>
      <c r="C757">
        <v>0</v>
      </c>
      <c r="D757">
        <v>0</v>
      </c>
      <c r="E757">
        <v>0</v>
      </c>
      <c r="F757">
        <v>0</v>
      </c>
    </row>
    <row r="758" spans="1:6">
      <c r="A758">
        <v>379</v>
      </c>
      <c r="B758">
        <v>1.8757000000000517</v>
      </c>
      <c r="C758">
        <v>3.3116209999999455</v>
      </c>
      <c r="D758">
        <v>0.70236899999997604</v>
      </c>
      <c r="E758">
        <v>0.22314400000004753</v>
      </c>
      <c r="F758">
        <v>2.8891479999999774</v>
      </c>
    </row>
    <row r="759" spans="1:6">
      <c r="B759">
        <v>0</v>
      </c>
      <c r="C759">
        <v>0</v>
      </c>
      <c r="D759">
        <v>0</v>
      </c>
      <c r="E759">
        <v>0</v>
      </c>
      <c r="F759">
        <v>1.0899370000000772</v>
      </c>
    </row>
    <row r="760" spans="1:6">
      <c r="A760">
        <v>380</v>
      </c>
      <c r="B760">
        <v>0.58923400000003312</v>
      </c>
      <c r="C760">
        <v>1.9270500000000084</v>
      </c>
      <c r="D760">
        <v>1.5642380000000458</v>
      </c>
      <c r="E760">
        <v>4.0707380000000057</v>
      </c>
      <c r="F760">
        <v>0.17680199999995239</v>
      </c>
    </row>
    <row r="761" spans="1:6">
      <c r="B761">
        <v>0</v>
      </c>
      <c r="C761">
        <v>0</v>
      </c>
      <c r="D761">
        <v>0</v>
      </c>
      <c r="E761">
        <v>0</v>
      </c>
      <c r="F761">
        <v>0.41360400000007758</v>
      </c>
    </row>
    <row r="762" spans="1:6">
      <c r="A762">
        <v>381</v>
      </c>
      <c r="B762">
        <v>6.8553999999949156E-2</v>
      </c>
      <c r="C762">
        <v>2.7804919999999811</v>
      </c>
      <c r="D762">
        <v>0.39451099999996586</v>
      </c>
      <c r="E762">
        <v>0.59040600000002996</v>
      </c>
      <c r="F762">
        <v>1.9848419999999578</v>
      </c>
    </row>
    <row r="763" spans="1:6">
      <c r="B763">
        <v>0</v>
      </c>
      <c r="C763">
        <v>0</v>
      </c>
      <c r="D763">
        <v>0</v>
      </c>
      <c r="E763">
        <v>0</v>
      </c>
      <c r="F763">
        <v>2.2344640000000027</v>
      </c>
    </row>
    <row r="764" spans="1:6">
      <c r="A764">
        <v>382</v>
      </c>
      <c r="B764">
        <v>4.2228250000000571</v>
      </c>
      <c r="C764">
        <v>2.9662170000000287</v>
      </c>
      <c r="D764">
        <v>1.952762000000007</v>
      </c>
      <c r="E764">
        <v>4.2193059999999605</v>
      </c>
      <c r="F764">
        <v>3.2763979999999719</v>
      </c>
    </row>
    <row r="765" spans="1:6">
      <c r="B765">
        <v>0</v>
      </c>
      <c r="C765">
        <v>0</v>
      </c>
      <c r="D765">
        <v>0</v>
      </c>
      <c r="E765">
        <v>0</v>
      </c>
      <c r="F765">
        <v>0</v>
      </c>
    </row>
    <row r="766" spans="1:6">
      <c r="A766">
        <v>383</v>
      </c>
      <c r="B766">
        <v>2.4075659999999743</v>
      </c>
      <c r="C766">
        <v>3.3840880000000197</v>
      </c>
      <c r="D766">
        <v>1.5088359999999739</v>
      </c>
      <c r="E766">
        <v>0.63992599999994582</v>
      </c>
      <c r="F766">
        <v>0.19740300000000843</v>
      </c>
    </row>
    <row r="767" spans="1:6">
      <c r="B767">
        <v>0</v>
      </c>
      <c r="C767">
        <v>0</v>
      </c>
      <c r="D767">
        <v>0</v>
      </c>
      <c r="E767">
        <v>0</v>
      </c>
      <c r="F767">
        <v>0</v>
      </c>
    </row>
    <row r="768" spans="1:6">
      <c r="A768">
        <v>384</v>
      </c>
      <c r="B768">
        <v>4.1160589999999502</v>
      </c>
      <c r="C768">
        <v>0.53730299999995168</v>
      </c>
      <c r="D768">
        <v>0.44038399999999456</v>
      </c>
      <c r="E768">
        <v>0.68901000000005297</v>
      </c>
      <c r="F768">
        <v>0.40170200000000023</v>
      </c>
    </row>
    <row r="769" spans="1:6">
      <c r="B769">
        <v>0</v>
      </c>
      <c r="C769">
        <v>0</v>
      </c>
      <c r="D769">
        <v>0</v>
      </c>
      <c r="E769">
        <v>0</v>
      </c>
      <c r="F769">
        <v>0</v>
      </c>
    </row>
    <row r="770" spans="1:6">
      <c r="A770">
        <v>385</v>
      </c>
      <c r="B770">
        <v>0.75626499999998487</v>
      </c>
      <c r="C770">
        <v>0.53684599999996863</v>
      </c>
      <c r="D770">
        <v>0.21813599999995859</v>
      </c>
      <c r="E770">
        <v>1.5426959999999781</v>
      </c>
      <c r="F770">
        <v>5.5500429999999596</v>
      </c>
    </row>
    <row r="771" spans="1:6">
      <c r="B771">
        <v>0</v>
      </c>
      <c r="C771">
        <v>0</v>
      </c>
      <c r="D771">
        <v>0</v>
      </c>
      <c r="E771">
        <v>0</v>
      </c>
      <c r="F771">
        <v>0</v>
      </c>
    </row>
    <row r="772" spans="1:6">
      <c r="A772">
        <v>386</v>
      </c>
      <c r="B772">
        <v>2.852198000000044</v>
      </c>
      <c r="C772">
        <v>0.59066399999994701</v>
      </c>
      <c r="D772">
        <v>0.53689799999995103</v>
      </c>
      <c r="E772">
        <v>1.4857510000000502</v>
      </c>
      <c r="F772">
        <v>3.3158989999999449</v>
      </c>
    </row>
    <row r="773" spans="1:6">
      <c r="B773">
        <v>0</v>
      </c>
      <c r="C773">
        <v>0</v>
      </c>
      <c r="D773">
        <v>0</v>
      </c>
      <c r="E773">
        <v>0</v>
      </c>
      <c r="F773">
        <v>0</v>
      </c>
    </row>
    <row r="774" spans="1:6">
      <c r="A774">
        <v>387</v>
      </c>
      <c r="B774">
        <v>1.1541590000000497</v>
      </c>
      <c r="C774">
        <v>1.0788949999999886</v>
      </c>
      <c r="D774">
        <v>5.3867360000000417</v>
      </c>
      <c r="E774">
        <v>8.2717999999999847E-2</v>
      </c>
      <c r="F774">
        <v>3.7135449999999537</v>
      </c>
    </row>
    <row r="775" spans="1:6">
      <c r="B775">
        <v>0</v>
      </c>
      <c r="C775">
        <v>0</v>
      </c>
      <c r="D775">
        <v>0</v>
      </c>
      <c r="E775">
        <v>0</v>
      </c>
      <c r="F775">
        <v>0</v>
      </c>
    </row>
    <row r="776" spans="1:6">
      <c r="A776">
        <v>388</v>
      </c>
      <c r="B776">
        <v>3.1881899999999632</v>
      </c>
      <c r="C776">
        <v>5.7125750000000153</v>
      </c>
      <c r="D776">
        <v>3.4300019999999449</v>
      </c>
      <c r="E776">
        <v>0.52135299999997642</v>
      </c>
      <c r="F776">
        <v>2.9770230000000311</v>
      </c>
    </row>
    <row r="777" spans="1:6">
      <c r="B777">
        <v>0</v>
      </c>
      <c r="C777">
        <v>0</v>
      </c>
      <c r="D777">
        <v>0</v>
      </c>
      <c r="E777">
        <v>0</v>
      </c>
      <c r="F777">
        <v>0</v>
      </c>
    </row>
    <row r="778" spans="1:6">
      <c r="A778">
        <v>389</v>
      </c>
      <c r="B778">
        <v>0.55521799999996801</v>
      </c>
      <c r="C778">
        <v>1.3792770000000019</v>
      </c>
      <c r="D778">
        <v>0.57007399999997688</v>
      </c>
      <c r="E778">
        <v>0.98649299999999585</v>
      </c>
      <c r="F778">
        <v>2.6150390000000243</v>
      </c>
    </row>
    <row r="779" spans="1:6">
      <c r="B779">
        <v>0</v>
      </c>
      <c r="C779">
        <v>0</v>
      </c>
      <c r="D779">
        <v>0</v>
      </c>
      <c r="E779">
        <v>0</v>
      </c>
      <c r="F779">
        <v>0</v>
      </c>
    </row>
    <row r="780" spans="1:6">
      <c r="A780">
        <v>390</v>
      </c>
      <c r="B780">
        <v>5.3823240000000396</v>
      </c>
      <c r="C780">
        <v>0.60417399999994359</v>
      </c>
      <c r="D780">
        <v>0.29737699999998313</v>
      </c>
      <c r="E780">
        <v>0.24405899999999292</v>
      </c>
      <c r="F780">
        <v>2.3722770000000537</v>
      </c>
    </row>
    <row r="781" spans="1:6">
      <c r="B781">
        <v>0</v>
      </c>
      <c r="C781">
        <v>0</v>
      </c>
      <c r="D781">
        <v>0</v>
      </c>
      <c r="E781">
        <v>0</v>
      </c>
      <c r="F781">
        <v>0</v>
      </c>
    </row>
    <row r="782" spans="1:6">
      <c r="A782">
        <v>391</v>
      </c>
      <c r="B782">
        <v>0.64075000000002547</v>
      </c>
      <c r="C782">
        <v>0.52682200000003832</v>
      </c>
      <c r="D782">
        <v>0.35424899999998161</v>
      </c>
      <c r="E782">
        <v>1.4111970000000156</v>
      </c>
      <c r="F782">
        <v>2.0781769999999824</v>
      </c>
    </row>
    <row r="783" spans="1:6">
      <c r="B783">
        <v>0</v>
      </c>
      <c r="C783">
        <v>0</v>
      </c>
      <c r="D783">
        <v>0</v>
      </c>
      <c r="E783">
        <v>0</v>
      </c>
      <c r="F783">
        <v>0</v>
      </c>
    </row>
    <row r="784" spans="1:6">
      <c r="A784">
        <v>392</v>
      </c>
      <c r="B784">
        <v>2.0399609999999484</v>
      </c>
      <c r="C784">
        <v>0.71840199999996912</v>
      </c>
      <c r="D784">
        <v>10.288336999999956</v>
      </c>
      <c r="E784">
        <v>1.1601779999999735</v>
      </c>
      <c r="F784">
        <v>1.0667300000000068</v>
      </c>
    </row>
    <row r="785" spans="1:6">
      <c r="B785">
        <v>0</v>
      </c>
      <c r="C785">
        <v>0</v>
      </c>
      <c r="D785">
        <v>0</v>
      </c>
      <c r="E785">
        <v>0</v>
      </c>
      <c r="F785">
        <v>0</v>
      </c>
    </row>
    <row r="786" spans="1:6">
      <c r="A786">
        <v>393</v>
      </c>
      <c r="B786">
        <v>1.1414949999999635</v>
      </c>
      <c r="C786">
        <v>2.1518129999999474</v>
      </c>
      <c r="D786">
        <v>1.3542969999999741</v>
      </c>
      <c r="E786">
        <v>2.8872420000000147</v>
      </c>
      <c r="F786">
        <v>0.95345699999995759</v>
      </c>
    </row>
    <row r="787" spans="1:6">
      <c r="B787">
        <v>0</v>
      </c>
      <c r="C787">
        <v>0</v>
      </c>
      <c r="D787">
        <v>0</v>
      </c>
      <c r="E787">
        <v>0</v>
      </c>
      <c r="F787">
        <v>0</v>
      </c>
    </row>
    <row r="788" spans="1:6">
      <c r="A788">
        <v>394</v>
      </c>
      <c r="B788">
        <v>0.63140599999996994</v>
      </c>
      <c r="C788">
        <v>3.0622969999999441</v>
      </c>
      <c r="D788">
        <v>0.51005699999996068</v>
      </c>
      <c r="E788">
        <v>0.32494599999995444</v>
      </c>
      <c r="F788">
        <v>1.4653319999999894</v>
      </c>
    </row>
    <row r="789" spans="1:6">
      <c r="B789">
        <v>0</v>
      </c>
      <c r="C789">
        <v>0</v>
      </c>
      <c r="D789">
        <v>0</v>
      </c>
      <c r="E789">
        <v>0</v>
      </c>
      <c r="F789">
        <v>0</v>
      </c>
    </row>
    <row r="790" spans="1:6">
      <c r="A790">
        <v>395</v>
      </c>
      <c r="B790">
        <v>1.6722919999999704</v>
      </c>
      <c r="C790">
        <v>0.38058699999999135</v>
      </c>
      <c r="D790">
        <v>9.7068699999999808</v>
      </c>
      <c r="E790">
        <v>1.0449770000000171</v>
      </c>
      <c r="F790">
        <v>1.9238719999999603</v>
      </c>
    </row>
    <row r="791" spans="1:6">
      <c r="B791">
        <v>0</v>
      </c>
      <c r="C791">
        <v>0</v>
      </c>
      <c r="D791">
        <v>0</v>
      </c>
      <c r="E791">
        <v>0</v>
      </c>
      <c r="F791">
        <v>0</v>
      </c>
    </row>
    <row r="792" spans="1:6">
      <c r="A792">
        <v>396</v>
      </c>
      <c r="B792">
        <v>0.53899400000000242</v>
      </c>
      <c r="C792">
        <v>0.43907600000000002</v>
      </c>
      <c r="D792">
        <v>0.71728399999994963</v>
      </c>
      <c r="E792">
        <v>0.14312900000004447</v>
      </c>
      <c r="F792">
        <v>0.48450800000000527</v>
      </c>
    </row>
    <row r="793" spans="1:6">
      <c r="B793">
        <v>0</v>
      </c>
      <c r="C793">
        <v>0</v>
      </c>
      <c r="D793">
        <v>0</v>
      </c>
      <c r="E793">
        <v>0</v>
      </c>
      <c r="F793">
        <v>0</v>
      </c>
    </row>
    <row r="794" spans="1:6">
      <c r="A794">
        <v>397</v>
      </c>
      <c r="B794">
        <v>6.1826499999999669</v>
      </c>
      <c r="C794">
        <v>9.1984680000000481</v>
      </c>
      <c r="D794">
        <v>8.3688869999999724</v>
      </c>
      <c r="E794">
        <v>3.0129060000000436</v>
      </c>
      <c r="F794">
        <v>2.8462469999999485</v>
      </c>
    </row>
    <row r="795" spans="1:6">
      <c r="B795">
        <v>0</v>
      </c>
      <c r="C795">
        <v>0</v>
      </c>
      <c r="D795">
        <v>0</v>
      </c>
      <c r="E795">
        <v>0</v>
      </c>
      <c r="F795">
        <v>0</v>
      </c>
    </row>
    <row r="796" spans="1:6">
      <c r="A796">
        <v>398</v>
      </c>
      <c r="B796">
        <v>3.3455840000000308</v>
      </c>
      <c r="C796">
        <v>0.42230800000004365</v>
      </c>
      <c r="D796">
        <v>0.48852899999997135</v>
      </c>
      <c r="E796">
        <v>1.2918769999999995</v>
      </c>
      <c r="F796">
        <v>6.8389270000000124</v>
      </c>
    </row>
    <row r="797" spans="1:6">
      <c r="B797">
        <v>0</v>
      </c>
      <c r="C797">
        <v>0</v>
      </c>
      <c r="D797">
        <v>0</v>
      </c>
      <c r="E797">
        <v>0</v>
      </c>
      <c r="F797">
        <v>0</v>
      </c>
    </row>
    <row r="798" spans="1:6">
      <c r="A798">
        <v>399</v>
      </c>
      <c r="B798">
        <v>6.8064520000000357</v>
      </c>
      <c r="C798">
        <v>3.8775480000000471</v>
      </c>
      <c r="D798">
        <v>3.1517049999999927</v>
      </c>
      <c r="E798">
        <v>0.9267170000000533</v>
      </c>
      <c r="F798">
        <v>0.83619599999997263</v>
      </c>
    </row>
    <row r="799" spans="1:6">
      <c r="B799">
        <v>0</v>
      </c>
      <c r="C799">
        <v>0</v>
      </c>
      <c r="D799">
        <v>0</v>
      </c>
      <c r="E799">
        <v>0</v>
      </c>
      <c r="F799">
        <v>0</v>
      </c>
    </row>
    <row r="800" spans="1:6">
      <c r="A800">
        <v>400</v>
      </c>
      <c r="B800">
        <v>2.2217829999999594</v>
      </c>
      <c r="C800">
        <v>4.9702489999999671</v>
      </c>
      <c r="D800">
        <v>0.66476299999999355</v>
      </c>
      <c r="E800">
        <v>0.56055900000001202</v>
      </c>
      <c r="F800">
        <v>1.1000779999999395</v>
      </c>
    </row>
  </sheetData>
  <phoneticPr fontId="50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5"/>
  <dimension ref="A3:AK164"/>
  <sheetViews>
    <sheetView workbookViewId="0">
      <selection activeCell="N26" sqref="N26"/>
    </sheetView>
  </sheetViews>
  <sheetFormatPr defaultColWidth="8.86328125" defaultRowHeight="13.5"/>
  <cols>
    <col min="13" max="13" width="8.86328125" style="128"/>
    <col min="37" max="37" width="8.86328125" style="84"/>
  </cols>
  <sheetData>
    <row r="3" spans="1:37">
      <c r="C3" t="s">
        <v>16</v>
      </c>
      <c r="D3" s="126" t="s">
        <v>244</v>
      </c>
      <c r="E3" t="s">
        <v>58</v>
      </c>
      <c r="F3" s="126" t="s">
        <v>245</v>
      </c>
      <c r="G3" t="s">
        <v>202</v>
      </c>
      <c r="H3" s="126" t="s">
        <v>246</v>
      </c>
      <c r="I3" t="s">
        <v>211</v>
      </c>
      <c r="J3" s="126" t="s">
        <v>247</v>
      </c>
      <c r="K3" t="s">
        <v>210</v>
      </c>
      <c r="L3" s="126" t="s">
        <v>248</v>
      </c>
      <c r="M3" s="128" t="s">
        <v>219</v>
      </c>
      <c r="N3" t="s">
        <v>243</v>
      </c>
      <c r="P3" t="s">
        <v>221</v>
      </c>
      <c r="Q3" t="s">
        <v>222</v>
      </c>
      <c r="R3" t="s">
        <v>223</v>
      </c>
      <c r="S3" t="s">
        <v>224</v>
      </c>
      <c r="T3" t="s">
        <v>225</v>
      </c>
      <c r="U3" t="s">
        <v>226</v>
      </c>
      <c r="V3" t="s">
        <v>227</v>
      </c>
      <c r="W3" t="s">
        <v>228</v>
      </c>
      <c r="X3" t="s">
        <v>229</v>
      </c>
      <c r="Y3" t="s">
        <v>230</v>
      </c>
      <c r="Z3" t="s">
        <v>231</v>
      </c>
      <c r="AA3" t="s">
        <v>232</v>
      </c>
      <c r="AB3" t="s">
        <v>233</v>
      </c>
      <c r="AC3" t="s">
        <v>234</v>
      </c>
      <c r="AD3" t="s">
        <v>235</v>
      </c>
      <c r="AE3" t="s">
        <v>236</v>
      </c>
      <c r="AF3" t="s">
        <v>237</v>
      </c>
      <c r="AG3" t="s">
        <v>238</v>
      </c>
      <c r="AH3" t="s">
        <v>239</v>
      </c>
      <c r="AI3" t="s">
        <v>240</v>
      </c>
      <c r="AJ3" t="s">
        <v>241</v>
      </c>
      <c r="AK3" s="84" t="s">
        <v>242</v>
      </c>
    </row>
    <row r="4" spans="1:37">
      <c r="A4">
        <v>1</v>
      </c>
      <c r="B4">
        <v>1</v>
      </c>
      <c r="C4">
        <f>+PSO_results!V4</f>
        <v>0</v>
      </c>
      <c r="D4" s="127" t="e">
        <f t="shared" ref="D4:D35" si="0">+((C4-$M4)/$M4)*100</f>
        <v>#REF!</v>
      </c>
      <c r="E4">
        <f>+GA_results!V4</f>
        <v>0</v>
      </c>
      <c r="F4" s="127" t="e">
        <f t="shared" ref="F4:F35" si="1">+((E4-$M4)/$M4)*100</f>
        <v>#REF!</v>
      </c>
      <c r="G4">
        <f>+DE_results!V4</f>
        <v>0</v>
      </c>
      <c r="H4" s="127" t="e">
        <f>+((G4-$M4)/$M4)*100</f>
        <v>#REF!</v>
      </c>
      <c r="I4">
        <f>+MTS_results!V4</f>
        <v>0</v>
      </c>
      <c r="J4" s="127" t="e">
        <f>+((I4-$M4)/$M4)*100</f>
        <v>#REF!</v>
      </c>
      <c r="K4" t="e">
        <f>+#REF!</f>
        <v>#REF!</v>
      </c>
      <c r="L4" s="127" t="e">
        <f>+((K4-$M4)/$M4)*100</f>
        <v>#REF!</v>
      </c>
      <c r="M4" s="128" t="e">
        <f>+AK4</f>
        <v>#REF!</v>
      </c>
      <c r="N4" t="e">
        <f>+MIN(C4,E4,G4,I4,K4)</f>
        <v>#REF!</v>
      </c>
      <c r="P4" s="40">
        <f>+PSO_results!AB4</f>
        <v>0</v>
      </c>
      <c r="Q4" s="40">
        <f>+PSO_results!AC4</f>
        <v>0</v>
      </c>
      <c r="R4" s="40">
        <f>+PSO_results!AD4</f>
        <v>0</v>
      </c>
      <c r="S4" s="40">
        <f>+PSO_results!AE4</f>
        <v>0</v>
      </c>
      <c r="T4" s="40">
        <f>+PSO_results!AF4</f>
        <v>0</v>
      </c>
      <c r="U4">
        <f>+GA_results!AB4</f>
        <v>0</v>
      </c>
      <c r="V4">
        <f>+GA_results!AC4</f>
        <v>0</v>
      </c>
      <c r="W4">
        <f>+GA_results!AD4</f>
        <v>0</v>
      </c>
      <c r="X4">
        <f>+GA_results!AE4</f>
        <v>0</v>
      </c>
      <c r="Y4">
        <f>+GA_results!AF4</f>
        <v>0</v>
      </c>
      <c r="Z4">
        <f>+DE_results!AB4</f>
        <v>0</v>
      </c>
      <c r="AA4">
        <f>+DE_results!AC4</f>
        <v>0</v>
      </c>
      <c r="AB4">
        <f>+DE_results!AD4</f>
        <v>0</v>
      </c>
      <c r="AC4">
        <f>+DE_results!AE4</f>
        <v>0</v>
      </c>
      <c r="AD4">
        <f>+DE_results!AF4</f>
        <v>0</v>
      </c>
      <c r="AE4">
        <f>+MTS_results!AB4</f>
        <v>0</v>
      </c>
      <c r="AF4">
        <f>+MTS_results!AC4</f>
        <v>0</v>
      </c>
      <c r="AG4">
        <f>+MTS_results!AD4</f>
        <v>0</v>
      </c>
      <c r="AH4">
        <f>+MTS_results!AE4</f>
        <v>0</v>
      </c>
      <c r="AI4">
        <f>+MTS_results!AF4</f>
        <v>0</v>
      </c>
      <c r="AJ4" t="e">
        <f>+#REF!</f>
        <v>#REF!</v>
      </c>
      <c r="AK4" s="84" t="e">
        <f>+MIN(P4:AJ4)</f>
        <v>#REF!</v>
      </c>
    </row>
    <row r="5" spans="1:37">
      <c r="A5">
        <v>2</v>
      </c>
      <c r="B5">
        <v>1</v>
      </c>
      <c r="C5">
        <f>+PSO_results!V5</f>
        <v>0</v>
      </c>
      <c r="D5" s="127" t="e">
        <f t="shared" si="0"/>
        <v>#REF!</v>
      </c>
      <c r="E5">
        <f>+GA_results!V5</f>
        <v>0</v>
      </c>
      <c r="F5" s="127" t="e">
        <f t="shared" si="1"/>
        <v>#REF!</v>
      </c>
      <c r="G5">
        <f>+DE_results!V5</f>
        <v>0</v>
      </c>
      <c r="H5" s="127" t="e">
        <f t="shared" ref="H5" si="2">+((G5-$M5)/$M5)*100</f>
        <v>#REF!</v>
      </c>
      <c r="I5">
        <f>+MTS_results!V5</f>
        <v>0</v>
      </c>
      <c r="J5" s="127" t="e">
        <f t="shared" ref="J5:L5" si="3">+((I5-$M5)/$M5)*100</f>
        <v>#REF!</v>
      </c>
      <c r="K5" t="e">
        <f>+#REF!</f>
        <v>#REF!</v>
      </c>
      <c r="L5" s="127" t="e">
        <f t="shared" si="3"/>
        <v>#REF!</v>
      </c>
      <c r="M5" s="128" t="e">
        <f t="shared" ref="M5:M68" si="4">+AK5</f>
        <v>#REF!</v>
      </c>
      <c r="N5" t="e">
        <f t="shared" ref="N5:N68" si="5">+MIN(C5,E5,G5,I5,K5)</f>
        <v>#REF!</v>
      </c>
      <c r="P5" s="40">
        <f>+PSO_results!AB5</f>
        <v>0</v>
      </c>
      <c r="Q5" s="40">
        <f>+PSO_results!AC5</f>
        <v>0</v>
      </c>
      <c r="R5" s="40">
        <f>+PSO_results!AD5</f>
        <v>0</v>
      </c>
      <c r="S5" s="40">
        <f>+PSO_results!AE5</f>
        <v>0</v>
      </c>
      <c r="T5" s="40">
        <f>+PSO_results!AF5</f>
        <v>0</v>
      </c>
      <c r="U5">
        <f>+GA_results!AB5</f>
        <v>0</v>
      </c>
      <c r="V5">
        <f>+GA_results!AC5</f>
        <v>0</v>
      </c>
      <c r="W5">
        <f>+GA_results!AD5</f>
        <v>0</v>
      </c>
      <c r="X5">
        <f>+GA_results!AE5</f>
        <v>0</v>
      </c>
      <c r="Y5">
        <f>+GA_results!AF5</f>
        <v>0</v>
      </c>
      <c r="Z5">
        <f>+DE_results!AB5</f>
        <v>0</v>
      </c>
      <c r="AA5">
        <f>+DE_results!AC5</f>
        <v>0</v>
      </c>
      <c r="AB5">
        <f>+DE_results!AD5</f>
        <v>0</v>
      </c>
      <c r="AC5">
        <f>+DE_results!AE5</f>
        <v>0</v>
      </c>
      <c r="AD5">
        <f>+DE_results!AF5</f>
        <v>0</v>
      </c>
      <c r="AE5">
        <f>+MTS_results!AB5</f>
        <v>0</v>
      </c>
      <c r="AF5">
        <f>+MTS_results!AC5</f>
        <v>0</v>
      </c>
      <c r="AG5">
        <f>+MTS_results!AD5</f>
        <v>0</v>
      </c>
      <c r="AH5">
        <f>+MTS_results!AE5</f>
        <v>0</v>
      </c>
      <c r="AI5">
        <f>+MTS_results!AF5</f>
        <v>0</v>
      </c>
      <c r="AJ5" t="e">
        <f>+#REF!</f>
        <v>#REF!</v>
      </c>
      <c r="AK5" s="84" t="e">
        <f t="shared" ref="AK5:AK68" si="6">+MIN(P5:AJ5)</f>
        <v>#REF!</v>
      </c>
    </row>
    <row r="6" spans="1:37">
      <c r="A6">
        <v>3</v>
      </c>
      <c r="B6">
        <v>1</v>
      </c>
      <c r="C6">
        <f>+PSO_results!V6</f>
        <v>0</v>
      </c>
      <c r="D6" s="127" t="e">
        <f t="shared" si="0"/>
        <v>#REF!</v>
      </c>
      <c r="E6">
        <f>+GA_results!V6</f>
        <v>0</v>
      </c>
      <c r="F6" s="127" t="e">
        <f t="shared" si="1"/>
        <v>#REF!</v>
      </c>
      <c r="G6">
        <f>+DE_results!V6</f>
        <v>0</v>
      </c>
      <c r="H6" s="127" t="e">
        <f t="shared" ref="H6" si="7">+((G6-$M6)/$M6)*100</f>
        <v>#REF!</v>
      </c>
      <c r="I6">
        <f>+MTS_results!V6</f>
        <v>0</v>
      </c>
      <c r="J6" s="127" t="e">
        <f t="shared" ref="J6:L6" si="8">+((I6-$M6)/$M6)*100</f>
        <v>#REF!</v>
      </c>
      <c r="K6" t="e">
        <f>+#REF!</f>
        <v>#REF!</v>
      </c>
      <c r="L6" s="127" t="e">
        <f t="shared" si="8"/>
        <v>#REF!</v>
      </c>
      <c r="M6" s="128" t="e">
        <f t="shared" si="4"/>
        <v>#REF!</v>
      </c>
      <c r="N6" t="e">
        <f t="shared" si="5"/>
        <v>#REF!</v>
      </c>
      <c r="P6" s="40">
        <f>+PSO_results!AB6</f>
        <v>0</v>
      </c>
      <c r="Q6" s="40">
        <f>+PSO_results!AC6</f>
        <v>0</v>
      </c>
      <c r="R6" s="40">
        <f>+PSO_results!AD6</f>
        <v>0</v>
      </c>
      <c r="S6" s="40">
        <f>+PSO_results!AE6</f>
        <v>0</v>
      </c>
      <c r="T6" s="40">
        <f>+PSO_results!AF6</f>
        <v>0</v>
      </c>
      <c r="U6">
        <f>+GA_results!AB6</f>
        <v>0</v>
      </c>
      <c r="V6">
        <f>+GA_results!AC6</f>
        <v>0</v>
      </c>
      <c r="W6">
        <f>+GA_results!AD6</f>
        <v>0</v>
      </c>
      <c r="X6">
        <f>+GA_results!AE6</f>
        <v>0</v>
      </c>
      <c r="Y6">
        <f>+GA_results!AF6</f>
        <v>0</v>
      </c>
      <c r="Z6">
        <f>+DE_results!AB6</f>
        <v>0</v>
      </c>
      <c r="AA6">
        <f>+DE_results!AC6</f>
        <v>0</v>
      </c>
      <c r="AB6">
        <f>+DE_results!AD6</f>
        <v>0</v>
      </c>
      <c r="AC6">
        <f>+DE_results!AE6</f>
        <v>0</v>
      </c>
      <c r="AD6">
        <f>+DE_results!AF6</f>
        <v>0</v>
      </c>
      <c r="AE6">
        <f>+MTS_results!AB6</f>
        <v>0</v>
      </c>
      <c r="AF6">
        <f>+MTS_results!AC6</f>
        <v>0</v>
      </c>
      <c r="AG6">
        <f>+MTS_results!AD6</f>
        <v>0</v>
      </c>
      <c r="AH6">
        <f>+MTS_results!AE6</f>
        <v>0</v>
      </c>
      <c r="AI6">
        <f>+MTS_results!AF6</f>
        <v>0</v>
      </c>
      <c r="AJ6" t="e">
        <f>+#REF!</f>
        <v>#REF!</v>
      </c>
      <c r="AK6" s="84" t="e">
        <f t="shared" si="6"/>
        <v>#REF!</v>
      </c>
    </row>
    <row r="7" spans="1:37">
      <c r="A7">
        <v>4</v>
      </c>
      <c r="B7">
        <v>1</v>
      </c>
      <c r="C7">
        <f>+PSO_results!V7</f>
        <v>0</v>
      </c>
      <c r="D7" s="127" t="e">
        <f t="shared" si="0"/>
        <v>#REF!</v>
      </c>
      <c r="E7">
        <f>+GA_results!V7</f>
        <v>0</v>
      </c>
      <c r="F7" s="127" t="e">
        <f t="shared" si="1"/>
        <v>#REF!</v>
      </c>
      <c r="G7">
        <f>+DE_results!V7</f>
        <v>0</v>
      </c>
      <c r="H7" s="127" t="e">
        <f t="shared" ref="H7" si="9">+((G7-$M7)/$M7)*100</f>
        <v>#REF!</v>
      </c>
      <c r="I7">
        <f>+MTS_results!V7</f>
        <v>0</v>
      </c>
      <c r="J7" s="127" t="e">
        <f t="shared" ref="J7:L7" si="10">+((I7-$M7)/$M7)*100</f>
        <v>#REF!</v>
      </c>
      <c r="K7" t="e">
        <f>+#REF!</f>
        <v>#REF!</v>
      </c>
      <c r="L7" s="127" t="e">
        <f t="shared" si="10"/>
        <v>#REF!</v>
      </c>
      <c r="M7" s="128" t="e">
        <f t="shared" si="4"/>
        <v>#REF!</v>
      </c>
      <c r="N7" t="e">
        <f t="shared" si="5"/>
        <v>#REF!</v>
      </c>
      <c r="P7" s="40">
        <f>+PSO_results!AB7</f>
        <v>0</v>
      </c>
      <c r="Q7" s="40">
        <f>+PSO_results!AC7</f>
        <v>0</v>
      </c>
      <c r="R7" s="40">
        <f>+PSO_results!AD7</f>
        <v>0</v>
      </c>
      <c r="S7" s="40">
        <f>+PSO_results!AE7</f>
        <v>0</v>
      </c>
      <c r="T7" s="40">
        <f>+PSO_results!AF7</f>
        <v>0</v>
      </c>
      <c r="U7">
        <f>+GA_results!AB7</f>
        <v>0</v>
      </c>
      <c r="V7">
        <f>+GA_results!AC7</f>
        <v>0</v>
      </c>
      <c r="W7">
        <f>+GA_results!AD7</f>
        <v>0</v>
      </c>
      <c r="X7">
        <f>+GA_results!AE7</f>
        <v>0</v>
      </c>
      <c r="Y7">
        <f>+GA_results!AF7</f>
        <v>0</v>
      </c>
      <c r="Z7">
        <f>+DE_results!AB7</f>
        <v>0</v>
      </c>
      <c r="AA7">
        <f>+DE_results!AC7</f>
        <v>0</v>
      </c>
      <c r="AB7">
        <f>+DE_results!AD7</f>
        <v>0</v>
      </c>
      <c r="AC7">
        <f>+DE_results!AE7</f>
        <v>0</v>
      </c>
      <c r="AD7">
        <f>+DE_results!AF7</f>
        <v>0</v>
      </c>
      <c r="AE7">
        <f>+MTS_results!AB7</f>
        <v>0</v>
      </c>
      <c r="AF7">
        <f>+MTS_results!AC7</f>
        <v>0</v>
      </c>
      <c r="AG7">
        <f>+MTS_results!AD7</f>
        <v>0</v>
      </c>
      <c r="AH7">
        <f>+MTS_results!AE7</f>
        <v>0</v>
      </c>
      <c r="AI7">
        <f>+MTS_results!AF7</f>
        <v>0</v>
      </c>
      <c r="AJ7" t="e">
        <f>+#REF!</f>
        <v>#REF!</v>
      </c>
      <c r="AK7" s="84" t="e">
        <f t="shared" si="6"/>
        <v>#REF!</v>
      </c>
    </row>
    <row r="8" spans="1:37">
      <c r="A8">
        <v>5</v>
      </c>
      <c r="B8">
        <v>1</v>
      </c>
      <c r="C8">
        <f>+PSO_results!V8</f>
        <v>0</v>
      </c>
      <c r="D8" s="127" t="e">
        <f t="shared" si="0"/>
        <v>#REF!</v>
      </c>
      <c r="E8">
        <f>+GA_results!V8</f>
        <v>0</v>
      </c>
      <c r="F8" s="127" t="e">
        <f t="shared" si="1"/>
        <v>#REF!</v>
      </c>
      <c r="G8">
        <f>+DE_results!V8</f>
        <v>0</v>
      </c>
      <c r="H8" s="127" t="e">
        <f t="shared" ref="H8" si="11">+((G8-$M8)/$M8)*100</f>
        <v>#REF!</v>
      </c>
      <c r="I8">
        <f>+MTS_results!V8</f>
        <v>0</v>
      </c>
      <c r="J8" s="127" t="e">
        <f t="shared" ref="J8:L8" si="12">+((I8-$M8)/$M8)*100</f>
        <v>#REF!</v>
      </c>
      <c r="K8" t="e">
        <f>+#REF!</f>
        <v>#REF!</v>
      </c>
      <c r="L8" s="127" t="e">
        <f t="shared" si="12"/>
        <v>#REF!</v>
      </c>
      <c r="M8" s="128" t="e">
        <f t="shared" si="4"/>
        <v>#REF!</v>
      </c>
      <c r="N8" t="e">
        <f t="shared" si="5"/>
        <v>#REF!</v>
      </c>
      <c r="P8" s="40">
        <f>+PSO_results!AB8</f>
        <v>0</v>
      </c>
      <c r="Q8" s="40">
        <f>+PSO_results!AC8</f>
        <v>0</v>
      </c>
      <c r="R8" s="40">
        <f>+PSO_results!AD8</f>
        <v>0</v>
      </c>
      <c r="S8" s="40">
        <f>+PSO_results!AE8</f>
        <v>0</v>
      </c>
      <c r="T8" s="40">
        <f>+PSO_results!AF8</f>
        <v>0</v>
      </c>
      <c r="U8">
        <f>+GA_results!AB8</f>
        <v>0</v>
      </c>
      <c r="V8">
        <f>+GA_results!AC8</f>
        <v>0</v>
      </c>
      <c r="W8">
        <f>+GA_results!AD8</f>
        <v>0</v>
      </c>
      <c r="X8">
        <f>+GA_results!AE8</f>
        <v>0</v>
      </c>
      <c r="Y8">
        <f>+GA_results!AF8</f>
        <v>0</v>
      </c>
      <c r="Z8">
        <f>+DE_results!AB8</f>
        <v>0</v>
      </c>
      <c r="AA8">
        <f>+DE_results!AC8</f>
        <v>0</v>
      </c>
      <c r="AB8">
        <f>+DE_results!AD8</f>
        <v>0</v>
      </c>
      <c r="AC8">
        <f>+DE_results!AE8</f>
        <v>0</v>
      </c>
      <c r="AD8">
        <f>+DE_results!AF8</f>
        <v>0</v>
      </c>
      <c r="AE8">
        <f>+MTS_results!AB8</f>
        <v>0</v>
      </c>
      <c r="AF8">
        <f>+MTS_results!AC8</f>
        <v>0</v>
      </c>
      <c r="AG8">
        <f>+MTS_results!AD8</f>
        <v>0</v>
      </c>
      <c r="AH8">
        <f>+MTS_results!AE8</f>
        <v>0</v>
      </c>
      <c r="AI8">
        <f>+MTS_results!AF8</f>
        <v>0</v>
      </c>
      <c r="AJ8" t="e">
        <f>+#REF!</f>
        <v>#REF!</v>
      </c>
      <c r="AK8" s="84" t="e">
        <f t="shared" si="6"/>
        <v>#REF!</v>
      </c>
    </row>
    <row r="9" spans="1:37">
      <c r="A9">
        <v>6</v>
      </c>
      <c r="B9">
        <v>1</v>
      </c>
      <c r="C9">
        <f>+PSO_results!V9</f>
        <v>0</v>
      </c>
      <c r="D9" s="127" t="e">
        <f t="shared" si="0"/>
        <v>#REF!</v>
      </c>
      <c r="E9">
        <f>+GA_results!V9</f>
        <v>0</v>
      </c>
      <c r="F9" s="127" t="e">
        <f t="shared" si="1"/>
        <v>#REF!</v>
      </c>
      <c r="G9">
        <f>+DE_results!V9</f>
        <v>0</v>
      </c>
      <c r="H9" s="127" t="e">
        <f t="shared" ref="H9" si="13">+((G9-$M9)/$M9)*100</f>
        <v>#REF!</v>
      </c>
      <c r="I9">
        <f>+MTS_results!V9</f>
        <v>0</v>
      </c>
      <c r="J9" s="127" t="e">
        <f t="shared" ref="J9:L9" si="14">+((I9-$M9)/$M9)*100</f>
        <v>#REF!</v>
      </c>
      <c r="K9" t="e">
        <f>+#REF!</f>
        <v>#REF!</v>
      </c>
      <c r="L9" s="127" t="e">
        <f t="shared" si="14"/>
        <v>#REF!</v>
      </c>
      <c r="M9" s="128" t="e">
        <f t="shared" si="4"/>
        <v>#REF!</v>
      </c>
      <c r="N9" t="e">
        <f t="shared" si="5"/>
        <v>#REF!</v>
      </c>
      <c r="P9" s="40">
        <f>+PSO_results!AB9</f>
        <v>0</v>
      </c>
      <c r="Q9" s="40">
        <f>+PSO_results!AC9</f>
        <v>0</v>
      </c>
      <c r="R9" s="40">
        <f>+PSO_results!AD9</f>
        <v>0</v>
      </c>
      <c r="S9" s="40">
        <f>+PSO_results!AE9</f>
        <v>0</v>
      </c>
      <c r="T9" s="40">
        <f>+PSO_results!AF9</f>
        <v>0</v>
      </c>
      <c r="U9">
        <f>+GA_results!AB9</f>
        <v>0</v>
      </c>
      <c r="V9">
        <f>+GA_results!AC9</f>
        <v>0</v>
      </c>
      <c r="W9">
        <f>+GA_results!AD9</f>
        <v>0</v>
      </c>
      <c r="X9">
        <f>+GA_results!AE9</f>
        <v>0</v>
      </c>
      <c r="Y9">
        <f>+GA_results!AF9</f>
        <v>0</v>
      </c>
      <c r="Z9">
        <f>+DE_results!AB9</f>
        <v>0</v>
      </c>
      <c r="AA9">
        <f>+DE_results!AC9</f>
        <v>0</v>
      </c>
      <c r="AB9">
        <f>+DE_results!AD9</f>
        <v>0</v>
      </c>
      <c r="AC9">
        <f>+DE_results!AE9</f>
        <v>0</v>
      </c>
      <c r="AD9">
        <f>+DE_results!AF9</f>
        <v>0</v>
      </c>
      <c r="AE9">
        <f>+MTS_results!AB9</f>
        <v>0</v>
      </c>
      <c r="AF9">
        <f>+MTS_results!AC9</f>
        <v>0</v>
      </c>
      <c r="AG9">
        <f>+MTS_results!AD9</f>
        <v>0</v>
      </c>
      <c r="AH9">
        <f>+MTS_results!AE9</f>
        <v>0</v>
      </c>
      <c r="AI9">
        <f>+MTS_results!AF9</f>
        <v>0</v>
      </c>
      <c r="AJ9" t="e">
        <f>+#REF!</f>
        <v>#REF!</v>
      </c>
      <c r="AK9" s="84" t="e">
        <f t="shared" si="6"/>
        <v>#REF!</v>
      </c>
    </row>
    <row r="10" spans="1:37">
      <c r="A10">
        <v>7</v>
      </c>
      <c r="B10">
        <v>1</v>
      </c>
      <c r="C10">
        <f>+PSO_results!V10</f>
        <v>0</v>
      </c>
      <c r="D10" s="127" t="e">
        <f t="shared" si="0"/>
        <v>#REF!</v>
      </c>
      <c r="E10">
        <f>+GA_results!V10</f>
        <v>0</v>
      </c>
      <c r="F10" s="127" t="e">
        <f t="shared" si="1"/>
        <v>#REF!</v>
      </c>
      <c r="G10">
        <f>+DE_results!V10</f>
        <v>0</v>
      </c>
      <c r="H10" s="127" t="e">
        <f t="shared" ref="H10" si="15">+((G10-$M10)/$M10)*100</f>
        <v>#REF!</v>
      </c>
      <c r="I10">
        <f>+MTS_results!V10</f>
        <v>0</v>
      </c>
      <c r="J10" s="127" t="e">
        <f t="shared" ref="J10:L10" si="16">+((I10-$M10)/$M10)*100</f>
        <v>#REF!</v>
      </c>
      <c r="K10" t="e">
        <f>+#REF!</f>
        <v>#REF!</v>
      </c>
      <c r="L10" s="127" t="e">
        <f t="shared" si="16"/>
        <v>#REF!</v>
      </c>
      <c r="M10" s="128" t="e">
        <f t="shared" si="4"/>
        <v>#REF!</v>
      </c>
      <c r="N10" t="e">
        <f t="shared" si="5"/>
        <v>#REF!</v>
      </c>
      <c r="P10" s="40">
        <f>+PSO_results!AB10</f>
        <v>0</v>
      </c>
      <c r="Q10" s="40">
        <f>+PSO_results!AC10</f>
        <v>0</v>
      </c>
      <c r="R10" s="40">
        <f>+PSO_results!AD10</f>
        <v>0</v>
      </c>
      <c r="S10" s="40">
        <f>+PSO_results!AE10</f>
        <v>0</v>
      </c>
      <c r="T10" s="40">
        <f>+PSO_results!AF10</f>
        <v>0</v>
      </c>
      <c r="U10">
        <f>+GA_results!AB10</f>
        <v>0</v>
      </c>
      <c r="V10">
        <f>+GA_results!AC10</f>
        <v>0</v>
      </c>
      <c r="W10">
        <f>+GA_results!AD10</f>
        <v>0</v>
      </c>
      <c r="X10">
        <f>+GA_results!AE10</f>
        <v>0</v>
      </c>
      <c r="Y10">
        <f>+GA_results!AF10</f>
        <v>0</v>
      </c>
      <c r="Z10">
        <f>+DE_results!AB10</f>
        <v>0</v>
      </c>
      <c r="AA10">
        <f>+DE_results!AC10</f>
        <v>0</v>
      </c>
      <c r="AB10">
        <f>+DE_results!AD10</f>
        <v>0</v>
      </c>
      <c r="AC10">
        <f>+DE_results!AE10</f>
        <v>0</v>
      </c>
      <c r="AD10">
        <f>+DE_results!AF10</f>
        <v>0</v>
      </c>
      <c r="AE10">
        <f>+MTS_results!AB10</f>
        <v>0</v>
      </c>
      <c r="AF10">
        <f>+MTS_results!AC10</f>
        <v>0</v>
      </c>
      <c r="AG10">
        <f>+MTS_results!AD10</f>
        <v>0</v>
      </c>
      <c r="AH10">
        <f>+MTS_results!AE10</f>
        <v>0</v>
      </c>
      <c r="AI10">
        <f>+MTS_results!AF10</f>
        <v>0</v>
      </c>
      <c r="AJ10" t="e">
        <f>+#REF!</f>
        <v>#REF!</v>
      </c>
      <c r="AK10" s="84" t="e">
        <f t="shared" si="6"/>
        <v>#REF!</v>
      </c>
    </row>
    <row r="11" spans="1:37">
      <c r="A11">
        <v>8</v>
      </c>
      <c r="B11">
        <v>1</v>
      </c>
      <c r="C11">
        <f>+PSO_results!V11</f>
        <v>0</v>
      </c>
      <c r="D11" s="127" t="e">
        <f t="shared" si="0"/>
        <v>#REF!</v>
      </c>
      <c r="E11">
        <f>+GA_results!V11</f>
        <v>0</v>
      </c>
      <c r="F11" s="127" t="e">
        <f t="shared" si="1"/>
        <v>#REF!</v>
      </c>
      <c r="G11">
        <f>+DE_results!V11</f>
        <v>0</v>
      </c>
      <c r="H11" s="127" t="e">
        <f t="shared" ref="H11" si="17">+((G11-$M11)/$M11)*100</f>
        <v>#REF!</v>
      </c>
      <c r="I11">
        <f>+MTS_results!V11</f>
        <v>0</v>
      </c>
      <c r="J11" s="127" t="e">
        <f t="shared" ref="J11:L11" si="18">+((I11-$M11)/$M11)*100</f>
        <v>#REF!</v>
      </c>
      <c r="K11" t="e">
        <f>+#REF!</f>
        <v>#REF!</v>
      </c>
      <c r="L11" s="127" t="e">
        <f t="shared" si="18"/>
        <v>#REF!</v>
      </c>
      <c r="M11" s="128" t="e">
        <f t="shared" si="4"/>
        <v>#REF!</v>
      </c>
      <c r="N11" t="e">
        <f t="shared" si="5"/>
        <v>#REF!</v>
      </c>
      <c r="P11" s="40">
        <f>+PSO_results!AB11</f>
        <v>0</v>
      </c>
      <c r="Q11" s="40">
        <f>+PSO_results!AC11</f>
        <v>0</v>
      </c>
      <c r="R11" s="40">
        <f>+PSO_results!AD11</f>
        <v>0</v>
      </c>
      <c r="S11" s="40">
        <f>+PSO_results!AE11</f>
        <v>0</v>
      </c>
      <c r="T11" s="40">
        <f>+PSO_results!AF11</f>
        <v>0</v>
      </c>
      <c r="U11">
        <f>+GA_results!AB11</f>
        <v>0</v>
      </c>
      <c r="V11">
        <f>+GA_results!AC11</f>
        <v>0</v>
      </c>
      <c r="W11">
        <f>+GA_results!AD11</f>
        <v>0</v>
      </c>
      <c r="X11">
        <f>+GA_results!AE11</f>
        <v>0</v>
      </c>
      <c r="Y11">
        <f>+GA_results!AF11</f>
        <v>0</v>
      </c>
      <c r="Z11">
        <f>+DE_results!AB11</f>
        <v>0</v>
      </c>
      <c r="AA11">
        <f>+DE_results!AC11</f>
        <v>0</v>
      </c>
      <c r="AB11">
        <f>+DE_results!AD11</f>
        <v>0</v>
      </c>
      <c r="AC11">
        <f>+DE_results!AE11</f>
        <v>0</v>
      </c>
      <c r="AD11">
        <f>+DE_results!AF11</f>
        <v>0</v>
      </c>
      <c r="AE11">
        <f>+MTS_results!AB11</f>
        <v>0</v>
      </c>
      <c r="AF11">
        <f>+MTS_results!AC11</f>
        <v>0</v>
      </c>
      <c r="AG11">
        <f>+MTS_results!AD11</f>
        <v>0</v>
      </c>
      <c r="AH11">
        <f>+MTS_results!AE11</f>
        <v>0</v>
      </c>
      <c r="AI11">
        <f>+MTS_results!AF11</f>
        <v>0</v>
      </c>
      <c r="AJ11" t="e">
        <f>+#REF!</f>
        <v>#REF!</v>
      </c>
      <c r="AK11" s="84" t="e">
        <f t="shared" si="6"/>
        <v>#REF!</v>
      </c>
    </row>
    <row r="12" spans="1:37">
      <c r="A12">
        <v>9</v>
      </c>
      <c r="B12">
        <v>1</v>
      </c>
      <c r="C12">
        <f>+PSO_results!V12</f>
        <v>0</v>
      </c>
      <c r="D12" s="127" t="e">
        <f t="shared" si="0"/>
        <v>#REF!</v>
      </c>
      <c r="E12">
        <f>+GA_results!V12</f>
        <v>0</v>
      </c>
      <c r="F12" s="127" t="e">
        <f t="shared" si="1"/>
        <v>#REF!</v>
      </c>
      <c r="G12">
        <f>+DE_results!V12</f>
        <v>0</v>
      </c>
      <c r="H12" s="127" t="e">
        <f t="shared" ref="H12" si="19">+((G12-$M12)/$M12)*100</f>
        <v>#REF!</v>
      </c>
      <c r="I12">
        <f>+MTS_results!V12</f>
        <v>0</v>
      </c>
      <c r="J12" s="127" t="e">
        <f t="shared" ref="J12:L12" si="20">+((I12-$M12)/$M12)*100</f>
        <v>#REF!</v>
      </c>
      <c r="K12" t="e">
        <f>+#REF!</f>
        <v>#REF!</v>
      </c>
      <c r="L12" s="127" t="e">
        <f t="shared" si="20"/>
        <v>#REF!</v>
      </c>
      <c r="M12" s="128" t="e">
        <f t="shared" si="4"/>
        <v>#REF!</v>
      </c>
      <c r="N12" t="e">
        <f t="shared" si="5"/>
        <v>#REF!</v>
      </c>
      <c r="P12" s="40">
        <f>+PSO_results!AB12</f>
        <v>0</v>
      </c>
      <c r="Q12" s="40">
        <f>+PSO_results!AC12</f>
        <v>0</v>
      </c>
      <c r="R12" s="40">
        <f>+PSO_results!AD12</f>
        <v>0</v>
      </c>
      <c r="S12" s="40">
        <f>+PSO_results!AE12</f>
        <v>0</v>
      </c>
      <c r="T12" s="40">
        <f>+PSO_results!AF12</f>
        <v>0</v>
      </c>
      <c r="U12">
        <f>+GA_results!AB12</f>
        <v>0</v>
      </c>
      <c r="V12">
        <f>+GA_results!AC12</f>
        <v>0</v>
      </c>
      <c r="W12">
        <f>+GA_results!AD12</f>
        <v>0</v>
      </c>
      <c r="X12">
        <f>+GA_results!AE12</f>
        <v>0</v>
      </c>
      <c r="Y12">
        <f>+GA_results!AF12</f>
        <v>0</v>
      </c>
      <c r="Z12">
        <f>+DE_results!AB12</f>
        <v>0</v>
      </c>
      <c r="AA12">
        <f>+DE_results!AC12</f>
        <v>0</v>
      </c>
      <c r="AB12">
        <f>+DE_results!AD12</f>
        <v>0</v>
      </c>
      <c r="AC12">
        <f>+DE_results!AE12</f>
        <v>0</v>
      </c>
      <c r="AD12">
        <f>+DE_results!AF12</f>
        <v>0</v>
      </c>
      <c r="AE12">
        <f>+MTS_results!AB12</f>
        <v>0</v>
      </c>
      <c r="AF12">
        <f>+MTS_results!AC12</f>
        <v>0</v>
      </c>
      <c r="AG12">
        <f>+MTS_results!AD12</f>
        <v>0</v>
      </c>
      <c r="AH12">
        <f>+MTS_results!AE12</f>
        <v>0</v>
      </c>
      <c r="AI12">
        <f>+MTS_results!AF12</f>
        <v>0</v>
      </c>
      <c r="AJ12" t="e">
        <f>+#REF!</f>
        <v>#REF!</v>
      </c>
      <c r="AK12" s="84" t="e">
        <f t="shared" si="6"/>
        <v>#REF!</v>
      </c>
    </row>
    <row r="13" spans="1:37">
      <c r="A13">
        <v>10</v>
      </c>
      <c r="B13">
        <v>1</v>
      </c>
      <c r="C13">
        <f>+PSO_results!V13</f>
        <v>0</v>
      </c>
      <c r="D13" s="127" t="e">
        <f t="shared" si="0"/>
        <v>#REF!</v>
      </c>
      <c r="E13">
        <f>+GA_results!V13</f>
        <v>0</v>
      </c>
      <c r="F13" s="127" t="e">
        <f t="shared" si="1"/>
        <v>#REF!</v>
      </c>
      <c r="G13">
        <f>+DE_results!V13</f>
        <v>0</v>
      </c>
      <c r="H13" s="127" t="e">
        <f t="shared" ref="H13" si="21">+((G13-$M13)/$M13)*100</f>
        <v>#REF!</v>
      </c>
      <c r="I13">
        <f>+MTS_results!V13</f>
        <v>0</v>
      </c>
      <c r="J13" s="127" t="e">
        <f t="shared" ref="J13:L13" si="22">+((I13-$M13)/$M13)*100</f>
        <v>#REF!</v>
      </c>
      <c r="K13" t="e">
        <f>+#REF!</f>
        <v>#REF!</v>
      </c>
      <c r="L13" s="127" t="e">
        <f t="shared" si="22"/>
        <v>#REF!</v>
      </c>
      <c r="M13" s="128" t="e">
        <f t="shared" si="4"/>
        <v>#REF!</v>
      </c>
      <c r="N13" t="e">
        <f t="shared" si="5"/>
        <v>#REF!</v>
      </c>
      <c r="P13" s="40">
        <f>+PSO_results!AB13</f>
        <v>0</v>
      </c>
      <c r="Q13" s="40">
        <f>+PSO_results!AC13</f>
        <v>0</v>
      </c>
      <c r="R13" s="40">
        <f>+PSO_results!AD13</f>
        <v>0</v>
      </c>
      <c r="S13" s="40">
        <f>+PSO_results!AE13</f>
        <v>0</v>
      </c>
      <c r="T13" s="40">
        <f>+PSO_results!AF13</f>
        <v>0</v>
      </c>
      <c r="U13">
        <f>+GA_results!AB13</f>
        <v>0</v>
      </c>
      <c r="V13">
        <f>+GA_results!AC13</f>
        <v>0</v>
      </c>
      <c r="W13">
        <f>+GA_results!AD13</f>
        <v>0</v>
      </c>
      <c r="X13">
        <f>+GA_results!AE13</f>
        <v>0</v>
      </c>
      <c r="Y13">
        <f>+GA_results!AF13</f>
        <v>0</v>
      </c>
      <c r="Z13">
        <f>+DE_results!AB13</f>
        <v>0</v>
      </c>
      <c r="AA13">
        <f>+DE_results!AC13</f>
        <v>0</v>
      </c>
      <c r="AB13">
        <f>+DE_results!AD13</f>
        <v>0</v>
      </c>
      <c r="AC13">
        <f>+DE_results!AE13</f>
        <v>0</v>
      </c>
      <c r="AD13">
        <f>+DE_results!AF13</f>
        <v>0</v>
      </c>
      <c r="AE13">
        <f>+MTS_results!AB13</f>
        <v>0</v>
      </c>
      <c r="AF13">
        <f>+MTS_results!AC13</f>
        <v>0</v>
      </c>
      <c r="AG13">
        <f>+MTS_results!AD13</f>
        <v>0</v>
      </c>
      <c r="AH13">
        <f>+MTS_results!AE13</f>
        <v>0</v>
      </c>
      <c r="AI13">
        <f>+MTS_results!AF13</f>
        <v>0</v>
      </c>
      <c r="AJ13" t="e">
        <f>+#REF!</f>
        <v>#REF!</v>
      </c>
      <c r="AK13" s="84" t="e">
        <f t="shared" si="6"/>
        <v>#REF!</v>
      </c>
    </row>
    <row r="14" spans="1:37">
      <c r="A14">
        <v>1</v>
      </c>
      <c r="B14">
        <v>2</v>
      </c>
      <c r="C14">
        <f>+PSO_results!V14</f>
        <v>0</v>
      </c>
      <c r="D14" s="127" t="e">
        <f t="shared" si="0"/>
        <v>#REF!</v>
      </c>
      <c r="E14">
        <f>+GA_results!V14</f>
        <v>0</v>
      </c>
      <c r="F14" s="127" t="e">
        <f t="shared" si="1"/>
        <v>#REF!</v>
      </c>
      <c r="G14">
        <f>+DE_results!V14</f>
        <v>0</v>
      </c>
      <c r="H14" s="127" t="e">
        <f t="shared" ref="H14" si="23">+((G14-$M14)/$M14)*100</f>
        <v>#REF!</v>
      </c>
      <c r="I14">
        <f>+MTS_results!V14</f>
        <v>0</v>
      </c>
      <c r="J14" s="127" t="e">
        <f t="shared" ref="J14:L14" si="24">+((I14-$M14)/$M14)*100</f>
        <v>#REF!</v>
      </c>
      <c r="K14" t="e">
        <f>+#REF!</f>
        <v>#REF!</v>
      </c>
      <c r="L14" s="127" t="e">
        <f t="shared" si="24"/>
        <v>#REF!</v>
      </c>
      <c r="M14" s="128" t="e">
        <f t="shared" si="4"/>
        <v>#REF!</v>
      </c>
      <c r="N14" t="e">
        <f t="shared" si="5"/>
        <v>#REF!</v>
      </c>
      <c r="P14" s="40">
        <f>+PSO_results!AB14</f>
        <v>0</v>
      </c>
      <c r="Q14" s="40">
        <f>+PSO_results!AC14</f>
        <v>0</v>
      </c>
      <c r="R14" s="40">
        <f>+PSO_results!AD14</f>
        <v>0</v>
      </c>
      <c r="S14" s="40">
        <f>+PSO_results!AE14</f>
        <v>0</v>
      </c>
      <c r="T14" s="40">
        <f>+PSO_results!AF14</f>
        <v>0</v>
      </c>
      <c r="U14">
        <f>+GA_results!AB14</f>
        <v>0</v>
      </c>
      <c r="V14">
        <f>+GA_results!AC14</f>
        <v>0</v>
      </c>
      <c r="W14">
        <f>+GA_results!AD14</f>
        <v>0</v>
      </c>
      <c r="X14">
        <f>+GA_results!AE14</f>
        <v>0</v>
      </c>
      <c r="Y14">
        <f>+GA_results!AF14</f>
        <v>0</v>
      </c>
      <c r="Z14">
        <f>+DE_results!AB14</f>
        <v>0</v>
      </c>
      <c r="AA14">
        <f>+DE_results!AC14</f>
        <v>0</v>
      </c>
      <c r="AB14">
        <f>+DE_results!AD14</f>
        <v>0</v>
      </c>
      <c r="AC14">
        <f>+DE_results!AE14</f>
        <v>0</v>
      </c>
      <c r="AD14">
        <f>+DE_results!AF14</f>
        <v>0</v>
      </c>
      <c r="AE14">
        <f>+MTS_results!AB14</f>
        <v>0</v>
      </c>
      <c r="AF14">
        <f>+MTS_results!AC14</f>
        <v>0</v>
      </c>
      <c r="AG14">
        <f>+MTS_results!AD14</f>
        <v>0</v>
      </c>
      <c r="AH14">
        <f>+MTS_results!AE14</f>
        <v>0</v>
      </c>
      <c r="AI14">
        <f>+MTS_results!AF14</f>
        <v>0</v>
      </c>
      <c r="AJ14" t="e">
        <f>+#REF!</f>
        <v>#REF!</v>
      </c>
      <c r="AK14" s="84" t="e">
        <f t="shared" si="6"/>
        <v>#REF!</v>
      </c>
    </row>
    <row r="15" spans="1:37">
      <c r="A15">
        <v>2</v>
      </c>
      <c r="B15">
        <v>2</v>
      </c>
      <c r="C15">
        <f>+PSO_results!V15</f>
        <v>0</v>
      </c>
      <c r="D15" s="127" t="e">
        <f t="shared" si="0"/>
        <v>#REF!</v>
      </c>
      <c r="E15">
        <f>+GA_results!V15</f>
        <v>0</v>
      </c>
      <c r="F15" s="127" t="e">
        <f t="shared" si="1"/>
        <v>#REF!</v>
      </c>
      <c r="G15">
        <f>+DE_results!V15</f>
        <v>0</v>
      </c>
      <c r="H15" s="127" t="e">
        <f t="shared" ref="H15" si="25">+((G15-$M15)/$M15)*100</f>
        <v>#REF!</v>
      </c>
      <c r="I15">
        <f>+MTS_results!V15</f>
        <v>0</v>
      </c>
      <c r="J15" s="127" t="e">
        <f t="shared" ref="J15:L15" si="26">+((I15-$M15)/$M15)*100</f>
        <v>#REF!</v>
      </c>
      <c r="K15" t="e">
        <f>+#REF!</f>
        <v>#REF!</v>
      </c>
      <c r="L15" s="127" t="e">
        <f t="shared" si="26"/>
        <v>#REF!</v>
      </c>
      <c r="M15" s="128" t="e">
        <f t="shared" si="4"/>
        <v>#REF!</v>
      </c>
      <c r="N15" t="e">
        <f t="shared" si="5"/>
        <v>#REF!</v>
      </c>
      <c r="P15" s="40">
        <f>+PSO_results!AB15</f>
        <v>0</v>
      </c>
      <c r="Q15" s="40">
        <f>+PSO_results!AC15</f>
        <v>0</v>
      </c>
      <c r="R15" s="40">
        <f>+PSO_results!AD15</f>
        <v>0</v>
      </c>
      <c r="S15" s="40">
        <f>+PSO_results!AE15</f>
        <v>0</v>
      </c>
      <c r="T15" s="40">
        <f>+PSO_results!AF15</f>
        <v>0</v>
      </c>
      <c r="U15">
        <f>+GA_results!AB15</f>
        <v>0</v>
      </c>
      <c r="V15">
        <f>+GA_results!AC15</f>
        <v>0</v>
      </c>
      <c r="W15">
        <f>+GA_results!AD15</f>
        <v>0</v>
      </c>
      <c r="X15">
        <f>+GA_results!AE15</f>
        <v>0</v>
      </c>
      <c r="Y15">
        <f>+GA_results!AF15</f>
        <v>0</v>
      </c>
      <c r="Z15">
        <f>+DE_results!AB15</f>
        <v>0</v>
      </c>
      <c r="AA15">
        <f>+DE_results!AC15</f>
        <v>0</v>
      </c>
      <c r="AB15">
        <f>+DE_results!AD15</f>
        <v>0</v>
      </c>
      <c r="AC15">
        <f>+DE_results!AE15</f>
        <v>0</v>
      </c>
      <c r="AD15">
        <f>+DE_results!AF15</f>
        <v>0</v>
      </c>
      <c r="AE15">
        <f>+MTS_results!AB15</f>
        <v>0</v>
      </c>
      <c r="AF15">
        <f>+MTS_results!AC15</f>
        <v>0</v>
      </c>
      <c r="AG15">
        <f>+MTS_results!AD15</f>
        <v>0</v>
      </c>
      <c r="AH15">
        <f>+MTS_results!AE15</f>
        <v>0</v>
      </c>
      <c r="AI15">
        <f>+MTS_results!AF15</f>
        <v>0</v>
      </c>
      <c r="AJ15" t="e">
        <f>+#REF!</f>
        <v>#REF!</v>
      </c>
      <c r="AK15" s="84" t="e">
        <f t="shared" si="6"/>
        <v>#REF!</v>
      </c>
    </row>
    <row r="16" spans="1:37">
      <c r="A16">
        <v>3</v>
      </c>
      <c r="B16">
        <v>2</v>
      </c>
      <c r="C16">
        <f>+PSO_results!V16</f>
        <v>0</v>
      </c>
      <c r="D16" s="127" t="e">
        <f t="shared" si="0"/>
        <v>#REF!</v>
      </c>
      <c r="E16">
        <f>+GA_results!V16</f>
        <v>0</v>
      </c>
      <c r="F16" s="127" t="e">
        <f t="shared" si="1"/>
        <v>#REF!</v>
      </c>
      <c r="G16">
        <f>+DE_results!V16</f>
        <v>0</v>
      </c>
      <c r="H16" s="127" t="e">
        <f t="shared" ref="H16" si="27">+((G16-$M16)/$M16)*100</f>
        <v>#REF!</v>
      </c>
      <c r="I16">
        <f>+MTS_results!V16</f>
        <v>0</v>
      </c>
      <c r="J16" s="127" t="e">
        <f t="shared" ref="J16:L16" si="28">+((I16-$M16)/$M16)*100</f>
        <v>#REF!</v>
      </c>
      <c r="K16" t="e">
        <f>+#REF!</f>
        <v>#REF!</v>
      </c>
      <c r="L16" s="127" t="e">
        <f t="shared" si="28"/>
        <v>#REF!</v>
      </c>
      <c r="M16" s="128" t="e">
        <f t="shared" si="4"/>
        <v>#REF!</v>
      </c>
      <c r="N16" t="e">
        <f t="shared" si="5"/>
        <v>#REF!</v>
      </c>
      <c r="P16" s="40">
        <f>+PSO_results!AB16</f>
        <v>0</v>
      </c>
      <c r="Q16" s="40">
        <f>+PSO_results!AC16</f>
        <v>0</v>
      </c>
      <c r="R16" s="40">
        <f>+PSO_results!AD16</f>
        <v>0</v>
      </c>
      <c r="S16" s="40">
        <f>+PSO_results!AE16</f>
        <v>0</v>
      </c>
      <c r="T16" s="40">
        <f>+PSO_results!AF16</f>
        <v>0</v>
      </c>
      <c r="U16">
        <f>+GA_results!AB16</f>
        <v>0</v>
      </c>
      <c r="V16">
        <f>+GA_results!AC16</f>
        <v>0</v>
      </c>
      <c r="W16">
        <f>+GA_results!AD16</f>
        <v>0</v>
      </c>
      <c r="X16">
        <f>+GA_results!AE16</f>
        <v>0</v>
      </c>
      <c r="Y16">
        <f>+GA_results!AF16</f>
        <v>0</v>
      </c>
      <c r="Z16">
        <f>+DE_results!AB16</f>
        <v>0</v>
      </c>
      <c r="AA16">
        <f>+DE_results!AC16</f>
        <v>0</v>
      </c>
      <c r="AB16">
        <f>+DE_results!AD16</f>
        <v>0</v>
      </c>
      <c r="AC16">
        <f>+DE_results!AE16</f>
        <v>0</v>
      </c>
      <c r="AD16">
        <f>+DE_results!AF16</f>
        <v>0</v>
      </c>
      <c r="AE16">
        <f>+MTS_results!AB16</f>
        <v>0</v>
      </c>
      <c r="AF16">
        <f>+MTS_results!AC16</f>
        <v>0</v>
      </c>
      <c r="AG16">
        <f>+MTS_results!AD16</f>
        <v>0</v>
      </c>
      <c r="AH16">
        <f>+MTS_results!AE16</f>
        <v>0</v>
      </c>
      <c r="AI16">
        <f>+MTS_results!AF16</f>
        <v>0</v>
      </c>
      <c r="AJ16" t="e">
        <f>+#REF!</f>
        <v>#REF!</v>
      </c>
      <c r="AK16" s="84" t="e">
        <f t="shared" si="6"/>
        <v>#REF!</v>
      </c>
    </row>
    <row r="17" spans="1:37">
      <c r="A17">
        <v>4</v>
      </c>
      <c r="B17">
        <v>2</v>
      </c>
      <c r="C17">
        <f>+PSO_results!V17</f>
        <v>0</v>
      </c>
      <c r="D17" s="127" t="e">
        <f t="shared" si="0"/>
        <v>#REF!</v>
      </c>
      <c r="E17">
        <f>+GA_results!V17</f>
        <v>0</v>
      </c>
      <c r="F17" s="127" t="e">
        <f t="shared" si="1"/>
        <v>#REF!</v>
      </c>
      <c r="G17">
        <f>+DE_results!V17</f>
        <v>0</v>
      </c>
      <c r="H17" s="127" t="e">
        <f t="shared" ref="H17" si="29">+((G17-$M17)/$M17)*100</f>
        <v>#REF!</v>
      </c>
      <c r="I17">
        <f>+MTS_results!V17</f>
        <v>0</v>
      </c>
      <c r="J17" s="127" t="e">
        <f t="shared" ref="J17:L17" si="30">+((I17-$M17)/$M17)*100</f>
        <v>#REF!</v>
      </c>
      <c r="K17" t="e">
        <f>+#REF!</f>
        <v>#REF!</v>
      </c>
      <c r="L17" s="127" t="e">
        <f t="shared" si="30"/>
        <v>#REF!</v>
      </c>
      <c r="M17" s="128" t="e">
        <f t="shared" si="4"/>
        <v>#REF!</v>
      </c>
      <c r="N17" t="e">
        <f t="shared" si="5"/>
        <v>#REF!</v>
      </c>
      <c r="P17" s="40">
        <f>+PSO_results!AB17</f>
        <v>0</v>
      </c>
      <c r="Q17" s="40">
        <f>+PSO_results!AC17</f>
        <v>0</v>
      </c>
      <c r="R17" s="40">
        <f>+PSO_results!AD17</f>
        <v>0</v>
      </c>
      <c r="S17" s="40">
        <f>+PSO_results!AE17</f>
        <v>0</v>
      </c>
      <c r="T17" s="40">
        <f>+PSO_results!AF17</f>
        <v>0</v>
      </c>
      <c r="U17">
        <f>+GA_results!AB17</f>
        <v>0</v>
      </c>
      <c r="V17">
        <f>+GA_results!AC17</f>
        <v>0</v>
      </c>
      <c r="W17">
        <f>+GA_results!AD17</f>
        <v>0</v>
      </c>
      <c r="X17">
        <f>+GA_results!AE17</f>
        <v>0</v>
      </c>
      <c r="Y17">
        <f>+GA_results!AF17</f>
        <v>0</v>
      </c>
      <c r="Z17">
        <f>+DE_results!AB17</f>
        <v>0</v>
      </c>
      <c r="AA17">
        <f>+DE_results!AC17</f>
        <v>0</v>
      </c>
      <c r="AB17">
        <f>+DE_results!AD17</f>
        <v>0</v>
      </c>
      <c r="AC17">
        <f>+DE_results!AE17</f>
        <v>0</v>
      </c>
      <c r="AD17">
        <f>+DE_results!AF17</f>
        <v>0</v>
      </c>
      <c r="AE17">
        <f>+MTS_results!AB17</f>
        <v>0</v>
      </c>
      <c r="AF17">
        <f>+MTS_results!AC17</f>
        <v>0</v>
      </c>
      <c r="AG17">
        <f>+MTS_results!AD17</f>
        <v>0</v>
      </c>
      <c r="AH17">
        <f>+MTS_results!AE17</f>
        <v>0</v>
      </c>
      <c r="AI17">
        <f>+MTS_results!AF17</f>
        <v>0</v>
      </c>
      <c r="AJ17" t="e">
        <f>+#REF!</f>
        <v>#REF!</v>
      </c>
      <c r="AK17" s="84" t="e">
        <f t="shared" si="6"/>
        <v>#REF!</v>
      </c>
    </row>
    <row r="18" spans="1:37">
      <c r="A18">
        <v>5</v>
      </c>
      <c r="B18">
        <v>2</v>
      </c>
      <c r="C18">
        <f>+PSO_results!V18</f>
        <v>0</v>
      </c>
      <c r="D18" s="127" t="e">
        <f t="shared" si="0"/>
        <v>#REF!</v>
      </c>
      <c r="E18">
        <f>+GA_results!V18</f>
        <v>0</v>
      </c>
      <c r="F18" s="127" t="e">
        <f t="shared" si="1"/>
        <v>#REF!</v>
      </c>
      <c r="G18">
        <f>+DE_results!V18</f>
        <v>0</v>
      </c>
      <c r="H18" s="127" t="e">
        <f t="shared" ref="H18" si="31">+((G18-$M18)/$M18)*100</f>
        <v>#REF!</v>
      </c>
      <c r="I18">
        <f>+MTS_results!V18</f>
        <v>0</v>
      </c>
      <c r="J18" s="127" t="e">
        <f t="shared" ref="J18:L18" si="32">+((I18-$M18)/$M18)*100</f>
        <v>#REF!</v>
      </c>
      <c r="K18" t="e">
        <f>+#REF!</f>
        <v>#REF!</v>
      </c>
      <c r="L18" s="127" t="e">
        <f t="shared" si="32"/>
        <v>#REF!</v>
      </c>
      <c r="M18" s="128" t="e">
        <f t="shared" si="4"/>
        <v>#REF!</v>
      </c>
      <c r="N18" t="e">
        <f t="shared" si="5"/>
        <v>#REF!</v>
      </c>
      <c r="P18" s="40">
        <f>+PSO_results!AB18</f>
        <v>0</v>
      </c>
      <c r="Q18" s="40">
        <f>+PSO_results!AC18</f>
        <v>0</v>
      </c>
      <c r="R18" s="40">
        <f>+PSO_results!AD18</f>
        <v>0</v>
      </c>
      <c r="S18" s="40">
        <f>+PSO_results!AE18</f>
        <v>0</v>
      </c>
      <c r="T18" s="40">
        <f>+PSO_results!AF18</f>
        <v>0</v>
      </c>
      <c r="U18">
        <f>+GA_results!AB18</f>
        <v>0</v>
      </c>
      <c r="V18">
        <f>+GA_results!AC18</f>
        <v>0</v>
      </c>
      <c r="W18">
        <f>+GA_results!AD18</f>
        <v>0</v>
      </c>
      <c r="X18">
        <f>+GA_results!AE18</f>
        <v>0</v>
      </c>
      <c r="Y18">
        <f>+GA_results!AF18</f>
        <v>0</v>
      </c>
      <c r="Z18">
        <f>+DE_results!AB18</f>
        <v>0</v>
      </c>
      <c r="AA18">
        <f>+DE_results!AC18</f>
        <v>0</v>
      </c>
      <c r="AB18">
        <f>+DE_results!AD18</f>
        <v>0</v>
      </c>
      <c r="AC18">
        <f>+DE_results!AE18</f>
        <v>0</v>
      </c>
      <c r="AD18">
        <f>+DE_results!AF18</f>
        <v>0</v>
      </c>
      <c r="AE18">
        <f>+MTS_results!AB18</f>
        <v>0</v>
      </c>
      <c r="AF18">
        <f>+MTS_results!AC18</f>
        <v>0</v>
      </c>
      <c r="AG18">
        <f>+MTS_results!AD18</f>
        <v>0</v>
      </c>
      <c r="AH18">
        <f>+MTS_results!AE18</f>
        <v>0</v>
      </c>
      <c r="AI18">
        <f>+MTS_results!AF18</f>
        <v>0</v>
      </c>
      <c r="AJ18" t="e">
        <f>+#REF!</f>
        <v>#REF!</v>
      </c>
      <c r="AK18" s="84" t="e">
        <f t="shared" si="6"/>
        <v>#REF!</v>
      </c>
    </row>
    <row r="19" spans="1:37">
      <c r="A19">
        <v>6</v>
      </c>
      <c r="B19">
        <v>2</v>
      </c>
      <c r="C19">
        <f>+PSO_results!V19</f>
        <v>0</v>
      </c>
      <c r="D19" s="127" t="e">
        <f t="shared" si="0"/>
        <v>#REF!</v>
      </c>
      <c r="E19">
        <f>+GA_results!V19</f>
        <v>0</v>
      </c>
      <c r="F19" s="127" t="e">
        <f t="shared" si="1"/>
        <v>#REF!</v>
      </c>
      <c r="G19">
        <f>+DE_results!V19</f>
        <v>0</v>
      </c>
      <c r="H19" s="127" t="e">
        <f t="shared" ref="H19" si="33">+((G19-$M19)/$M19)*100</f>
        <v>#REF!</v>
      </c>
      <c r="I19">
        <f>+MTS_results!V19</f>
        <v>0</v>
      </c>
      <c r="J19" s="127" t="e">
        <f t="shared" ref="J19:L19" si="34">+((I19-$M19)/$M19)*100</f>
        <v>#REF!</v>
      </c>
      <c r="K19" t="e">
        <f>+#REF!</f>
        <v>#REF!</v>
      </c>
      <c r="L19" s="127" t="e">
        <f t="shared" si="34"/>
        <v>#REF!</v>
      </c>
      <c r="M19" s="128" t="e">
        <f t="shared" si="4"/>
        <v>#REF!</v>
      </c>
      <c r="N19" t="e">
        <f t="shared" si="5"/>
        <v>#REF!</v>
      </c>
      <c r="P19" s="40">
        <f>+PSO_results!AB19</f>
        <v>0</v>
      </c>
      <c r="Q19" s="40">
        <f>+PSO_results!AC19</f>
        <v>0</v>
      </c>
      <c r="R19" s="40">
        <f>+PSO_results!AD19</f>
        <v>0</v>
      </c>
      <c r="S19" s="40">
        <f>+PSO_results!AE19</f>
        <v>0</v>
      </c>
      <c r="T19" s="40">
        <f>+PSO_results!AF19</f>
        <v>0</v>
      </c>
      <c r="U19">
        <f>+GA_results!AB19</f>
        <v>0</v>
      </c>
      <c r="V19">
        <f>+GA_results!AC19</f>
        <v>0</v>
      </c>
      <c r="W19">
        <f>+GA_results!AD19</f>
        <v>0</v>
      </c>
      <c r="X19">
        <f>+GA_results!AE19</f>
        <v>0</v>
      </c>
      <c r="Y19">
        <f>+GA_results!AF19</f>
        <v>0</v>
      </c>
      <c r="Z19">
        <f>+DE_results!AB19</f>
        <v>0</v>
      </c>
      <c r="AA19">
        <f>+DE_results!AC19</f>
        <v>0</v>
      </c>
      <c r="AB19">
        <f>+DE_results!AD19</f>
        <v>0</v>
      </c>
      <c r="AC19">
        <f>+DE_results!AE19</f>
        <v>0</v>
      </c>
      <c r="AD19">
        <f>+DE_results!AF19</f>
        <v>0</v>
      </c>
      <c r="AE19">
        <f>+MTS_results!AB19</f>
        <v>0</v>
      </c>
      <c r="AF19">
        <f>+MTS_results!AC19</f>
        <v>0</v>
      </c>
      <c r="AG19">
        <f>+MTS_results!AD19</f>
        <v>0</v>
      </c>
      <c r="AH19">
        <f>+MTS_results!AE19</f>
        <v>0</v>
      </c>
      <c r="AI19">
        <f>+MTS_results!AF19</f>
        <v>0</v>
      </c>
      <c r="AJ19" t="e">
        <f>+#REF!</f>
        <v>#REF!</v>
      </c>
      <c r="AK19" s="84" t="e">
        <f t="shared" si="6"/>
        <v>#REF!</v>
      </c>
    </row>
    <row r="20" spans="1:37">
      <c r="A20">
        <v>7</v>
      </c>
      <c r="B20">
        <v>2</v>
      </c>
      <c r="C20">
        <f>+PSO_results!V20</f>
        <v>0</v>
      </c>
      <c r="D20" s="127" t="e">
        <f t="shared" si="0"/>
        <v>#REF!</v>
      </c>
      <c r="E20">
        <f>+GA_results!V20</f>
        <v>0</v>
      </c>
      <c r="F20" s="127" t="e">
        <f t="shared" si="1"/>
        <v>#REF!</v>
      </c>
      <c r="G20">
        <f>+DE_results!V20</f>
        <v>0</v>
      </c>
      <c r="H20" s="127" t="e">
        <f t="shared" ref="H20" si="35">+((G20-$M20)/$M20)*100</f>
        <v>#REF!</v>
      </c>
      <c r="I20">
        <f>+MTS_results!V20</f>
        <v>0</v>
      </c>
      <c r="J20" s="127" t="e">
        <f t="shared" ref="J20:L20" si="36">+((I20-$M20)/$M20)*100</f>
        <v>#REF!</v>
      </c>
      <c r="K20" t="e">
        <f>+#REF!</f>
        <v>#REF!</v>
      </c>
      <c r="L20" s="127" t="e">
        <f t="shared" si="36"/>
        <v>#REF!</v>
      </c>
      <c r="M20" s="128" t="e">
        <f t="shared" si="4"/>
        <v>#REF!</v>
      </c>
      <c r="N20" t="e">
        <f t="shared" si="5"/>
        <v>#REF!</v>
      </c>
      <c r="P20" s="40">
        <f>+PSO_results!AB20</f>
        <v>0</v>
      </c>
      <c r="Q20" s="40">
        <f>+PSO_results!AC20</f>
        <v>0</v>
      </c>
      <c r="R20" s="40">
        <f>+PSO_results!AD20</f>
        <v>0</v>
      </c>
      <c r="S20" s="40">
        <f>+PSO_results!AE20</f>
        <v>0</v>
      </c>
      <c r="T20" s="40">
        <f>+PSO_results!AF20</f>
        <v>0</v>
      </c>
      <c r="U20">
        <f>+GA_results!AB20</f>
        <v>0</v>
      </c>
      <c r="V20">
        <f>+GA_results!AC20</f>
        <v>0</v>
      </c>
      <c r="W20">
        <f>+GA_results!AD20</f>
        <v>0</v>
      </c>
      <c r="X20">
        <f>+GA_results!AE20</f>
        <v>0</v>
      </c>
      <c r="Y20">
        <f>+GA_results!AF20</f>
        <v>0</v>
      </c>
      <c r="Z20">
        <f>+DE_results!AB20</f>
        <v>0</v>
      </c>
      <c r="AA20">
        <f>+DE_results!AC20</f>
        <v>0</v>
      </c>
      <c r="AB20">
        <f>+DE_results!AD20</f>
        <v>0</v>
      </c>
      <c r="AC20">
        <f>+DE_results!AE20</f>
        <v>0</v>
      </c>
      <c r="AD20">
        <f>+DE_results!AF20</f>
        <v>0</v>
      </c>
      <c r="AE20">
        <f>+MTS_results!AB20</f>
        <v>0</v>
      </c>
      <c r="AF20">
        <f>+MTS_results!AC20</f>
        <v>0</v>
      </c>
      <c r="AG20">
        <f>+MTS_results!AD20</f>
        <v>0</v>
      </c>
      <c r="AH20">
        <f>+MTS_results!AE20</f>
        <v>0</v>
      </c>
      <c r="AI20">
        <f>+MTS_results!AF20</f>
        <v>0</v>
      </c>
      <c r="AJ20" t="e">
        <f>+#REF!</f>
        <v>#REF!</v>
      </c>
      <c r="AK20" s="84" t="e">
        <f t="shared" si="6"/>
        <v>#REF!</v>
      </c>
    </row>
    <row r="21" spans="1:37">
      <c r="A21">
        <v>8</v>
      </c>
      <c r="B21">
        <v>2</v>
      </c>
      <c r="C21">
        <f>+PSO_results!V21</f>
        <v>0</v>
      </c>
      <c r="D21" s="127" t="e">
        <f t="shared" si="0"/>
        <v>#REF!</v>
      </c>
      <c r="E21">
        <f>+GA_results!V21</f>
        <v>0</v>
      </c>
      <c r="F21" s="127" t="e">
        <f t="shared" si="1"/>
        <v>#REF!</v>
      </c>
      <c r="G21">
        <f>+DE_results!V21</f>
        <v>0</v>
      </c>
      <c r="H21" s="127" t="e">
        <f t="shared" ref="H21" si="37">+((G21-$M21)/$M21)*100</f>
        <v>#REF!</v>
      </c>
      <c r="I21">
        <f>+MTS_results!V21</f>
        <v>0</v>
      </c>
      <c r="J21" s="127" t="e">
        <f t="shared" ref="J21:L21" si="38">+((I21-$M21)/$M21)*100</f>
        <v>#REF!</v>
      </c>
      <c r="K21" t="e">
        <f>+#REF!</f>
        <v>#REF!</v>
      </c>
      <c r="L21" s="127" t="e">
        <f t="shared" si="38"/>
        <v>#REF!</v>
      </c>
      <c r="M21" s="128" t="e">
        <f t="shared" si="4"/>
        <v>#REF!</v>
      </c>
      <c r="N21" t="e">
        <f t="shared" si="5"/>
        <v>#REF!</v>
      </c>
      <c r="P21" s="40">
        <f>+PSO_results!AB21</f>
        <v>0</v>
      </c>
      <c r="Q21" s="40">
        <f>+PSO_results!AC21</f>
        <v>0</v>
      </c>
      <c r="R21" s="40">
        <f>+PSO_results!AD21</f>
        <v>0</v>
      </c>
      <c r="S21" s="40">
        <f>+PSO_results!AE21</f>
        <v>0</v>
      </c>
      <c r="T21" s="40">
        <f>+PSO_results!AF21</f>
        <v>0</v>
      </c>
      <c r="U21">
        <f>+GA_results!AB21</f>
        <v>0</v>
      </c>
      <c r="V21">
        <f>+GA_results!AC21</f>
        <v>0</v>
      </c>
      <c r="W21">
        <f>+GA_results!AD21</f>
        <v>0</v>
      </c>
      <c r="X21">
        <f>+GA_results!AE21</f>
        <v>0</v>
      </c>
      <c r="Y21">
        <f>+GA_results!AF21</f>
        <v>0</v>
      </c>
      <c r="Z21">
        <f>+DE_results!AB21</f>
        <v>0</v>
      </c>
      <c r="AA21">
        <f>+DE_results!AC21</f>
        <v>0</v>
      </c>
      <c r="AB21">
        <f>+DE_results!AD21</f>
        <v>0</v>
      </c>
      <c r="AC21">
        <f>+DE_results!AE21</f>
        <v>0</v>
      </c>
      <c r="AD21">
        <f>+DE_results!AF21</f>
        <v>0</v>
      </c>
      <c r="AE21">
        <f>+MTS_results!AB21</f>
        <v>0</v>
      </c>
      <c r="AF21">
        <f>+MTS_results!AC21</f>
        <v>0</v>
      </c>
      <c r="AG21">
        <f>+MTS_results!AD21</f>
        <v>0</v>
      </c>
      <c r="AH21">
        <f>+MTS_results!AE21</f>
        <v>0</v>
      </c>
      <c r="AI21">
        <f>+MTS_results!AF21</f>
        <v>0</v>
      </c>
      <c r="AJ21" t="e">
        <f>+#REF!</f>
        <v>#REF!</v>
      </c>
      <c r="AK21" s="84" t="e">
        <f t="shared" si="6"/>
        <v>#REF!</v>
      </c>
    </row>
    <row r="22" spans="1:37">
      <c r="A22">
        <v>9</v>
      </c>
      <c r="B22">
        <v>2</v>
      </c>
      <c r="C22">
        <f>+PSO_results!V22</f>
        <v>0</v>
      </c>
      <c r="D22" s="127" t="e">
        <f t="shared" si="0"/>
        <v>#REF!</v>
      </c>
      <c r="E22">
        <f>+GA_results!V22</f>
        <v>0</v>
      </c>
      <c r="F22" s="127" t="e">
        <f t="shared" si="1"/>
        <v>#REF!</v>
      </c>
      <c r="G22">
        <f>+DE_results!V22</f>
        <v>0</v>
      </c>
      <c r="H22" s="127" t="e">
        <f t="shared" ref="H22" si="39">+((G22-$M22)/$M22)*100</f>
        <v>#REF!</v>
      </c>
      <c r="I22">
        <f>+MTS_results!V22</f>
        <v>0</v>
      </c>
      <c r="J22" s="127" t="e">
        <f t="shared" ref="J22:L22" si="40">+((I22-$M22)/$M22)*100</f>
        <v>#REF!</v>
      </c>
      <c r="K22" t="e">
        <f>+#REF!</f>
        <v>#REF!</v>
      </c>
      <c r="L22" s="127" t="e">
        <f t="shared" si="40"/>
        <v>#REF!</v>
      </c>
      <c r="M22" s="128" t="e">
        <f t="shared" si="4"/>
        <v>#REF!</v>
      </c>
      <c r="N22" t="e">
        <f t="shared" si="5"/>
        <v>#REF!</v>
      </c>
      <c r="P22" s="40">
        <f>+PSO_results!AB22</f>
        <v>0</v>
      </c>
      <c r="Q22" s="40">
        <f>+PSO_results!AC22</f>
        <v>0</v>
      </c>
      <c r="R22" s="40">
        <f>+PSO_results!AD22</f>
        <v>0</v>
      </c>
      <c r="S22" s="40">
        <f>+PSO_results!AE22</f>
        <v>0</v>
      </c>
      <c r="T22" s="40">
        <f>+PSO_results!AF22</f>
        <v>0</v>
      </c>
      <c r="U22">
        <f>+GA_results!AB22</f>
        <v>0</v>
      </c>
      <c r="V22">
        <f>+GA_results!AC22</f>
        <v>0</v>
      </c>
      <c r="W22">
        <f>+GA_results!AD22</f>
        <v>0</v>
      </c>
      <c r="X22">
        <f>+GA_results!AE22</f>
        <v>0</v>
      </c>
      <c r="Y22">
        <f>+GA_results!AF22</f>
        <v>0</v>
      </c>
      <c r="Z22">
        <f>+DE_results!AB22</f>
        <v>0</v>
      </c>
      <c r="AA22">
        <f>+DE_results!AC22</f>
        <v>0</v>
      </c>
      <c r="AB22">
        <f>+DE_results!AD22</f>
        <v>0</v>
      </c>
      <c r="AC22">
        <f>+DE_results!AE22</f>
        <v>0</v>
      </c>
      <c r="AD22">
        <f>+DE_results!AF22</f>
        <v>0</v>
      </c>
      <c r="AE22">
        <f>+MTS_results!AB22</f>
        <v>0</v>
      </c>
      <c r="AF22">
        <f>+MTS_results!AC22</f>
        <v>0</v>
      </c>
      <c r="AG22">
        <f>+MTS_results!AD22</f>
        <v>0</v>
      </c>
      <c r="AH22">
        <f>+MTS_results!AE22</f>
        <v>0</v>
      </c>
      <c r="AI22">
        <f>+MTS_results!AF22</f>
        <v>0</v>
      </c>
      <c r="AJ22" t="e">
        <f>+#REF!</f>
        <v>#REF!</v>
      </c>
      <c r="AK22" s="84" t="e">
        <f t="shared" si="6"/>
        <v>#REF!</v>
      </c>
    </row>
    <row r="23" spans="1:37">
      <c r="A23">
        <v>11</v>
      </c>
      <c r="B23">
        <v>1</v>
      </c>
      <c r="C23">
        <f>+PSO_results!V23</f>
        <v>0</v>
      </c>
      <c r="D23" s="127" t="e">
        <f t="shared" si="0"/>
        <v>#REF!</v>
      </c>
      <c r="E23">
        <f>+GA_results!V23</f>
        <v>0</v>
      </c>
      <c r="F23" s="127" t="e">
        <f t="shared" si="1"/>
        <v>#REF!</v>
      </c>
      <c r="G23">
        <f>+DE_results!V23</f>
        <v>0</v>
      </c>
      <c r="H23" s="127" t="e">
        <f t="shared" ref="H23" si="41">+((G23-$M23)/$M23)*100</f>
        <v>#REF!</v>
      </c>
      <c r="I23">
        <f>+MTS_results!V23</f>
        <v>0</v>
      </c>
      <c r="J23" s="127" t="e">
        <f t="shared" ref="J23:L23" si="42">+((I23-$M23)/$M23)*100</f>
        <v>#REF!</v>
      </c>
      <c r="K23" t="e">
        <f>+#REF!</f>
        <v>#REF!</v>
      </c>
      <c r="L23" s="127" t="e">
        <f t="shared" si="42"/>
        <v>#REF!</v>
      </c>
      <c r="M23" s="128" t="e">
        <f t="shared" si="4"/>
        <v>#REF!</v>
      </c>
      <c r="N23" t="e">
        <f t="shared" si="5"/>
        <v>#REF!</v>
      </c>
      <c r="P23" s="40">
        <f>+PSO_results!AB23</f>
        <v>0</v>
      </c>
      <c r="Q23" s="40">
        <f>+PSO_results!AC23</f>
        <v>0</v>
      </c>
      <c r="R23" s="40">
        <f>+PSO_results!AD23</f>
        <v>0</v>
      </c>
      <c r="S23" s="40">
        <f>+PSO_results!AE23</f>
        <v>0</v>
      </c>
      <c r="T23" s="40">
        <f>+PSO_results!AF23</f>
        <v>0</v>
      </c>
      <c r="U23">
        <f>+GA_results!AB23</f>
        <v>0</v>
      </c>
      <c r="V23">
        <f>+GA_results!AC23</f>
        <v>0</v>
      </c>
      <c r="W23">
        <f>+GA_results!AD23</f>
        <v>0</v>
      </c>
      <c r="X23">
        <f>+GA_results!AE23</f>
        <v>0</v>
      </c>
      <c r="Y23">
        <f>+GA_results!AF23</f>
        <v>0</v>
      </c>
      <c r="Z23">
        <f>+DE_results!AB23</f>
        <v>0</v>
      </c>
      <c r="AA23">
        <f>+DE_results!AC23</f>
        <v>0</v>
      </c>
      <c r="AB23">
        <f>+DE_results!AD23</f>
        <v>0</v>
      </c>
      <c r="AC23">
        <f>+DE_results!AE23</f>
        <v>0</v>
      </c>
      <c r="AD23">
        <f>+DE_results!AF23</f>
        <v>0</v>
      </c>
      <c r="AE23">
        <f>+MTS_results!AB23</f>
        <v>0</v>
      </c>
      <c r="AF23">
        <f>+MTS_results!AC23</f>
        <v>0</v>
      </c>
      <c r="AG23">
        <f>+MTS_results!AD23</f>
        <v>0</v>
      </c>
      <c r="AH23">
        <f>+MTS_results!AE23</f>
        <v>0</v>
      </c>
      <c r="AI23">
        <f>+MTS_results!AF23</f>
        <v>0</v>
      </c>
      <c r="AJ23" t="e">
        <f>+#REF!</f>
        <v>#REF!</v>
      </c>
      <c r="AK23" s="84" t="e">
        <f t="shared" si="6"/>
        <v>#REF!</v>
      </c>
    </row>
    <row r="24" spans="1:37">
      <c r="A24">
        <v>12</v>
      </c>
      <c r="B24">
        <v>1</v>
      </c>
      <c r="C24">
        <f>+PSO_results!V24</f>
        <v>0</v>
      </c>
      <c r="D24" s="127" t="e">
        <f t="shared" si="0"/>
        <v>#REF!</v>
      </c>
      <c r="E24">
        <f>+GA_results!V24</f>
        <v>0</v>
      </c>
      <c r="F24" s="127" t="e">
        <f t="shared" si="1"/>
        <v>#REF!</v>
      </c>
      <c r="G24">
        <f>+DE_results!V24</f>
        <v>0</v>
      </c>
      <c r="H24" s="127" t="e">
        <f t="shared" ref="H24" si="43">+((G24-$M24)/$M24)*100</f>
        <v>#REF!</v>
      </c>
      <c r="I24">
        <f>+MTS_results!V24</f>
        <v>0</v>
      </c>
      <c r="J24" s="127" t="e">
        <f t="shared" ref="J24:L24" si="44">+((I24-$M24)/$M24)*100</f>
        <v>#REF!</v>
      </c>
      <c r="K24" t="e">
        <f>+#REF!</f>
        <v>#REF!</v>
      </c>
      <c r="L24" s="127" t="e">
        <f t="shared" si="44"/>
        <v>#REF!</v>
      </c>
      <c r="M24" s="128" t="e">
        <f t="shared" si="4"/>
        <v>#REF!</v>
      </c>
      <c r="N24" t="e">
        <f t="shared" si="5"/>
        <v>#REF!</v>
      </c>
      <c r="P24" s="40">
        <f>+PSO_results!AB24</f>
        <v>0</v>
      </c>
      <c r="Q24" s="40">
        <f>+PSO_results!AC24</f>
        <v>0</v>
      </c>
      <c r="R24" s="40">
        <f>+PSO_results!AD24</f>
        <v>0</v>
      </c>
      <c r="S24" s="40">
        <f>+PSO_results!AE24</f>
        <v>0</v>
      </c>
      <c r="T24" s="40">
        <f>+PSO_results!AF24</f>
        <v>0</v>
      </c>
      <c r="U24">
        <f>+GA_results!AB24</f>
        <v>0</v>
      </c>
      <c r="V24">
        <f>+GA_results!AC24</f>
        <v>0</v>
      </c>
      <c r="W24">
        <f>+GA_results!AD24</f>
        <v>0</v>
      </c>
      <c r="X24">
        <f>+GA_results!AE24</f>
        <v>0</v>
      </c>
      <c r="Y24">
        <f>+GA_results!AF24</f>
        <v>0</v>
      </c>
      <c r="Z24">
        <f>+DE_results!AB24</f>
        <v>0</v>
      </c>
      <c r="AA24">
        <f>+DE_results!AC24</f>
        <v>0</v>
      </c>
      <c r="AB24">
        <f>+DE_results!AD24</f>
        <v>0</v>
      </c>
      <c r="AC24">
        <f>+DE_results!AE24</f>
        <v>0</v>
      </c>
      <c r="AD24">
        <f>+DE_results!AF24</f>
        <v>0</v>
      </c>
      <c r="AE24">
        <f>+MTS_results!AB24</f>
        <v>0</v>
      </c>
      <c r="AF24">
        <f>+MTS_results!AC24</f>
        <v>0</v>
      </c>
      <c r="AG24">
        <f>+MTS_results!AD24</f>
        <v>0</v>
      </c>
      <c r="AH24">
        <f>+MTS_results!AE24</f>
        <v>0</v>
      </c>
      <c r="AI24">
        <f>+MTS_results!AF24</f>
        <v>0</v>
      </c>
      <c r="AJ24" t="e">
        <f>+#REF!</f>
        <v>#REF!</v>
      </c>
      <c r="AK24" s="84" t="e">
        <f t="shared" si="6"/>
        <v>#REF!</v>
      </c>
    </row>
    <row r="25" spans="1:37">
      <c r="A25">
        <v>13</v>
      </c>
      <c r="B25">
        <v>1</v>
      </c>
      <c r="C25">
        <f>+PSO_results!V25</f>
        <v>0</v>
      </c>
      <c r="D25" s="127" t="e">
        <f t="shared" si="0"/>
        <v>#REF!</v>
      </c>
      <c r="E25">
        <f>+GA_results!V25</f>
        <v>0</v>
      </c>
      <c r="F25" s="127" t="e">
        <f t="shared" si="1"/>
        <v>#REF!</v>
      </c>
      <c r="G25">
        <f>+DE_results!V25</f>
        <v>0</v>
      </c>
      <c r="H25" s="127" t="e">
        <f t="shared" ref="H25" si="45">+((G25-$M25)/$M25)*100</f>
        <v>#REF!</v>
      </c>
      <c r="I25">
        <f>+MTS_results!V25</f>
        <v>0</v>
      </c>
      <c r="J25" s="127" t="e">
        <f t="shared" ref="J25:L25" si="46">+((I25-$M25)/$M25)*100</f>
        <v>#REF!</v>
      </c>
      <c r="K25" t="e">
        <f>+#REF!</f>
        <v>#REF!</v>
      </c>
      <c r="L25" s="127" t="e">
        <f t="shared" si="46"/>
        <v>#REF!</v>
      </c>
      <c r="M25" s="128" t="e">
        <f t="shared" si="4"/>
        <v>#REF!</v>
      </c>
      <c r="N25" t="e">
        <f t="shared" si="5"/>
        <v>#REF!</v>
      </c>
      <c r="P25" s="40">
        <f>+PSO_results!AB25</f>
        <v>0</v>
      </c>
      <c r="Q25" s="40">
        <f>+PSO_results!AC25</f>
        <v>0</v>
      </c>
      <c r="R25" s="40">
        <f>+PSO_results!AD25</f>
        <v>0</v>
      </c>
      <c r="S25" s="40">
        <f>+PSO_results!AE25</f>
        <v>0</v>
      </c>
      <c r="T25" s="40">
        <f>+PSO_results!AF25</f>
        <v>0</v>
      </c>
      <c r="U25">
        <f>+GA_results!AB25</f>
        <v>0</v>
      </c>
      <c r="V25">
        <f>+GA_results!AC25</f>
        <v>0</v>
      </c>
      <c r="W25">
        <f>+GA_results!AD25</f>
        <v>0</v>
      </c>
      <c r="X25">
        <f>+GA_results!AE25</f>
        <v>0</v>
      </c>
      <c r="Y25">
        <f>+GA_results!AF25</f>
        <v>0</v>
      </c>
      <c r="Z25">
        <f>+DE_results!AB25</f>
        <v>0</v>
      </c>
      <c r="AA25">
        <f>+DE_results!AC25</f>
        <v>0</v>
      </c>
      <c r="AB25">
        <f>+DE_results!AD25</f>
        <v>0</v>
      </c>
      <c r="AC25">
        <f>+DE_results!AE25</f>
        <v>0</v>
      </c>
      <c r="AD25">
        <f>+DE_results!AF25</f>
        <v>0</v>
      </c>
      <c r="AE25">
        <f>+MTS_results!AB25</f>
        <v>0</v>
      </c>
      <c r="AF25">
        <f>+MTS_results!AC25</f>
        <v>0</v>
      </c>
      <c r="AG25">
        <f>+MTS_results!AD25</f>
        <v>0</v>
      </c>
      <c r="AH25">
        <f>+MTS_results!AE25</f>
        <v>0</v>
      </c>
      <c r="AI25">
        <f>+MTS_results!AF25</f>
        <v>0</v>
      </c>
      <c r="AJ25" t="e">
        <f>+#REF!</f>
        <v>#REF!</v>
      </c>
      <c r="AK25" s="84" t="e">
        <f t="shared" si="6"/>
        <v>#REF!</v>
      </c>
    </row>
    <row r="26" spans="1:37">
      <c r="A26">
        <v>14</v>
      </c>
      <c r="B26">
        <v>1</v>
      </c>
      <c r="C26">
        <f>+PSO_results!V26</f>
        <v>0</v>
      </c>
      <c r="D26" s="127" t="e">
        <f t="shared" si="0"/>
        <v>#REF!</v>
      </c>
      <c r="E26">
        <f>+GA_results!V26</f>
        <v>0</v>
      </c>
      <c r="F26" s="127" t="e">
        <f t="shared" si="1"/>
        <v>#REF!</v>
      </c>
      <c r="G26">
        <f>+DE_results!V26</f>
        <v>0</v>
      </c>
      <c r="H26" s="127" t="e">
        <f t="shared" ref="H26" si="47">+((G26-$M26)/$M26)*100</f>
        <v>#REF!</v>
      </c>
      <c r="I26">
        <f>+MTS_results!V26</f>
        <v>0</v>
      </c>
      <c r="J26" s="127" t="e">
        <f t="shared" ref="J26:L26" si="48">+((I26-$M26)/$M26)*100</f>
        <v>#REF!</v>
      </c>
      <c r="K26" t="e">
        <f>+#REF!</f>
        <v>#REF!</v>
      </c>
      <c r="L26" s="127" t="e">
        <f t="shared" si="48"/>
        <v>#REF!</v>
      </c>
      <c r="M26" s="128" t="e">
        <f t="shared" si="4"/>
        <v>#REF!</v>
      </c>
      <c r="N26" t="e">
        <f t="shared" si="5"/>
        <v>#REF!</v>
      </c>
      <c r="P26" s="40">
        <f>+PSO_results!AB26</f>
        <v>0</v>
      </c>
      <c r="Q26" s="40">
        <f>+PSO_results!AC26</f>
        <v>0</v>
      </c>
      <c r="R26" s="40">
        <f>+PSO_results!AD26</f>
        <v>0</v>
      </c>
      <c r="S26" s="40">
        <f>+PSO_results!AE26</f>
        <v>0</v>
      </c>
      <c r="T26" s="40">
        <f>+PSO_results!AF26</f>
        <v>0</v>
      </c>
      <c r="U26">
        <f>+GA_results!AB26</f>
        <v>0</v>
      </c>
      <c r="V26">
        <f>+GA_results!AC26</f>
        <v>0</v>
      </c>
      <c r="W26">
        <f>+GA_results!AD26</f>
        <v>0</v>
      </c>
      <c r="X26">
        <f>+GA_results!AE26</f>
        <v>0</v>
      </c>
      <c r="Y26">
        <f>+GA_results!AF26</f>
        <v>0</v>
      </c>
      <c r="Z26">
        <f>+DE_results!AB26</f>
        <v>0</v>
      </c>
      <c r="AA26">
        <f>+DE_results!AC26</f>
        <v>0</v>
      </c>
      <c r="AB26">
        <f>+DE_results!AD26</f>
        <v>0</v>
      </c>
      <c r="AC26">
        <f>+DE_results!AE26</f>
        <v>0</v>
      </c>
      <c r="AD26">
        <f>+DE_results!AF26</f>
        <v>0</v>
      </c>
      <c r="AE26">
        <f>+MTS_results!AB26</f>
        <v>0</v>
      </c>
      <c r="AF26">
        <f>+MTS_results!AC26</f>
        <v>0</v>
      </c>
      <c r="AG26">
        <f>+MTS_results!AD26</f>
        <v>0</v>
      </c>
      <c r="AH26">
        <f>+MTS_results!AE26</f>
        <v>0</v>
      </c>
      <c r="AI26">
        <f>+MTS_results!AF26</f>
        <v>0</v>
      </c>
      <c r="AJ26" t="e">
        <f>+#REF!</f>
        <v>#REF!</v>
      </c>
      <c r="AK26" s="84" t="e">
        <f t="shared" si="6"/>
        <v>#REF!</v>
      </c>
    </row>
    <row r="27" spans="1:37">
      <c r="A27">
        <v>15</v>
      </c>
      <c r="B27">
        <v>1</v>
      </c>
      <c r="C27">
        <f>+PSO_results!V27</f>
        <v>0</v>
      </c>
      <c r="D27" s="127" t="e">
        <f t="shared" si="0"/>
        <v>#REF!</v>
      </c>
      <c r="E27">
        <f>+GA_results!V27</f>
        <v>0</v>
      </c>
      <c r="F27" s="127" t="e">
        <f t="shared" si="1"/>
        <v>#REF!</v>
      </c>
      <c r="G27">
        <f>+DE_results!V27</f>
        <v>0</v>
      </c>
      <c r="H27" s="127" t="e">
        <f t="shared" ref="H27" si="49">+((G27-$M27)/$M27)*100</f>
        <v>#REF!</v>
      </c>
      <c r="I27">
        <f>+MTS_results!V27</f>
        <v>0</v>
      </c>
      <c r="J27" s="127" t="e">
        <f t="shared" ref="J27:L27" si="50">+((I27-$M27)/$M27)*100</f>
        <v>#REF!</v>
      </c>
      <c r="K27" t="e">
        <f>+#REF!</f>
        <v>#REF!</v>
      </c>
      <c r="L27" s="127" t="e">
        <f t="shared" si="50"/>
        <v>#REF!</v>
      </c>
      <c r="M27" s="128" t="e">
        <f t="shared" si="4"/>
        <v>#REF!</v>
      </c>
      <c r="N27" t="e">
        <f t="shared" si="5"/>
        <v>#REF!</v>
      </c>
      <c r="P27" s="40">
        <f>+PSO_results!AB27</f>
        <v>0</v>
      </c>
      <c r="Q27" s="40">
        <f>+PSO_results!AC27</f>
        <v>0</v>
      </c>
      <c r="R27" s="40">
        <f>+PSO_results!AD27</f>
        <v>0</v>
      </c>
      <c r="S27" s="40">
        <f>+PSO_results!AE27</f>
        <v>0</v>
      </c>
      <c r="T27" s="40">
        <f>+PSO_results!AF27</f>
        <v>0</v>
      </c>
      <c r="U27">
        <f>+GA_results!AB27</f>
        <v>0</v>
      </c>
      <c r="V27">
        <f>+GA_results!AC27</f>
        <v>0</v>
      </c>
      <c r="W27">
        <f>+GA_results!AD27</f>
        <v>0</v>
      </c>
      <c r="X27">
        <f>+GA_results!AE27</f>
        <v>0</v>
      </c>
      <c r="Y27">
        <f>+GA_results!AF27</f>
        <v>0</v>
      </c>
      <c r="Z27">
        <f>+DE_results!AB27</f>
        <v>0</v>
      </c>
      <c r="AA27">
        <f>+DE_results!AC27</f>
        <v>0</v>
      </c>
      <c r="AB27">
        <f>+DE_results!AD27</f>
        <v>0</v>
      </c>
      <c r="AC27">
        <f>+DE_results!AE27</f>
        <v>0</v>
      </c>
      <c r="AD27">
        <f>+DE_results!AF27</f>
        <v>0</v>
      </c>
      <c r="AE27">
        <f>+MTS_results!AB27</f>
        <v>0</v>
      </c>
      <c r="AF27">
        <f>+MTS_results!AC27</f>
        <v>0</v>
      </c>
      <c r="AG27">
        <f>+MTS_results!AD27</f>
        <v>0</v>
      </c>
      <c r="AH27">
        <f>+MTS_results!AE27</f>
        <v>0</v>
      </c>
      <c r="AI27">
        <f>+MTS_results!AF27</f>
        <v>0</v>
      </c>
      <c r="AJ27" t="e">
        <f>+#REF!</f>
        <v>#REF!</v>
      </c>
      <c r="AK27" s="84" t="e">
        <f t="shared" si="6"/>
        <v>#REF!</v>
      </c>
    </row>
    <row r="28" spans="1:37">
      <c r="A28">
        <v>16</v>
      </c>
      <c r="B28">
        <v>1</v>
      </c>
      <c r="C28">
        <f>+PSO_results!V28</f>
        <v>0</v>
      </c>
      <c r="D28" s="127" t="e">
        <f t="shared" si="0"/>
        <v>#REF!</v>
      </c>
      <c r="E28">
        <f>+GA_results!V28</f>
        <v>0</v>
      </c>
      <c r="F28" s="127" t="e">
        <f t="shared" si="1"/>
        <v>#REF!</v>
      </c>
      <c r="G28">
        <f>+DE_results!V28</f>
        <v>0</v>
      </c>
      <c r="H28" s="127" t="e">
        <f t="shared" ref="H28" si="51">+((G28-$M28)/$M28)*100</f>
        <v>#REF!</v>
      </c>
      <c r="I28">
        <f>+MTS_results!V28</f>
        <v>0</v>
      </c>
      <c r="J28" s="127" t="e">
        <f t="shared" ref="J28:L28" si="52">+((I28-$M28)/$M28)*100</f>
        <v>#REF!</v>
      </c>
      <c r="K28" t="e">
        <f>+#REF!</f>
        <v>#REF!</v>
      </c>
      <c r="L28" s="127" t="e">
        <f t="shared" si="52"/>
        <v>#REF!</v>
      </c>
      <c r="M28" s="128" t="e">
        <f t="shared" si="4"/>
        <v>#REF!</v>
      </c>
      <c r="N28" t="e">
        <f t="shared" si="5"/>
        <v>#REF!</v>
      </c>
      <c r="P28" s="40">
        <f>+PSO_results!AB28</f>
        <v>0</v>
      </c>
      <c r="Q28" s="40">
        <f>+PSO_results!AC28</f>
        <v>0</v>
      </c>
      <c r="R28" s="40">
        <f>+PSO_results!AD28</f>
        <v>0</v>
      </c>
      <c r="S28" s="40">
        <f>+PSO_results!AE28</f>
        <v>0</v>
      </c>
      <c r="T28" s="40">
        <f>+PSO_results!AF28</f>
        <v>0</v>
      </c>
      <c r="U28">
        <f>+GA_results!AB28</f>
        <v>0</v>
      </c>
      <c r="V28">
        <f>+GA_results!AC28</f>
        <v>0</v>
      </c>
      <c r="W28">
        <f>+GA_results!AD28</f>
        <v>0</v>
      </c>
      <c r="X28">
        <f>+GA_results!AE28</f>
        <v>0</v>
      </c>
      <c r="Y28">
        <f>+GA_results!AF28</f>
        <v>0</v>
      </c>
      <c r="Z28">
        <f>+DE_results!AB28</f>
        <v>0</v>
      </c>
      <c r="AA28">
        <f>+DE_results!AC28</f>
        <v>0</v>
      </c>
      <c r="AB28">
        <f>+DE_results!AD28</f>
        <v>0</v>
      </c>
      <c r="AC28">
        <f>+DE_results!AE28</f>
        <v>0</v>
      </c>
      <c r="AD28">
        <f>+DE_results!AF28</f>
        <v>0</v>
      </c>
      <c r="AE28">
        <f>+MTS_results!AB28</f>
        <v>0</v>
      </c>
      <c r="AF28">
        <f>+MTS_results!AC28</f>
        <v>0</v>
      </c>
      <c r="AG28">
        <f>+MTS_results!AD28</f>
        <v>0</v>
      </c>
      <c r="AH28">
        <f>+MTS_results!AE28</f>
        <v>0</v>
      </c>
      <c r="AI28">
        <f>+MTS_results!AF28</f>
        <v>0</v>
      </c>
      <c r="AJ28" t="e">
        <f>+#REF!</f>
        <v>#REF!</v>
      </c>
      <c r="AK28" s="84" t="e">
        <f t="shared" si="6"/>
        <v>#REF!</v>
      </c>
    </row>
    <row r="29" spans="1:37">
      <c r="A29">
        <v>17</v>
      </c>
      <c r="B29">
        <v>1</v>
      </c>
      <c r="C29">
        <f>+PSO_results!V29</f>
        <v>0</v>
      </c>
      <c r="D29" s="127" t="e">
        <f t="shared" si="0"/>
        <v>#REF!</v>
      </c>
      <c r="E29">
        <f>+GA_results!V29</f>
        <v>0</v>
      </c>
      <c r="F29" s="127" t="e">
        <f t="shared" si="1"/>
        <v>#REF!</v>
      </c>
      <c r="G29">
        <f>+DE_results!V29</f>
        <v>0</v>
      </c>
      <c r="H29" s="127" t="e">
        <f t="shared" ref="H29" si="53">+((G29-$M29)/$M29)*100</f>
        <v>#REF!</v>
      </c>
      <c r="I29">
        <f>+MTS_results!V29</f>
        <v>0</v>
      </c>
      <c r="J29" s="127" t="e">
        <f t="shared" ref="J29:L29" si="54">+((I29-$M29)/$M29)*100</f>
        <v>#REF!</v>
      </c>
      <c r="K29" t="e">
        <f>+#REF!</f>
        <v>#REF!</v>
      </c>
      <c r="L29" s="127" t="e">
        <f t="shared" si="54"/>
        <v>#REF!</v>
      </c>
      <c r="M29" s="128" t="e">
        <f t="shared" si="4"/>
        <v>#REF!</v>
      </c>
      <c r="N29" t="e">
        <f t="shared" si="5"/>
        <v>#REF!</v>
      </c>
      <c r="P29" s="40">
        <f>+PSO_results!AB29</f>
        <v>0</v>
      </c>
      <c r="Q29" s="40">
        <f>+PSO_results!AC29</f>
        <v>0</v>
      </c>
      <c r="R29" s="40">
        <f>+PSO_results!AD29</f>
        <v>0</v>
      </c>
      <c r="S29" s="40">
        <f>+PSO_results!AE29</f>
        <v>0</v>
      </c>
      <c r="T29" s="40">
        <f>+PSO_results!AF29</f>
        <v>0</v>
      </c>
      <c r="U29">
        <f>+GA_results!AB29</f>
        <v>0</v>
      </c>
      <c r="V29">
        <f>+GA_results!AC29</f>
        <v>0</v>
      </c>
      <c r="W29">
        <f>+GA_results!AD29</f>
        <v>0</v>
      </c>
      <c r="X29">
        <f>+GA_results!AE29</f>
        <v>0</v>
      </c>
      <c r="Y29">
        <f>+GA_results!AF29</f>
        <v>0</v>
      </c>
      <c r="Z29">
        <f>+DE_results!AB29</f>
        <v>0</v>
      </c>
      <c r="AA29">
        <f>+DE_results!AC29</f>
        <v>0</v>
      </c>
      <c r="AB29">
        <f>+DE_results!AD29</f>
        <v>0</v>
      </c>
      <c r="AC29">
        <f>+DE_results!AE29</f>
        <v>0</v>
      </c>
      <c r="AD29">
        <f>+DE_results!AF29</f>
        <v>0</v>
      </c>
      <c r="AE29">
        <f>+MTS_results!AB29</f>
        <v>0</v>
      </c>
      <c r="AF29">
        <f>+MTS_results!AC29</f>
        <v>0</v>
      </c>
      <c r="AG29">
        <f>+MTS_results!AD29</f>
        <v>0</v>
      </c>
      <c r="AH29">
        <f>+MTS_results!AE29</f>
        <v>0</v>
      </c>
      <c r="AI29">
        <f>+MTS_results!AF29</f>
        <v>0</v>
      </c>
      <c r="AJ29" t="e">
        <f>+#REF!</f>
        <v>#REF!</v>
      </c>
      <c r="AK29" s="84" t="e">
        <f t="shared" si="6"/>
        <v>#REF!</v>
      </c>
    </row>
    <row r="30" spans="1:37">
      <c r="A30">
        <v>18</v>
      </c>
      <c r="B30">
        <v>1</v>
      </c>
      <c r="C30">
        <f>+PSO_results!V30</f>
        <v>0</v>
      </c>
      <c r="D30" s="127" t="e">
        <f t="shared" si="0"/>
        <v>#REF!</v>
      </c>
      <c r="E30">
        <f>+GA_results!V30</f>
        <v>0</v>
      </c>
      <c r="F30" s="127" t="e">
        <f t="shared" si="1"/>
        <v>#REF!</v>
      </c>
      <c r="G30">
        <f>+DE_results!V30</f>
        <v>0</v>
      </c>
      <c r="H30" s="127" t="e">
        <f t="shared" ref="H30" si="55">+((G30-$M30)/$M30)*100</f>
        <v>#REF!</v>
      </c>
      <c r="I30">
        <f>+MTS_results!V30</f>
        <v>0</v>
      </c>
      <c r="J30" s="127" t="e">
        <f t="shared" ref="J30:L30" si="56">+((I30-$M30)/$M30)*100</f>
        <v>#REF!</v>
      </c>
      <c r="K30" t="e">
        <f>+#REF!</f>
        <v>#REF!</v>
      </c>
      <c r="L30" s="127" t="e">
        <f t="shared" si="56"/>
        <v>#REF!</v>
      </c>
      <c r="M30" s="128" t="e">
        <f t="shared" si="4"/>
        <v>#REF!</v>
      </c>
      <c r="N30" t="e">
        <f t="shared" si="5"/>
        <v>#REF!</v>
      </c>
      <c r="P30" s="40">
        <f>+PSO_results!AB30</f>
        <v>0</v>
      </c>
      <c r="Q30" s="40">
        <f>+PSO_results!AC30</f>
        <v>0</v>
      </c>
      <c r="R30" s="40">
        <f>+PSO_results!AD30</f>
        <v>0</v>
      </c>
      <c r="S30" s="40">
        <f>+PSO_results!AE30</f>
        <v>0</v>
      </c>
      <c r="T30" s="40">
        <f>+PSO_results!AF30</f>
        <v>0</v>
      </c>
      <c r="U30">
        <f>+GA_results!AB30</f>
        <v>0</v>
      </c>
      <c r="V30">
        <f>+GA_results!AC30</f>
        <v>0</v>
      </c>
      <c r="W30">
        <f>+GA_results!AD30</f>
        <v>0</v>
      </c>
      <c r="X30">
        <f>+GA_results!AE30</f>
        <v>0</v>
      </c>
      <c r="Y30">
        <f>+GA_results!AF30</f>
        <v>0</v>
      </c>
      <c r="Z30">
        <f>+DE_results!AB30</f>
        <v>0</v>
      </c>
      <c r="AA30">
        <f>+DE_results!AC30</f>
        <v>0</v>
      </c>
      <c r="AB30">
        <f>+DE_results!AD30</f>
        <v>0</v>
      </c>
      <c r="AC30">
        <f>+DE_results!AE30</f>
        <v>0</v>
      </c>
      <c r="AD30">
        <f>+DE_results!AF30</f>
        <v>0</v>
      </c>
      <c r="AE30">
        <f>+MTS_results!AB30</f>
        <v>0</v>
      </c>
      <c r="AF30">
        <f>+MTS_results!AC30</f>
        <v>0</v>
      </c>
      <c r="AG30">
        <f>+MTS_results!AD30</f>
        <v>0</v>
      </c>
      <c r="AH30">
        <f>+MTS_results!AE30</f>
        <v>0</v>
      </c>
      <c r="AI30">
        <f>+MTS_results!AF30</f>
        <v>0</v>
      </c>
      <c r="AJ30" t="e">
        <f>+#REF!</f>
        <v>#REF!</v>
      </c>
      <c r="AK30" s="84" t="e">
        <f t="shared" si="6"/>
        <v>#REF!</v>
      </c>
    </row>
    <row r="31" spans="1:37">
      <c r="A31">
        <v>19</v>
      </c>
      <c r="B31">
        <v>1</v>
      </c>
      <c r="C31">
        <f>+PSO_results!V31</f>
        <v>0</v>
      </c>
      <c r="D31" s="127" t="e">
        <f t="shared" si="0"/>
        <v>#REF!</v>
      </c>
      <c r="E31">
        <f>+GA_results!V31</f>
        <v>0</v>
      </c>
      <c r="F31" s="127" t="e">
        <f t="shared" si="1"/>
        <v>#REF!</v>
      </c>
      <c r="G31">
        <f>+DE_results!V31</f>
        <v>0</v>
      </c>
      <c r="H31" s="127" t="e">
        <f t="shared" ref="H31" si="57">+((G31-$M31)/$M31)*100</f>
        <v>#REF!</v>
      </c>
      <c r="I31">
        <f>+MTS_results!V31</f>
        <v>0</v>
      </c>
      <c r="J31" s="127" t="e">
        <f t="shared" ref="J31:L31" si="58">+((I31-$M31)/$M31)*100</f>
        <v>#REF!</v>
      </c>
      <c r="K31" t="e">
        <f>+#REF!</f>
        <v>#REF!</v>
      </c>
      <c r="L31" s="127" t="e">
        <f t="shared" si="58"/>
        <v>#REF!</v>
      </c>
      <c r="M31" s="128" t="e">
        <f t="shared" si="4"/>
        <v>#REF!</v>
      </c>
      <c r="N31" t="e">
        <f t="shared" si="5"/>
        <v>#REF!</v>
      </c>
      <c r="P31" s="40">
        <f>+PSO_results!AB31</f>
        <v>0</v>
      </c>
      <c r="Q31" s="40">
        <f>+PSO_results!AC31</f>
        <v>0</v>
      </c>
      <c r="R31" s="40">
        <f>+PSO_results!AD31</f>
        <v>0</v>
      </c>
      <c r="S31" s="40">
        <f>+PSO_results!AE31</f>
        <v>0</v>
      </c>
      <c r="T31" s="40">
        <f>+PSO_results!AF31</f>
        <v>0</v>
      </c>
      <c r="U31">
        <f>+GA_results!AB31</f>
        <v>0</v>
      </c>
      <c r="V31">
        <f>+GA_results!AC31</f>
        <v>0</v>
      </c>
      <c r="W31">
        <f>+GA_results!AD31</f>
        <v>0</v>
      </c>
      <c r="X31">
        <f>+GA_results!AE31</f>
        <v>0</v>
      </c>
      <c r="Y31">
        <f>+GA_results!AF31</f>
        <v>0</v>
      </c>
      <c r="Z31">
        <f>+DE_results!AB31</f>
        <v>0</v>
      </c>
      <c r="AA31">
        <f>+DE_results!AC31</f>
        <v>0</v>
      </c>
      <c r="AB31">
        <f>+DE_results!AD31</f>
        <v>0</v>
      </c>
      <c r="AC31">
        <f>+DE_results!AE31</f>
        <v>0</v>
      </c>
      <c r="AD31">
        <f>+DE_results!AF31</f>
        <v>0</v>
      </c>
      <c r="AE31">
        <f>+MTS_results!AB31</f>
        <v>0</v>
      </c>
      <c r="AF31">
        <f>+MTS_results!AC31</f>
        <v>0</v>
      </c>
      <c r="AG31">
        <f>+MTS_results!AD31</f>
        <v>0</v>
      </c>
      <c r="AH31">
        <f>+MTS_results!AE31</f>
        <v>0</v>
      </c>
      <c r="AI31">
        <f>+MTS_results!AF31</f>
        <v>0</v>
      </c>
      <c r="AJ31" t="e">
        <f>+#REF!</f>
        <v>#REF!</v>
      </c>
      <c r="AK31" s="84" t="e">
        <f t="shared" si="6"/>
        <v>#REF!</v>
      </c>
    </row>
    <row r="32" spans="1:37">
      <c r="A32">
        <v>20</v>
      </c>
      <c r="B32">
        <v>1</v>
      </c>
      <c r="C32">
        <f>+PSO_results!V32</f>
        <v>0</v>
      </c>
      <c r="D32" s="127" t="e">
        <f t="shared" si="0"/>
        <v>#REF!</v>
      </c>
      <c r="E32">
        <f>+GA_results!V32</f>
        <v>0</v>
      </c>
      <c r="F32" s="127" t="e">
        <f t="shared" si="1"/>
        <v>#REF!</v>
      </c>
      <c r="G32">
        <f>+DE_results!V32</f>
        <v>0</v>
      </c>
      <c r="H32" s="127" t="e">
        <f t="shared" ref="H32" si="59">+((G32-$M32)/$M32)*100</f>
        <v>#REF!</v>
      </c>
      <c r="I32">
        <f>+MTS_results!V32</f>
        <v>0</v>
      </c>
      <c r="J32" s="127" t="e">
        <f t="shared" ref="J32:L32" si="60">+((I32-$M32)/$M32)*100</f>
        <v>#REF!</v>
      </c>
      <c r="K32" t="e">
        <f>+#REF!</f>
        <v>#REF!</v>
      </c>
      <c r="L32" s="127" t="e">
        <f t="shared" si="60"/>
        <v>#REF!</v>
      </c>
      <c r="M32" s="128" t="e">
        <f t="shared" si="4"/>
        <v>#REF!</v>
      </c>
      <c r="N32" t="e">
        <f t="shared" si="5"/>
        <v>#REF!</v>
      </c>
      <c r="P32" s="40">
        <f>+PSO_results!AB32</f>
        <v>0</v>
      </c>
      <c r="Q32" s="40">
        <f>+PSO_results!AC32</f>
        <v>0</v>
      </c>
      <c r="R32" s="40">
        <f>+PSO_results!AD32</f>
        <v>0</v>
      </c>
      <c r="S32" s="40">
        <f>+PSO_results!AE32</f>
        <v>0</v>
      </c>
      <c r="T32" s="40">
        <f>+PSO_results!AF32</f>
        <v>0</v>
      </c>
      <c r="U32">
        <f>+GA_results!AB32</f>
        <v>0</v>
      </c>
      <c r="V32">
        <f>+GA_results!AC32</f>
        <v>0</v>
      </c>
      <c r="W32">
        <f>+GA_results!AD32</f>
        <v>0</v>
      </c>
      <c r="X32">
        <f>+GA_results!AE32</f>
        <v>0</v>
      </c>
      <c r="Y32">
        <f>+GA_results!AF32</f>
        <v>0</v>
      </c>
      <c r="Z32">
        <f>+DE_results!AB32</f>
        <v>0</v>
      </c>
      <c r="AA32">
        <f>+DE_results!AC32</f>
        <v>0</v>
      </c>
      <c r="AB32">
        <f>+DE_results!AD32</f>
        <v>0</v>
      </c>
      <c r="AC32">
        <f>+DE_results!AE32</f>
        <v>0</v>
      </c>
      <c r="AD32">
        <f>+DE_results!AF32</f>
        <v>0</v>
      </c>
      <c r="AE32">
        <f>+MTS_results!AB32</f>
        <v>0</v>
      </c>
      <c r="AF32">
        <f>+MTS_results!AC32</f>
        <v>0</v>
      </c>
      <c r="AG32">
        <f>+MTS_results!AD32</f>
        <v>0</v>
      </c>
      <c r="AH32">
        <f>+MTS_results!AE32</f>
        <v>0</v>
      </c>
      <c r="AI32">
        <f>+MTS_results!AF32</f>
        <v>0</v>
      </c>
      <c r="AJ32" t="e">
        <f>+#REF!</f>
        <v>#REF!</v>
      </c>
      <c r="AK32" s="84" t="e">
        <f t="shared" si="6"/>
        <v>#REF!</v>
      </c>
    </row>
    <row r="33" spans="1:37">
      <c r="A33">
        <v>10</v>
      </c>
      <c r="B33">
        <v>2</v>
      </c>
      <c r="C33">
        <f>+PSO_results!V33</f>
        <v>0</v>
      </c>
      <c r="D33" s="127" t="e">
        <f t="shared" si="0"/>
        <v>#REF!</v>
      </c>
      <c r="E33">
        <f>+GA_results!V33</f>
        <v>0</v>
      </c>
      <c r="F33" s="127" t="e">
        <f t="shared" si="1"/>
        <v>#REF!</v>
      </c>
      <c r="G33">
        <f>+DE_results!V33</f>
        <v>0</v>
      </c>
      <c r="H33" s="127" t="e">
        <f t="shared" ref="H33" si="61">+((G33-$M33)/$M33)*100</f>
        <v>#REF!</v>
      </c>
      <c r="I33">
        <f>+MTS_results!V33</f>
        <v>0</v>
      </c>
      <c r="J33" s="127" t="e">
        <f t="shared" ref="J33:L33" si="62">+((I33-$M33)/$M33)*100</f>
        <v>#REF!</v>
      </c>
      <c r="K33" t="e">
        <f>+#REF!</f>
        <v>#REF!</v>
      </c>
      <c r="L33" s="127" t="e">
        <f t="shared" si="62"/>
        <v>#REF!</v>
      </c>
      <c r="M33" s="128" t="e">
        <f t="shared" si="4"/>
        <v>#REF!</v>
      </c>
      <c r="N33" t="e">
        <f t="shared" si="5"/>
        <v>#REF!</v>
      </c>
      <c r="P33" s="40">
        <f>+PSO_results!AB33</f>
        <v>0</v>
      </c>
      <c r="Q33" s="40">
        <f>+PSO_results!AC33</f>
        <v>0</v>
      </c>
      <c r="R33" s="40">
        <f>+PSO_results!AD33</f>
        <v>0</v>
      </c>
      <c r="S33" s="40">
        <f>+PSO_results!AE33</f>
        <v>0</v>
      </c>
      <c r="T33" s="40">
        <f>+PSO_results!AF33</f>
        <v>0</v>
      </c>
      <c r="U33">
        <f>+GA_results!AB33</f>
        <v>0</v>
      </c>
      <c r="V33">
        <f>+GA_results!AC33</f>
        <v>0</v>
      </c>
      <c r="W33">
        <f>+GA_results!AD33</f>
        <v>0</v>
      </c>
      <c r="X33">
        <f>+GA_results!AE33</f>
        <v>0</v>
      </c>
      <c r="Y33">
        <f>+GA_results!AF33</f>
        <v>0</v>
      </c>
      <c r="Z33">
        <f>+DE_results!AB33</f>
        <v>0</v>
      </c>
      <c r="AA33">
        <f>+DE_results!AC33</f>
        <v>0</v>
      </c>
      <c r="AB33">
        <f>+DE_results!AD33</f>
        <v>0</v>
      </c>
      <c r="AC33">
        <f>+DE_results!AE33</f>
        <v>0</v>
      </c>
      <c r="AD33">
        <f>+DE_results!AF33</f>
        <v>0</v>
      </c>
      <c r="AE33">
        <f>+MTS_results!AB33</f>
        <v>0</v>
      </c>
      <c r="AF33">
        <f>+MTS_results!AC33</f>
        <v>0</v>
      </c>
      <c r="AG33">
        <f>+MTS_results!AD33</f>
        <v>0</v>
      </c>
      <c r="AH33">
        <f>+MTS_results!AE33</f>
        <v>0</v>
      </c>
      <c r="AI33">
        <f>+MTS_results!AF33</f>
        <v>0</v>
      </c>
      <c r="AJ33" t="e">
        <f>+#REF!</f>
        <v>#REF!</v>
      </c>
      <c r="AK33" s="84" t="e">
        <f t="shared" si="6"/>
        <v>#REF!</v>
      </c>
    </row>
    <row r="34" spans="1:37">
      <c r="A34">
        <v>11</v>
      </c>
      <c r="B34">
        <v>2</v>
      </c>
      <c r="C34">
        <f>+PSO_results!V34</f>
        <v>0</v>
      </c>
      <c r="D34" s="127" t="e">
        <f t="shared" si="0"/>
        <v>#REF!</v>
      </c>
      <c r="E34">
        <f>+GA_results!V34</f>
        <v>0</v>
      </c>
      <c r="F34" s="127" t="e">
        <f t="shared" si="1"/>
        <v>#REF!</v>
      </c>
      <c r="G34">
        <f>+DE_results!V34</f>
        <v>0</v>
      </c>
      <c r="H34" s="127" t="e">
        <f t="shared" ref="H34" si="63">+((G34-$M34)/$M34)*100</f>
        <v>#REF!</v>
      </c>
      <c r="I34">
        <f>+MTS_results!V34</f>
        <v>0</v>
      </c>
      <c r="J34" s="127" t="e">
        <f t="shared" ref="J34:L34" si="64">+((I34-$M34)/$M34)*100</f>
        <v>#REF!</v>
      </c>
      <c r="K34" t="e">
        <f>+#REF!</f>
        <v>#REF!</v>
      </c>
      <c r="L34" s="127" t="e">
        <f t="shared" si="64"/>
        <v>#REF!</v>
      </c>
      <c r="M34" s="128" t="e">
        <f t="shared" si="4"/>
        <v>#REF!</v>
      </c>
      <c r="N34" t="e">
        <f t="shared" si="5"/>
        <v>#REF!</v>
      </c>
      <c r="P34" s="40">
        <f>+PSO_results!AB34</f>
        <v>0</v>
      </c>
      <c r="Q34" s="40">
        <f>+PSO_results!AC34</f>
        <v>0</v>
      </c>
      <c r="R34" s="40">
        <f>+PSO_results!AD34</f>
        <v>0</v>
      </c>
      <c r="S34" s="40">
        <f>+PSO_results!AE34</f>
        <v>0</v>
      </c>
      <c r="T34" s="40">
        <f>+PSO_results!AF34</f>
        <v>0</v>
      </c>
      <c r="U34">
        <f>+GA_results!AB34</f>
        <v>0</v>
      </c>
      <c r="V34">
        <f>+GA_results!AC34</f>
        <v>0</v>
      </c>
      <c r="W34">
        <f>+GA_results!AD34</f>
        <v>0</v>
      </c>
      <c r="X34">
        <f>+GA_results!AE34</f>
        <v>0</v>
      </c>
      <c r="Y34">
        <f>+GA_results!AF34</f>
        <v>0</v>
      </c>
      <c r="Z34">
        <f>+DE_results!AB34</f>
        <v>0</v>
      </c>
      <c r="AA34">
        <f>+DE_results!AC34</f>
        <v>0</v>
      </c>
      <c r="AB34">
        <f>+DE_results!AD34</f>
        <v>0</v>
      </c>
      <c r="AC34">
        <f>+DE_results!AE34</f>
        <v>0</v>
      </c>
      <c r="AD34">
        <f>+DE_results!AF34</f>
        <v>0</v>
      </c>
      <c r="AE34">
        <f>+MTS_results!AB34</f>
        <v>0</v>
      </c>
      <c r="AF34">
        <f>+MTS_results!AC34</f>
        <v>0</v>
      </c>
      <c r="AG34">
        <f>+MTS_results!AD34</f>
        <v>0</v>
      </c>
      <c r="AH34">
        <f>+MTS_results!AE34</f>
        <v>0</v>
      </c>
      <c r="AI34">
        <f>+MTS_results!AF34</f>
        <v>0</v>
      </c>
      <c r="AJ34" t="e">
        <f>+#REF!</f>
        <v>#REF!</v>
      </c>
      <c r="AK34" s="84" t="e">
        <f t="shared" si="6"/>
        <v>#REF!</v>
      </c>
    </row>
    <row r="35" spans="1:37">
      <c r="A35">
        <v>12</v>
      </c>
      <c r="B35">
        <v>2</v>
      </c>
      <c r="C35">
        <f>+PSO_results!V35</f>
        <v>0</v>
      </c>
      <c r="D35" s="127" t="e">
        <f t="shared" si="0"/>
        <v>#REF!</v>
      </c>
      <c r="E35">
        <f>+GA_results!V35</f>
        <v>0</v>
      </c>
      <c r="F35" s="127" t="e">
        <f t="shared" si="1"/>
        <v>#REF!</v>
      </c>
      <c r="G35">
        <f>+DE_results!V35</f>
        <v>0</v>
      </c>
      <c r="H35" s="127" t="e">
        <f t="shared" ref="H35" si="65">+((G35-$M35)/$M35)*100</f>
        <v>#REF!</v>
      </c>
      <c r="I35">
        <f>+MTS_results!V35</f>
        <v>0</v>
      </c>
      <c r="J35" s="127" t="e">
        <f t="shared" ref="J35:L35" si="66">+((I35-$M35)/$M35)*100</f>
        <v>#REF!</v>
      </c>
      <c r="K35" t="e">
        <f>+#REF!</f>
        <v>#REF!</v>
      </c>
      <c r="L35" s="127" t="e">
        <f t="shared" si="66"/>
        <v>#REF!</v>
      </c>
      <c r="M35" s="128" t="e">
        <f t="shared" si="4"/>
        <v>#REF!</v>
      </c>
      <c r="N35" t="e">
        <f t="shared" si="5"/>
        <v>#REF!</v>
      </c>
      <c r="P35" s="40">
        <f>+PSO_results!AB35</f>
        <v>0</v>
      </c>
      <c r="Q35" s="40">
        <f>+PSO_results!AC35</f>
        <v>0</v>
      </c>
      <c r="R35" s="40">
        <f>+PSO_results!AD35</f>
        <v>0</v>
      </c>
      <c r="S35" s="40">
        <f>+PSO_results!AE35</f>
        <v>0</v>
      </c>
      <c r="T35" s="40">
        <f>+PSO_results!AF35</f>
        <v>0</v>
      </c>
      <c r="U35">
        <f>+GA_results!AB35</f>
        <v>0</v>
      </c>
      <c r="V35">
        <f>+GA_results!AC35</f>
        <v>0</v>
      </c>
      <c r="W35">
        <f>+GA_results!AD35</f>
        <v>0</v>
      </c>
      <c r="X35">
        <f>+GA_results!AE35</f>
        <v>0</v>
      </c>
      <c r="Y35">
        <f>+GA_results!AF35</f>
        <v>0</v>
      </c>
      <c r="Z35">
        <f>+DE_results!AB35</f>
        <v>0</v>
      </c>
      <c r="AA35">
        <f>+DE_results!AC35</f>
        <v>0</v>
      </c>
      <c r="AB35">
        <f>+DE_results!AD35</f>
        <v>0</v>
      </c>
      <c r="AC35">
        <f>+DE_results!AE35</f>
        <v>0</v>
      </c>
      <c r="AD35">
        <f>+DE_results!AF35</f>
        <v>0</v>
      </c>
      <c r="AE35">
        <f>+MTS_results!AB35</f>
        <v>0</v>
      </c>
      <c r="AF35">
        <f>+MTS_results!AC35</f>
        <v>0</v>
      </c>
      <c r="AG35">
        <f>+MTS_results!AD35</f>
        <v>0</v>
      </c>
      <c r="AH35">
        <f>+MTS_results!AE35</f>
        <v>0</v>
      </c>
      <c r="AI35">
        <f>+MTS_results!AF35</f>
        <v>0</v>
      </c>
      <c r="AJ35" t="e">
        <f>+#REF!</f>
        <v>#REF!</v>
      </c>
      <c r="AK35" s="84" t="e">
        <f t="shared" si="6"/>
        <v>#REF!</v>
      </c>
    </row>
    <row r="36" spans="1:37">
      <c r="A36">
        <v>13</v>
      </c>
      <c r="B36">
        <v>2</v>
      </c>
      <c r="C36">
        <f>+PSO_results!V36</f>
        <v>0</v>
      </c>
      <c r="D36" s="127" t="e">
        <f t="shared" ref="D36:D67" si="67">+((C36-$M36)/$M36)*100</f>
        <v>#REF!</v>
      </c>
      <c r="E36">
        <f>+GA_results!V36</f>
        <v>0</v>
      </c>
      <c r="F36" s="127" t="e">
        <f t="shared" ref="F36:F67" si="68">+((E36-$M36)/$M36)*100</f>
        <v>#REF!</v>
      </c>
      <c r="G36">
        <f>+DE_results!V36</f>
        <v>0</v>
      </c>
      <c r="H36" s="127" t="e">
        <f t="shared" ref="H36" si="69">+((G36-$M36)/$M36)*100</f>
        <v>#REF!</v>
      </c>
      <c r="I36">
        <f>+MTS_results!V36</f>
        <v>0</v>
      </c>
      <c r="J36" s="127" t="e">
        <f t="shared" ref="J36:L36" si="70">+((I36-$M36)/$M36)*100</f>
        <v>#REF!</v>
      </c>
      <c r="K36" t="e">
        <f>+#REF!</f>
        <v>#REF!</v>
      </c>
      <c r="L36" s="127" t="e">
        <f t="shared" si="70"/>
        <v>#REF!</v>
      </c>
      <c r="M36" s="128" t="e">
        <f t="shared" si="4"/>
        <v>#REF!</v>
      </c>
      <c r="N36" t="e">
        <f t="shared" si="5"/>
        <v>#REF!</v>
      </c>
      <c r="P36" s="40">
        <f>+PSO_results!AB36</f>
        <v>0</v>
      </c>
      <c r="Q36" s="40">
        <f>+PSO_results!AC36</f>
        <v>0</v>
      </c>
      <c r="R36" s="40">
        <f>+PSO_results!AD36</f>
        <v>0</v>
      </c>
      <c r="S36" s="40">
        <f>+PSO_results!AE36</f>
        <v>0</v>
      </c>
      <c r="T36" s="40">
        <f>+PSO_results!AF36</f>
        <v>0</v>
      </c>
      <c r="U36">
        <f>+GA_results!AB36</f>
        <v>0</v>
      </c>
      <c r="V36">
        <f>+GA_results!AC36</f>
        <v>0</v>
      </c>
      <c r="W36">
        <f>+GA_results!AD36</f>
        <v>0</v>
      </c>
      <c r="X36">
        <f>+GA_results!AE36</f>
        <v>0</v>
      </c>
      <c r="Y36">
        <f>+GA_results!AF36</f>
        <v>0</v>
      </c>
      <c r="Z36">
        <f>+DE_results!AB36</f>
        <v>0</v>
      </c>
      <c r="AA36">
        <f>+DE_results!AC36</f>
        <v>0</v>
      </c>
      <c r="AB36">
        <f>+DE_results!AD36</f>
        <v>0</v>
      </c>
      <c r="AC36">
        <f>+DE_results!AE36</f>
        <v>0</v>
      </c>
      <c r="AD36">
        <f>+DE_results!AF36</f>
        <v>0</v>
      </c>
      <c r="AE36">
        <f>+MTS_results!AB36</f>
        <v>0</v>
      </c>
      <c r="AF36">
        <f>+MTS_results!AC36</f>
        <v>0</v>
      </c>
      <c r="AG36">
        <f>+MTS_results!AD36</f>
        <v>0</v>
      </c>
      <c r="AH36">
        <f>+MTS_results!AE36</f>
        <v>0</v>
      </c>
      <c r="AI36">
        <f>+MTS_results!AF36</f>
        <v>0</v>
      </c>
      <c r="AJ36" t="e">
        <f>+#REF!</f>
        <v>#REF!</v>
      </c>
      <c r="AK36" s="84" t="e">
        <f t="shared" si="6"/>
        <v>#REF!</v>
      </c>
    </row>
    <row r="37" spans="1:37">
      <c r="A37">
        <v>14</v>
      </c>
      <c r="B37">
        <v>2</v>
      </c>
      <c r="C37">
        <f>+PSO_results!V37</f>
        <v>0</v>
      </c>
      <c r="D37" s="127" t="e">
        <f t="shared" si="67"/>
        <v>#REF!</v>
      </c>
      <c r="E37">
        <f>+GA_results!V37</f>
        <v>0</v>
      </c>
      <c r="F37" s="127" t="e">
        <f t="shared" si="68"/>
        <v>#REF!</v>
      </c>
      <c r="G37">
        <f>+DE_results!V37</f>
        <v>0</v>
      </c>
      <c r="H37" s="127" t="e">
        <f t="shared" ref="H37" si="71">+((G37-$M37)/$M37)*100</f>
        <v>#REF!</v>
      </c>
      <c r="I37">
        <f>+MTS_results!V37</f>
        <v>0</v>
      </c>
      <c r="J37" s="127" t="e">
        <f t="shared" ref="J37:L37" si="72">+((I37-$M37)/$M37)*100</f>
        <v>#REF!</v>
      </c>
      <c r="K37" t="e">
        <f>+#REF!</f>
        <v>#REF!</v>
      </c>
      <c r="L37" s="127" t="e">
        <f t="shared" si="72"/>
        <v>#REF!</v>
      </c>
      <c r="M37" s="128" t="e">
        <f t="shared" si="4"/>
        <v>#REF!</v>
      </c>
      <c r="N37" t="e">
        <f t="shared" si="5"/>
        <v>#REF!</v>
      </c>
      <c r="P37" s="40">
        <f>+PSO_results!AB37</f>
        <v>0</v>
      </c>
      <c r="Q37" s="40">
        <f>+PSO_results!AC37</f>
        <v>0</v>
      </c>
      <c r="R37" s="40">
        <f>+PSO_results!AD37</f>
        <v>0</v>
      </c>
      <c r="S37" s="40">
        <f>+PSO_results!AE37</f>
        <v>0</v>
      </c>
      <c r="T37" s="40">
        <f>+PSO_results!AF37</f>
        <v>0</v>
      </c>
      <c r="U37">
        <f>+GA_results!AB37</f>
        <v>0</v>
      </c>
      <c r="V37">
        <f>+GA_results!AC37</f>
        <v>0</v>
      </c>
      <c r="W37">
        <f>+GA_results!AD37</f>
        <v>0</v>
      </c>
      <c r="X37">
        <f>+GA_results!AE37</f>
        <v>0</v>
      </c>
      <c r="Y37">
        <f>+GA_results!AF37</f>
        <v>0</v>
      </c>
      <c r="Z37">
        <f>+DE_results!AB37</f>
        <v>0</v>
      </c>
      <c r="AA37">
        <f>+DE_results!AC37</f>
        <v>0</v>
      </c>
      <c r="AB37">
        <f>+DE_results!AD37</f>
        <v>0</v>
      </c>
      <c r="AC37">
        <f>+DE_results!AE37</f>
        <v>0</v>
      </c>
      <c r="AD37">
        <f>+DE_results!AF37</f>
        <v>0</v>
      </c>
      <c r="AE37">
        <f>+MTS_results!AB37</f>
        <v>0</v>
      </c>
      <c r="AF37">
        <f>+MTS_results!AC37</f>
        <v>0</v>
      </c>
      <c r="AG37">
        <f>+MTS_results!AD37</f>
        <v>0</v>
      </c>
      <c r="AH37">
        <f>+MTS_results!AE37</f>
        <v>0</v>
      </c>
      <c r="AI37">
        <f>+MTS_results!AF37</f>
        <v>0</v>
      </c>
      <c r="AJ37" t="e">
        <f>+#REF!</f>
        <v>#REF!</v>
      </c>
      <c r="AK37" s="84" t="e">
        <f t="shared" si="6"/>
        <v>#REF!</v>
      </c>
    </row>
    <row r="38" spans="1:37">
      <c r="A38">
        <v>15</v>
      </c>
      <c r="B38">
        <v>2</v>
      </c>
      <c r="C38">
        <f>+PSO_results!V38</f>
        <v>0</v>
      </c>
      <c r="D38" s="127" t="e">
        <f t="shared" si="67"/>
        <v>#REF!</v>
      </c>
      <c r="E38">
        <f>+GA_results!V38</f>
        <v>0</v>
      </c>
      <c r="F38" s="127" t="e">
        <f t="shared" si="68"/>
        <v>#REF!</v>
      </c>
      <c r="G38">
        <f>+DE_results!V38</f>
        <v>0</v>
      </c>
      <c r="H38" s="127" t="e">
        <f t="shared" ref="H38" si="73">+((G38-$M38)/$M38)*100</f>
        <v>#REF!</v>
      </c>
      <c r="I38">
        <f>+MTS_results!V38</f>
        <v>0</v>
      </c>
      <c r="J38" s="127" t="e">
        <f t="shared" ref="J38:L38" si="74">+((I38-$M38)/$M38)*100</f>
        <v>#REF!</v>
      </c>
      <c r="K38" t="e">
        <f>+#REF!</f>
        <v>#REF!</v>
      </c>
      <c r="L38" s="127" t="e">
        <f t="shared" si="74"/>
        <v>#REF!</v>
      </c>
      <c r="M38" s="128" t="e">
        <f t="shared" si="4"/>
        <v>#REF!</v>
      </c>
      <c r="N38" t="e">
        <f t="shared" si="5"/>
        <v>#REF!</v>
      </c>
      <c r="P38" s="40">
        <f>+PSO_results!AB38</f>
        <v>0</v>
      </c>
      <c r="Q38" s="40">
        <f>+PSO_results!AC38</f>
        <v>0</v>
      </c>
      <c r="R38" s="40">
        <f>+PSO_results!AD38</f>
        <v>0</v>
      </c>
      <c r="S38" s="40">
        <f>+PSO_results!AE38</f>
        <v>0</v>
      </c>
      <c r="T38" s="40">
        <f>+PSO_results!AF38</f>
        <v>0</v>
      </c>
      <c r="U38">
        <f>+GA_results!AB38</f>
        <v>0</v>
      </c>
      <c r="V38">
        <f>+GA_results!AC38</f>
        <v>0</v>
      </c>
      <c r="W38">
        <f>+GA_results!AD38</f>
        <v>0</v>
      </c>
      <c r="X38">
        <f>+GA_results!AE38</f>
        <v>0</v>
      </c>
      <c r="Y38">
        <f>+GA_results!AF38</f>
        <v>0</v>
      </c>
      <c r="Z38">
        <f>+DE_results!AB38</f>
        <v>0</v>
      </c>
      <c r="AA38">
        <f>+DE_results!AC38</f>
        <v>0</v>
      </c>
      <c r="AB38">
        <f>+DE_results!AD38</f>
        <v>0</v>
      </c>
      <c r="AC38">
        <f>+DE_results!AE38</f>
        <v>0</v>
      </c>
      <c r="AD38">
        <f>+DE_results!AF38</f>
        <v>0</v>
      </c>
      <c r="AE38">
        <f>+MTS_results!AB38</f>
        <v>0</v>
      </c>
      <c r="AF38">
        <f>+MTS_results!AC38</f>
        <v>0</v>
      </c>
      <c r="AG38">
        <f>+MTS_results!AD38</f>
        <v>0</v>
      </c>
      <c r="AH38">
        <f>+MTS_results!AE38</f>
        <v>0</v>
      </c>
      <c r="AI38">
        <f>+MTS_results!AF38</f>
        <v>0</v>
      </c>
      <c r="AJ38" t="e">
        <f>+#REF!</f>
        <v>#REF!</v>
      </c>
      <c r="AK38" s="84" t="e">
        <f t="shared" si="6"/>
        <v>#REF!</v>
      </c>
    </row>
    <row r="39" spans="1:37">
      <c r="A39">
        <v>16</v>
      </c>
      <c r="B39">
        <v>2</v>
      </c>
      <c r="C39">
        <f>+PSO_results!V39</f>
        <v>0</v>
      </c>
      <c r="D39" s="127" t="e">
        <f t="shared" si="67"/>
        <v>#REF!</v>
      </c>
      <c r="E39">
        <f>+GA_results!V39</f>
        <v>0</v>
      </c>
      <c r="F39" s="127" t="e">
        <f t="shared" si="68"/>
        <v>#REF!</v>
      </c>
      <c r="G39">
        <f>+DE_results!V39</f>
        <v>0</v>
      </c>
      <c r="H39" s="127" t="e">
        <f t="shared" ref="H39" si="75">+((G39-$M39)/$M39)*100</f>
        <v>#REF!</v>
      </c>
      <c r="I39">
        <f>+MTS_results!V39</f>
        <v>0</v>
      </c>
      <c r="J39" s="127" t="e">
        <f t="shared" ref="J39:L39" si="76">+((I39-$M39)/$M39)*100</f>
        <v>#REF!</v>
      </c>
      <c r="K39" t="e">
        <f>+#REF!</f>
        <v>#REF!</v>
      </c>
      <c r="L39" s="127" t="e">
        <f t="shared" si="76"/>
        <v>#REF!</v>
      </c>
      <c r="M39" s="128" t="e">
        <f t="shared" si="4"/>
        <v>#REF!</v>
      </c>
      <c r="N39" t="e">
        <f t="shared" si="5"/>
        <v>#REF!</v>
      </c>
      <c r="P39" s="40">
        <f>+PSO_results!AB39</f>
        <v>0</v>
      </c>
      <c r="Q39" s="40">
        <f>+PSO_results!AC39</f>
        <v>0</v>
      </c>
      <c r="R39" s="40">
        <f>+PSO_results!AD39</f>
        <v>0</v>
      </c>
      <c r="S39" s="40">
        <f>+PSO_results!AE39</f>
        <v>0</v>
      </c>
      <c r="T39" s="40">
        <f>+PSO_results!AF39</f>
        <v>0</v>
      </c>
      <c r="U39">
        <f>+GA_results!AB39</f>
        <v>0</v>
      </c>
      <c r="V39">
        <f>+GA_results!AC39</f>
        <v>0</v>
      </c>
      <c r="W39">
        <f>+GA_results!AD39</f>
        <v>0</v>
      </c>
      <c r="X39">
        <f>+GA_results!AE39</f>
        <v>0</v>
      </c>
      <c r="Y39">
        <f>+GA_results!AF39</f>
        <v>0</v>
      </c>
      <c r="Z39">
        <f>+DE_results!AB39</f>
        <v>0</v>
      </c>
      <c r="AA39">
        <f>+DE_results!AC39</f>
        <v>0</v>
      </c>
      <c r="AB39">
        <f>+DE_results!AD39</f>
        <v>0</v>
      </c>
      <c r="AC39">
        <f>+DE_results!AE39</f>
        <v>0</v>
      </c>
      <c r="AD39">
        <f>+DE_results!AF39</f>
        <v>0</v>
      </c>
      <c r="AE39">
        <f>+MTS_results!AB39</f>
        <v>0</v>
      </c>
      <c r="AF39">
        <f>+MTS_results!AC39</f>
        <v>0</v>
      </c>
      <c r="AG39">
        <f>+MTS_results!AD39</f>
        <v>0</v>
      </c>
      <c r="AH39">
        <f>+MTS_results!AE39</f>
        <v>0</v>
      </c>
      <c r="AI39">
        <f>+MTS_results!AF39</f>
        <v>0</v>
      </c>
      <c r="AJ39" t="e">
        <f>+#REF!</f>
        <v>#REF!</v>
      </c>
      <c r="AK39" s="84" t="e">
        <f t="shared" si="6"/>
        <v>#REF!</v>
      </c>
    </row>
    <row r="40" spans="1:37">
      <c r="A40">
        <v>17</v>
      </c>
      <c r="B40">
        <v>2</v>
      </c>
      <c r="C40">
        <f>+PSO_results!V40</f>
        <v>0</v>
      </c>
      <c r="D40" s="127" t="e">
        <f t="shared" si="67"/>
        <v>#REF!</v>
      </c>
      <c r="E40">
        <f>+GA_results!V40</f>
        <v>0</v>
      </c>
      <c r="F40" s="127" t="e">
        <f t="shared" si="68"/>
        <v>#REF!</v>
      </c>
      <c r="G40">
        <f>+DE_results!V40</f>
        <v>0</v>
      </c>
      <c r="H40" s="127" t="e">
        <f t="shared" ref="H40" si="77">+((G40-$M40)/$M40)*100</f>
        <v>#REF!</v>
      </c>
      <c r="I40">
        <f>+MTS_results!V40</f>
        <v>0</v>
      </c>
      <c r="J40" s="127" t="e">
        <f t="shared" ref="J40:L40" si="78">+((I40-$M40)/$M40)*100</f>
        <v>#REF!</v>
      </c>
      <c r="K40" t="e">
        <f>+#REF!</f>
        <v>#REF!</v>
      </c>
      <c r="L40" s="127" t="e">
        <f t="shared" si="78"/>
        <v>#REF!</v>
      </c>
      <c r="M40" s="128" t="e">
        <f t="shared" si="4"/>
        <v>#REF!</v>
      </c>
      <c r="N40" t="e">
        <f t="shared" si="5"/>
        <v>#REF!</v>
      </c>
      <c r="P40" s="40">
        <f>+PSO_results!AB40</f>
        <v>0</v>
      </c>
      <c r="Q40" s="40">
        <f>+PSO_results!AC40</f>
        <v>0</v>
      </c>
      <c r="R40" s="40">
        <f>+PSO_results!AD40</f>
        <v>0</v>
      </c>
      <c r="S40" s="40">
        <f>+PSO_results!AE40</f>
        <v>0</v>
      </c>
      <c r="T40" s="40">
        <f>+PSO_results!AF40</f>
        <v>0</v>
      </c>
      <c r="U40">
        <f>+GA_results!AB40</f>
        <v>0</v>
      </c>
      <c r="V40">
        <f>+GA_results!AC40</f>
        <v>0</v>
      </c>
      <c r="W40">
        <f>+GA_results!AD40</f>
        <v>0</v>
      </c>
      <c r="X40">
        <f>+GA_results!AE40</f>
        <v>0</v>
      </c>
      <c r="Y40">
        <f>+GA_results!AF40</f>
        <v>0</v>
      </c>
      <c r="Z40">
        <f>+DE_results!AB40</f>
        <v>0</v>
      </c>
      <c r="AA40">
        <f>+DE_results!AC40</f>
        <v>0</v>
      </c>
      <c r="AB40">
        <f>+DE_results!AD40</f>
        <v>0</v>
      </c>
      <c r="AC40">
        <f>+DE_results!AE40</f>
        <v>0</v>
      </c>
      <c r="AD40">
        <f>+DE_results!AF40</f>
        <v>0</v>
      </c>
      <c r="AE40">
        <f>+MTS_results!AB40</f>
        <v>0</v>
      </c>
      <c r="AF40">
        <f>+MTS_results!AC40</f>
        <v>0</v>
      </c>
      <c r="AG40">
        <f>+MTS_results!AD40</f>
        <v>0</v>
      </c>
      <c r="AH40">
        <f>+MTS_results!AE40</f>
        <v>0</v>
      </c>
      <c r="AI40">
        <f>+MTS_results!AF40</f>
        <v>0</v>
      </c>
      <c r="AJ40" t="e">
        <f>+#REF!</f>
        <v>#REF!</v>
      </c>
      <c r="AK40" s="84" t="e">
        <f t="shared" si="6"/>
        <v>#REF!</v>
      </c>
    </row>
    <row r="41" spans="1:37">
      <c r="A41">
        <v>18</v>
      </c>
      <c r="B41">
        <v>2</v>
      </c>
      <c r="C41">
        <f>+PSO_results!V41</f>
        <v>0</v>
      </c>
      <c r="D41" s="127" t="e">
        <f t="shared" si="67"/>
        <v>#REF!</v>
      </c>
      <c r="E41">
        <f>+GA_results!V41</f>
        <v>0</v>
      </c>
      <c r="F41" s="127" t="e">
        <f t="shared" si="68"/>
        <v>#REF!</v>
      </c>
      <c r="G41">
        <f>+DE_results!V41</f>
        <v>0</v>
      </c>
      <c r="H41" s="127" t="e">
        <f t="shared" ref="H41" si="79">+((G41-$M41)/$M41)*100</f>
        <v>#REF!</v>
      </c>
      <c r="I41">
        <f>+MTS_results!V41</f>
        <v>0</v>
      </c>
      <c r="J41" s="127" t="e">
        <f t="shared" ref="J41:L41" si="80">+((I41-$M41)/$M41)*100</f>
        <v>#REF!</v>
      </c>
      <c r="K41" t="e">
        <f>+#REF!</f>
        <v>#REF!</v>
      </c>
      <c r="L41" s="127" t="e">
        <f t="shared" si="80"/>
        <v>#REF!</v>
      </c>
      <c r="M41" s="128" t="e">
        <f t="shared" si="4"/>
        <v>#REF!</v>
      </c>
      <c r="N41" t="e">
        <f t="shared" si="5"/>
        <v>#REF!</v>
      </c>
      <c r="P41" s="40">
        <f>+PSO_results!AB41</f>
        <v>0</v>
      </c>
      <c r="Q41" s="40">
        <f>+PSO_results!AC41</f>
        <v>0</v>
      </c>
      <c r="R41" s="40">
        <f>+PSO_results!AD41</f>
        <v>0</v>
      </c>
      <c r="S41" s="40">
        <f>+PSO_results!AE41</f>
        <v>0</v>
      </c>
      <c r="T41" s="40">
        <f>+PSO_results!AF41</f>
        <v>0</v>
      </c>
      <c r="U41">
        <f>+GA_results!AB41</f>
        <v>0</v>
      </c>
      <c r="V41">
        <f>+GA_results!AC41</f>
        <v>0</v>
      </c>
      <c r="W41">
        <f>+GA_results!AD41</f>
        <v>0</v>
      </c>
      <c r="X41">
        <f>+GA_results!AE41</f>
        <v>0</v>
      </c>
      <c r="Y41">
        <f>+GA_results!AF41</f>
        <v>0</v>
      </c>
      <c r="Z41">
        <f>+DE_results!AB41</f>
        <v>0</v>
      </c>
      <c r="AA41">
        <f>+DE_results!AC41</f>
        <v>0</v>
      </c>
      <c r="AB41">
        <f>+DE_results!AD41</f>
        <v>0</v>
      </c>
      <c r="AC41">
        <f>+DE_results!AE41</f>
        <v>0</v>
      </c>
      <c r="AD41">
        <f>+DE_results!AF41</f>
        <v>0</v>
      </c>
      <c r="AE41">
        <f>+MTS_results!AB41</f>
        <v>0</v>
      </c>
      <c r="AF41">
        <f>+MTS_results!AC41</f>
        <v>0</v>
      </c>
      <c r="AG41">
        <f>+MTS_results!AD41</f>
        <v>0</v>
      </c>
      <c r="AH41">
        <f>+MTS_results!AE41</f>
        <v>0</v>
      </c>
      <c r="AI41">
        <f>+MTS_results!AF41</f>
        <v>0</v>
      </c>
      <c r="AJ41" t="e">
        <f>+#REF!</f>
        <v>#REF!</v>
      </c>
      <c r="AK41" s="84" t="e">
        <f t="shared" si="6"/>
        <v>#REF!</v>
      </c>
    </row>
    <row r="42" spans="1:37">
      <c r="A42">
        <v>19</v>
      </c>
      <c r="B42">
        <v>2</v>
      </c>
      <c r="C42">
        <f>+PSO_results!V42</f>
        <v>0</v>
      </c>
      <c r="D42" s="127" t="e">
        <f t="shared" si="67"/>
        <v>#REF!</v>
      </c>
      <c r="E42">
        <f>+GA_results!V42</f>
        <v>0</v>
      </c>
      <c r="F42" s="127" t="e">
        <f t="shared" si="68"/>
        <v>#REF!</v>
      </c>
      <c r="G42">
        <f>+DE_results!V42</f>
        <v>0</v>
      </c>
      <c r="H42" s="127" t="e">
        <f t="shared" ref="H42" si="81">+((G42-$M42)/$M42)*100</f>
        <v>#REF!</v>
      </c>
      <c r="I42">
        <f>+MTS_results!V42</f>
        <v>0</v>
      </c>
      <c r="J42" s="127" t="e">
        <f t="shared" ref="J42:L42" si="82">+((I42-$M42)/$M42)*100</f>
        <v>#REF!</v>
      </c>
      <c r="K42" t="e">
        <f>+#REF!</f>
        <v>#REF!</v>
      </c>
      <c r="L42" s="127" t="e">
        <f t="shared" si="82"/>
        <v>#REF!</v>
      </c>
      <c r="M42" s="128" t="e">
        <f t="shared" si="4"/>
        <v>#REF!</v>
      </c>
      <c r="N42" t="e">
        <f t="shared" si="5"/>
        <v>#REF!</v>
      </c>
      <c r="P42" s="40">
        <f>+PSO_results!AB42</f>
        <v>0</v>
      </c>
      <c r="Q42" s="40">
        <f>+PSO_results!AC42</f>
        <v>0</v>
      </c>
      <c r="R42" s="40">
        <f>+PSO_results!AD42</f>
        <v>0</v>
      </c>
      <c r="S42" s="40">
        <f>+PSO_results!AE42</f>
        <v>0</v>
      </c>
      <c r="T42" s="40">
        <f>+PSO_results!AF42</f>
        <v>0</v>
      </c>
      <c r="U42">
        <f>+GA_results!AB42</f>
        <v>0</v>
      </c>
      <c r="V42">
        <f>+GA_results!AC42</f>
        <v>0</v>
      </c>
      <c r="W42">
        <f>+GA_results!AD42</f>
        <v>0</v>
      </c>
      <c r="X42">
        <f>+GA_results!AE42</f>
        <v>0</v>
      </c>
      <c r="Y42">
        <f>+GA_results!AF42</f>
        <v>0</v>
      </c>
      <c r="Z42">
        <f>+DE_results!AB42</f>
        <v>0</v>
      </c>
      <c r="AA42">
        <f>+DE_results!AC42</f>
        <v>0</v>
      </c>
      <c r="AB42">
        <f>+DE_results!AD42</f>
        <v>0</v>
      </c>
      <c r="AC42">
        <f>+DE_results!AE42</f>
        <v>0</v>
      </c>
      <c r="AD42">
        <f>+DE_results!AF42</f>
        <v>0</v>
      </c>
      <c r="AE42">
        <f>+MTS_results!AB42</f>
        <v>0</v>
      </c>
      <c r="AF42">
        <f>+MTS_results!AC42</f>
        <v>0</v>
      </c>
      <c r="AG42">
        <f>+MTS_results!AD42</f>
        <v>0</v>
      </c>
      <c r="AH42">
        <f>+MTS_results!AE42</f>
        <v>0</v>
      </c>
      <c r="AI42">
        <f>+MTS_results!AF42</f>
        <v>0</v>
      </c>
      <c r="AJ42" t="e">
        <f>+#REF!</f>
        <v>#REF!</v>
      </c>
      <c r="AK42" s="84" t="e">
        <f t="shared" si="6"/>
        <v>#REF!</v>
      </c>
    </row>
    <row r="43" spans="1:37">
      <c r="A43">
        <v>20</v>
      </c>
      <c r="B43">
        <v>2</v>
      </c>
      <c r="C43">
        <f>+PSO_results!V43</f>
        <v>0</v>
      </c>
      <c r="D43" s="127" t="e">
        <f t="shared" si="67"/>
        <v>#REF!</v>
      </c>
      <c r="E43">
        <f>+GA_results!V43</f>
        <v>0</v>
      </c>
      <c r="F43" s="127" t="e">
        <f t="shared" si="68"/>
        <v>#REF!</v>
      </c>
      <c r="G43">
        <f>+DE_results!V43</f>
        <v>0</v>
      </c>
      <c r="H43" s="127" t="e">
        <f t="shared" ref="H43" si="83">+((G43-$M43)/$M43)*100</f>
        <v>#REF!</v>
      </c>
      <c r="I43">
        <f>+MTS_results!V43</f>
        <v>0</v>
      </c>
      <c r="J43" s="127" t="e">
        <f t="shared" ref="J43:L43" si="84">+((I43-$M43)/$M43)*100</f>
        <v>#REF!</v>
      </c>
      <c r="K43" t="e">
        <f>+#REF!</f>
        <v>#REF!</v>
      </c>
      <c r="L43" s="127" t="e">
        <f t="shared" si="84"/>
        <v>#REF!</v>
      </c>
      <c r="M43" s="128" t="e">
        <f t="shared" si="4"/>
        <v>#REF!</v>
      </c>
      <c r="N43" t="e">
        <f t="shared" si="5"/>
        <v>#REF!</v>
      </c>
      <c r="P43" s="40">
        <f>+PSO_results!AB43</f>
        <v>0</v>
      </c>
      <c r="Q43" s="40">
        <f>+PSO_results!AC43</f>
        <v>0</v>
      </c>
      <c r="R43" s="40">
        <f>+PSO_results!AD43</f>
        <v>0</v>
      </c>
      <c r="S43" s="40">
        <f>+PSO_results!AE43</f>
        <v>0</v>
      </c>
      <c r="T43" s="40">
        <f>+PSO_results!AF43</f>
        <v>0</v>
      </c>
      <c r="U43">
        <f>+GA_results!AB43</f>
        <v>0</v>
      </c>
      <c r="V43">
        <f>+GA_results!AC43</f>
        <v>0</v>
      </c>
      <c r="W43">
        <f>+GA_results!AD43</f>
        <v>0</v>
      </c>
      <c r="X43">
        <f>+GA_results!AE43</f>
        <v>0</v>
      </c>
      <c r="Y43">
        <f>+GA_results!AF43</f>
        <v>0</v>
      </c>
      <c r="Z43">
        <f>+DE_results!AB43</f>
        <v>0</v>
      </c>
      <c r="AA43">
        <f>+DE_results!AC43</f>
        <v>0</v>
      </c>
      <c r="AB43">
        <f>+DE_results!AD43</f>
        <v>0</v>
      </c>
      <c r="AC43">
        <f>+DE_results!AE43</f>
        <v>0</v>
      </c>
      <c r="AD43">
        <f>+DE_results!AF43</f>
        <v>0</v>
      </c>
      <c r="AE43">
        <f>+MTS_results!AB43</f>
        <v>0</v>
      </c>
      <c r="AF43">
        <f>+MTS_results!AC43</f>
        <v>0</v>
      </c>
      <c r="AG43">
        <f>+MTS_results!AD43</f>
        <v>0</v>
      </c>
      <c r="AH43">
        <f>+MTS_results!AE43</f>
        <v>0</v>
      </c>
      <c r="AI43">
        <f>+MTS_results!AF43</f>
        <v>0</v>
      </c>
      <c r="AJ43" t="e">
        <f>+#REF!</f>
        <v>#REF!</v>
      </c>
      <c r="AK43" s="84" t="e">
        <f t="shared" si="6"/>
        <v>#REF!</v>
      </c>
    </row>
    <row r="44" spans="1:37">
      <c r="A44">
        <v>21</v>
      </c>
      <c r="B44">
        <v>1</v>
      </c>
      <c r="C44">
        <f>+PSO_results!V44</f>
        <v>0</v>
      </c>
      <c r="D44" s="127" t="e">
        <f t="shared" si="67"/>
        <v>#REF!</v>
      </c>
      <c r="E44">
        <f>+GA_results!V44</f>
        <v>0</v>
      </c>
      <c r="F44" s="127" t="e">
        <f t="shared" si="68"/>
        <v>#REF!</v>
      </c>
      <c r="G44">
        <f>+DE_results!V44</f>
        <v>0</v>
      </c>
      <c r="H44" s="127" t="e">
        <f t="shared" ref="H44" si="85">+((G44-$M44)/$M44)*100</f>
        <v>#REF!</v>
      </c>
      <c r="I44">
        <f>+MTS_results!V44</f>
        <v>0</v>
      </c>
      <c r="J44" s="127" t="e">
        <f t="shared" ref="J44:L44" si="86">+((I44-$M44)/$M44)*100</f>
        <v>#REF!</v>
      </c>
      <c r="K44" t="e">
        <f>+#REF!</f>
        <v>#REF!</v>
      </c>
      <c r="L44" s="127" t="e">
        <f t="shared" si="86"/>
        <v>#REF!</v>
      </c>
      <c r="M44" s="128" t="e">
        <f t="shared" si="4"/>
        <v>#REF!</v>
      </c>
      <c r="N44" t="e">
        <f t="shared" si="5"/>
        <v>#REF!</v>
      </c>
      <c r="P44" s="40">
        <f>+PSO_results!AB44</f>
        <v>0</v>
      </c>
      <c r="Q44" s="40">
        <f>+PSO_results!AC44</f>
        <v>0</v>
      </c>
      <c r="R44" s="40">
        <f>+PSO_results!AD44</f>
        <v>0</v>
      </c>
      <c r="S44" s="40">
        <f>+PSO_results!AE44</f>
        <v>0</v>
      </c>
      <c r="T44" s="40">
        <f>+PSO_results!AF44</f>
        <v>0</v>
      </c>
      <c r="U44">
        <f>+GA_results!AB44</f>
        <v>0</v>
      </c>
      <c r="V44">
        <f>+GA_results!AC44</f>
        <v>0</v>
      </c>
      <c r="W44">
        <f>+GA_results!AD44</f>
        <v>0</v>
      </c>
      <c r="X44">
        <f>+GA_results!AE44</f>
        <v>0</v>
      </c>
      <c r="Y44">
        <f>+GA_results!AF44</f>
        <v>0</v>
      </c>
      <c r="Z44">
        <f>+DE_results!AB44</f>
        <v>0</v>
      </c>
      <c r="AA44">
        <f>+DE_results!AC44</f>
        <v>0</v>
      </c>
      <c r="AB44">
        <f>+DE_results!AD44</f>
        <v>0</v>
      </c>
      <c r="AC44">
        <f>+DE_results!AE44</f>
        <v>0</v>
      </c>
      <c r="AD44">
        <f>+DE_results!AF44</f>
        <v>0</v>
      </c>
      <c r="AE44">
        <f>+MTS_results!AB44</f>
        <v>0</v>
      </c>
      <c r="AF44">
        <f>+MTS_results!AC44</f>
        <v>0</v>
      </c>
      <c r="AG44">
        <f>+MTS_results!AD44</f>
        <v>0</v>
      </c>
      <c r="AH44">
        <f>+MTS_results!AE44</f>
        <v>0</v>
      </c>
      <c r="AI44">
        <f>+MTS_results!AF44</f>
        <v>0</v>
      </c>
      <c r="AJ44" t="e">
        <f>+#REF!</f>
        <v>#REF!</v>
      </c>
      <c r="AK44" s="84" t="e">
        <f t="shared" si="6"/>
        <v>#REF!</v>
      </c>
    </row>
    <row r="45" spans="1:37">
      <c r="A45">
        <v>22</v>
      </c>
      <c r="B45">
        <v>1</v>
      </c>
      <c r="C45">
        <f>+PSO_results!V45</f>
        <v>0</v>
      </c>
      <c r="D45" s="127" t="e">
        <f t="shared" si="67"/>
        <v>#REF!</v>
      </c>
      <c r="E45">
        <f>+GA_results!V45</f>
        <v>0</v>
      </c>
      <c r="F45" s="127" t="e">
        <f t="shared" si="68"/>
        <v>#REF!</v>
      </c>
      <c r="G45">
        <f>+DE_results!V45</f>
        <v>0</v>
      </c>
      <c r="H45" s="127" t="e">
        <f t="shared" ref="H45" si="87">+((G45-$M45)/$M45)*100</f>
        <v>#REF!</v>
      </c>
      <c r="I45">
        <f>+MTS_results!V45</f>
        <v>0</v>
      </c>
      <c r="J45" s="127" t="e">
        <f t="shared" ref="J45:L45" si="88">+((I45-$M45)/$M45)*100</f>
        <v>#REF!</v>
      </c>
      <c r="K45" t="e">
        <f>+#REF!</f>
        <v>#REF!</v>
      </c>
      <c r="L45" s="127" t="e">
        <f t="shared" si="88"/>
        <v>#REF!</v>
      </c>
      <c r="M45" s="128" t="e">
        <f t="shared" si="4"/>
        <v>#REF!</v>
      </c>
      <c r="N45" t="e">
        <f t="shared" si="5"/>
        <v>#REF!</v>
      </c>
      <c r="P45" s="40">
        <f>+PSO_results!AB45</f>
        <v>0</v>
      </c>
      <c r="Q45" s="40">
        <f>+PSO_results!AC45</f>
        <v>0</v>
      </c>
      <c r="R45" s="40">
        <f>+PSO_results!AD45</f>
        <v>0</v>
      </c>
      <c r="S45" s="40">
        <f>+PSO_results!AE45</f>
        <v>0</v>
      </c>
      <c r="T45" s="40">
        <f>+PSO_results!AF45</f>
        <v>0</v>
      </c>
      <c r="U45">
        <f>+GA_results!AB45</f>
        <v>0</v>
      </c>
      <c r="V45">
        <f>+GA_results!AC45</f>
        <v>0</v>
      </c>
      <c r="W45">
        <f>+GA_results!AD45</f>
        <v>0</v>
      </c>
      <c r="X45">
        <f>+GA_results!AE45</f>
        <v>0</v>
      </c>
      <c r="Y45">
        <f>+GA_results!AF45</f>
        <v>0</v>
      </c>
      <c r="Z45">
        <f>+DE_results!AB45</f>
        <v>0</v>
      </c>
      <c r="AA45">
        <f>+DE_results!AC45</f>
        <v>0</v>
      </c>
      <c r="AB45">
        <f>+DE_results!AD45</f>
        <v>0</v>
      </c>
      <c r="AC45">
        <f>+DE_results!AE45</f>
        <v>0</v>
      </c>
      <c r="AD45">
        <f>+DE_results!AF45</f>
        <v>0</v>
      </c>
      <c r="AE45">
        <f>+MTS_results!AB45</f>
        <v>0</v>
      </c>
      <c r="AF45">
        <f>+MTS_results!AC45</f>
        <v>0</v>
      </c>
      <c r="AG45">
        <f>+MTS_results!AD45</f>
        <v>0</v>
      </c>
      <c r="AH45">
        <f>+MTS_results!AE45</f>
        <v>0</v>
      </c>
      <c r="AI45">
        <f>+MTS_results!AF45</f>
        <v>0</v>
      </c>
      <c r="AJ45" t="e">
        <f>+#REF!</f>
        <v>#REF!</v>
      </c>
      <c r="AK45" s="84" t="e">
        <f t="shared" si="6"/>
        <v>#REF!</v>
      </c>
    </row>
    <row r="46" spans="1:37">
      <c r="A46">
        <v>23</v>
      </c>
      <c r="B46">
        <v>1</v>
      </c>
      <c r="C46">
        <f>+PSO_results!V46</f>
        <v>0</v>
      </c>
      <c r="D46" s="127" t="e">
        <f t="shared" si="67"/>
        <v>#REF!</v>
      </c>
      <c r="E46">
        <f>+GA_results!V46</f>
        <v>0</v>
      </c>
      <c r="F46" s="127" t="e">
        <f t="shared" si="68"/>
        <v>#REF!</v>
      </c>
      <c r="G46">
        <f>+DE_results!V46</f>
        <v>0</v>
      </c>
      <c r="H46" s="127" t="e">
        <f t="shared" ref="H46" si="89">+((G46-$M46)/$M46)*100</f>
        <v>#REF!</v>
      </c>
      <c r="I46">
        <f>+MTS_results!V46</f>
        <v>0</v>
      </c>
      <c r="J46" s="127" t="e">
        <f t="shared" ref="J46:L46" si="90">+((I46-$M46)/$M46)*100</f>
        <v>#REF!</v>
      </c>
      <c r="K46" t="e">
        <f>+#REF!</f>
        <v>#REF!</v>
      </c>
      <c r="L46" s="127" t="e">
        <f t="shared" si="90"/>
        <v>#REF!</v>
      </c>
      <c r="M46" s="128" t="e">
        <f t="shared" si="4"/>
        <v>#REF!</v>
      </c>
      <c r="N46" t="e">
        <f t="shared" si="5"/>
        <v>#REF!</v>
      </c>
      <c r="P46" s="40">
        <f>+PSO_results!AB46</f>
        <v>0</v>
      </c>
      <c r="Q46" s="40">
        <f>+PSO_results!AC46</f>
        <v>0</v>
      </c>
      <c r="R46" s="40">
        <f>+PSO_results!AD46</f>
        <v>0</v>
      </c>
      <c r="S46" s="40">
        <f>+PSO_results!AE46</f>
        <v>0</v>
      </c>
      <c r="T46" s="40">
        <f>+PSO_results!AF46</f>
        <v>0</v>
      </c>
      <c r="U46">
        <f>+GA_results!AB46</f>
        <v>0</v>
      </c>
      <c r="V46">
        <f>+GA_results!AC46</f>
        <v>0</v>
      </c>
      <c r="W46">
        <f>+GA_results!AD46</f>
        <v>0</v>
      </c>
      <c r="X46">
        <f>+GA_results!AE46</f>
        <v>0</v>
      </c>
      <c r="Y46">
        <f>+GA_results!AF46</f>
        <v>0</v>
      </c>
      <c r="Z46">
        <f>+DE_results!AB46</f>
        <v>0</v>
      </c>
      <c r="AA46">
        <f>+DE_results!AC46</f>
        <v>0</v>
      </c>
      <c r="AB46">
        <f>+DE_results!AD46</f>
        <v>0</v>
      </c>
      <c r="AC46">
        <f>+DE_results!AE46</f>
        <v>0</v>
      </c>
      <c r="AD46">
        <f>+DE_results!AF46</f>
        <v>0</v>
      </c>
      <c r="AE46">
        <f>+MTS_results!AB46</f>
        <v>0</v>
      </c>
      <c r="AF46">
        <f>+MTS_results!AC46</f>
        <v>0</v>
      </c>
      <c r="AG46">
        <f>+MTS_results!AD46</f>
        <v>0</v>
      </c>
      <c r="AH46">
        <f>+MTS_results!AE46</f>
        <v>0</v>
      </c>
      <c r="AI46">
        <f>+MTS_results!AF46</f>
        <v>0</v>
      </c>
      <c r="AJ46" t="e">
        <f>+#REF!</f>
        <v>#REF!</v>
      </c>
      <c r="AK46" s="84" t="e">
        <f t="shared" si="6"/>
        <v>#REF!</v>
      </c>
    </row>
    <row r="47" spans="1:37">
      <c r="A47">
        <v>24</v>
      </c>
      <c r="B47">
        <v>1</v>
      </c>
      <c r="C47">
        <f>+PSO_results!V47</f>
        <v>0</v>
      </c>
      <c r="D47" s="127" t="e">
        <f t="shared" si="67"/>
        <v>#REF!</v>
      </c>
      <c r="E47">
        <f>+GA_results!V47</f>
        <v>0</v>
      </c>
      <c r="F47" s="127" t="e">
        <f t="shared" si="68"/>
        <v>#REF!</v>
      </c>
      <c r="G47">
        <f>+DE_results!V47</f>
        <v>0</v>
      </c>
      <c r="H47" s="127" t="e">
        <f t="shared" ref="H47" si="91">+((G47-$M47)/$M47)*100</f>
        <v>#REF!</v>
      </c>
      <c r="I47">
        <f>+MTS_results!V47</f>
        <v>0</v>
      </c>
      <c r="J47" s="127" t="e">
        <f t="shared" ref="J47:L47" si="92">+((I47-$M47)/$M47)*100</f>
        <v>#REF!</v>
      </c>
      <c r="K47" t="e">
        <f>+#REF!</f>
        <v>#REF!</v>
      </c>
      <c r="L47" s="127" t="e">
        <f t="shared" si="92"/>
        <v>#REF!</v>
      </c>
      <c r="M47" s="128" t="e">
        <f t="shared" si="4"/>
        <v>#REF!</v>
      </c>
      <c r="N47" t="e">
        <f t="shared" si="5"/>
        <v>#REF!</v>
      </c>
      <c r="P47" s="40">
        <f>+PSO_results!AB47</f>
        <v>0</v>
      </c>
      <c r="Q47" s="40">
        <f>+PSO_results!AC47</f>
        <v>0</v>
      </c>
      <c r="R47" s="40">
        <f>+PSO_results!AD47</f>
        <v>0</v>
      </c>
      <c r="S47" s="40">
        <f>+PSO_results!AE47</f>
        <v>0</v>
      </c>
      <c r="T47" s="40">
        <f>+PSO_results!AF47</f>
        <v>0</v>
      </c>
      <c r="U47">
        <f>+GA_results!AB47</f>
        <v>0</v>
      </c>
      <c r="V47">
        <f>+GA_results!AC47</f>
        <v>0</v>
      </c>
      <c r="W47">
        <f>+GA_results!AD47</f>
        <v>0</v>
      </c>
      <c r="X47">
        <f>+GA_results!AE47</f>
        <v>0</v>
      </c>
      <c r="Y47">
        <f>+GA_results!AF47</f>
        <v>0</v>
      </c>
      <c r="Z47">
        <f>+DE_results!AB47</f>
        <v>0</v>
      </c>
      <c r="AA47">
        <f>+DE_results!AC47</f>
        <v>0</v>
      </c>
      <c r="AB47">
        <f>+DE_results!AD47</f>
        <v>0</v>
      </c>
      <c r="AC47">
        <f>+DE_results!AE47</f>
        <v>0</v>
      </c>
      <c r="AD47">
        <f>+DE_results!AF47</f>
        <v>0</v>
      </c>
      <c r="AE47">
        <f>+MTS_results!AB47</f>
        <v>0</v>
      </c>
      <c r="AF47">
        <f>+MTS_results!AC47</f>
        <v>0</v>
      </c>
      <c r="AG47">
        <f>+MTS_results!AD47</f>
        <v>0</v>
      </c>
      <c r="AH47">
        <f>+MTS_results!AE47</f>
        <v>0</v>
      </c>
      <c r="AI47">
        <f>+MTS_results!AF47</f>
        <v>0</v>
      </c>
      <c r="AJ47" t="e">
        <f>+#REF!</f>
        <v>#REF!</v>
      </c>
      <c r="AK47" s="84" t="e">
        <f t="shared" si="6"/>
        <v>#REF!</v>
      </c>
    </row>
    <row r="48" spans="1:37">
      <c r="A48">
        <v>25</v>
      </c>
      <c r="B48">
        <v>1</v>
      </c>
      <c r="C48">
        <f>+PSO_results!V48</f>
        <v>0</v>
      </c>
      <c r="D48" s="127" t="e">
        <f t="shared" si="67"/>
        <v>#REF!</v>
      </c>
      <c r="E48">
        <f>+GA_results!V48</f>
        <v>0</v>
      </c>
      <c r="F48" s="127" t="e">
        <f t="shared" si="68"/>
        <v>#REF!</v>
      </c>
      <c r="G48">
        <f>+DE_results!V48</f>
        <v>0</v>
      </c>
      <c r="H48" s="127" t="e">
        <f t="shared" ref="H48" si="93">+((G48-$M48)/$M48)*100</f>
        <v>#REF!</v>
      </c>
      <c r="I48">
        <f>+MTS_results!V48</f>
        <v>0</v>
      </c>
      <c r="J48" s="127" t="e">
        <f t="shared" ref="J48:L48" si="94">+((I48-$M48)/$M48)*100</f>
        <v>#REF!</v>
      </c>
      <c r="K48" t="e">
        <f>+#REF!</f>
        <v>#REF!</v>
      </c>
      <c r="L48" s="127" t="e">
        <f t="shared" si="94"/>
        <v>#REF!</v>
      </c>
      <c r="M48" s="128" t="e">
        <f t="shared" si="4"/>
        <v>#REF!</v>
      </c>
      <c r="N48" t="e">
        <f t="shared" si="5"/>
        <v>#REF!</v>
      </c>
      <c r="P48" s="40">
        <f>+PSO_results!AB48</f>
        <v>0</v>
      </c>
      <c r="Q48" s="40">
        <f>+PSO_results!AC48</f>
        <v>0</v>
      </c>
      <c r="R48" s="40">
        <f>+PSO_results!AD48</f>
        <v>0</v>
      </c>
      <c r="S48" s="40">
        <f>+PSO_results!AE48</f>
        <v>0</v>
      </c>
      <c r="T48" s="40">
        <f>+PSO_results!AF48</f>
        <v>0</v>
      </c>
      <c r="U48">
        <f>+GA_results!AB48</f>
        <v>0</v>
      </c>
      <c r="V48">
        <f>+GA_results!AC48</f>
        <v>0</v>
      </c>
      <c r="W48">
        <f>+GA_results!AD48</f>
        <v>0</v>
      </c>
      <c r="X48">
        <f>+GA_results!AE48</f>
        <v>0</v>
      </c>
      <c r="Y48">
        <f>+GA_results!AF48</f>
        <v>0</v>
      </c>
      <c r="Z48">
        <f>+DE_results!AB48</f>
        <v>0</v>
      </c>
      <c r="AA48">
        <f>+DE_results!AC48</f>
        <v>0</v>
      </c>
      <c r="AB48">
        <f>+DE_results!AD48</f>
        <v>0</v>
      </c>
      <c r="AC48">
        <f>+DE_results!AE48</f>
        <v>0</v>
      </c>
      <c r="AD48">
        <f>+DE_results!AF48</f>
        <v>0</v>
      </c>
      <c r="AE48">
        <f>+MTS_results!AB48</f>
        <v>0</v>
      </c>
      <c r="AF48">
        <f>+MTS_results!AC48</f>
        <v>0</v>
      </c>
      <c r="AG48">
        <f>+MTS_results!AD48</f>
        <v>0</v>
      </c>
      <c r="AH48">
        <f>+MTS_results!AE48</f>
        <v>0</v>
      </c>
      <c r="AI48">
        <f>+MTS_results!AF48</f>
        <v>0</v>
      </c>
      <c r="AJ48" t="e">
        <f>+#REF!</f>
        <v>#REF!</v>
      </c>
      <c r="AK48" s="84" t="e">
        <f t="shared" si="6"/>
        <v>#REF!</v>
      </c>
    </row>
    <row r="49" spans="1:37">
      <c r="A49">
        <v>26</v>
      </c>
      <c r="B49">
        <v>1</v>
      </c>
      <c r="C49">
        <f>+PSO_results!V49</f>
        <v>0</v>
      </c>
      <c r="D49" s="127" t="e">
        <f t="shared" si="67"/>
        <v>#REF!</v>
      </c>
      <c r="E49">
        <f>+GA_results!V49</f>
        <v>0</v>
      </c>
      <c r="F49" s="127" t="e">
        <f t="shared" si="68"/>
        <v>#REF!</v>
      </c>
      <c r="G49">
        <f>+DE_results!V49</f>
        <v>0</v>
      </c>
      <c r="H49" s="127" t="e">
        <f t="shared" ref="H49" si="95">+((G49-$M49)/$M49)*100</f>
        <v>#REF!</v>
      </c>
      <c r="I49">
        <f>+MTS_results!V49</f>
        <v>0</v>
      </c>
      <c r="J49" s="127" t="e">
        <f t="shared" ref="J49:L49" si="96">+((I49-$M49)/$M49)*100</f>
        <v>#REF!</v>
      </c>
      <c r="K49" t="e">
        <f>+#REF!</f>
        <v>#REF!</v>
      </c>
      <c r="L49" s="127" t="e">
        <f t="shared" si="96"/>
        <v>#REF!</v>
      </c>
      <c r="M49" s="128" t="e">
        <f t="shared" si="4"/>
        <v>#REF!</v>
      </c>
      <c r="N49" t="e">
        <f t="shared" si="5"/>
        <v>#REF!</v>
      </c>
      <c r="P49" s="40">
        <f>+PSO_results!AB49</f>
        <v>0</v>
      </c>
      <c r="Q49" s="40">
        <f>+PSO_results!AC49</f>
        <v>0</v>
      </c>
      <c r="R49" s="40">
        <f>+PSO_results!AD49</f>
        <v>0</v>
      </c>
      <c r="S49" s="40">
        <f>+PSO_results!AE49</f>
        <v>0</v>
      </c>
      <c r="T49" s="40">
        <f>+PSO_results!AF49</f>
        <v>0</v>
      </c>
      <c r="U49">
        <f>+GA_results!AB49</f>
        <v>0</v>
      </c>
      <c r="V49">
        <f>+GA_results!AC49</f>
        <v>0</v>
      </c>
      <c r="W49">
        <f>+GA_results!AD49</f>
        <v>0</v>
      </c>
      <c r="X49">
        <f>+GA_results!AE49</f>
        <v>0</v>
      </c>
      <c r="Y49">
        <f>+GA_results!AF49</f>
        <v>0</v>
      </c>
      <c r="Z49">
        <f>+DE_results!AB49</f>
        <v>0</v>
      </c>
      <c r="AA49">
        <f>+DE_results!AC49</f>
        <v>0</v>
      </c>
      <c r="AB49">
        <f>+DE_results!AD49</f>
        <v>0</v>
      </c>
      <c r="AC49">
        <f>+DE_results!AE49</f>
        <v>0</v>
      </c>
      <c r="AD49">
        <f>+DE_results!AF49</f>
        <v>0</v>
      </c>
      <c r="AE49">
        <f>+MTS_results!AB49</f>
        <v>0</v>
      </c>
      <c r="AF49">
        <f>+MTS_results!AC49</f>
        <v>0</v>
      </c>
      <c r="AG49">
        <f>+MTS_results!AD49</f>
        <v>0</v>
      </c>
      <c r="AH49">
        <f>+MTS_results!AE49</f>
        <v>0</v>
      </c>
      <c r="AI49">
        <f>+MTS_results!AF49</f>
        <v>0</v>
      </c>
      <c r="AJ49" t="e">
        <f>+#REF!</f>
        <v>#REF!</v>
      </c>
      <c r="AK49" s="84" t="e">
        <f t="shared" si="6"/>
        <v>#REF!</v>
      </c>
    </row>
    <row r="50" spans="1:37">
      <c r="A50">
        <v>27</v>
      </c>
      <c r="B50">
        <v>1</v>
      </c>
      <c r="C50">
        <f>+PSO_results!V50</f>
        <v>0</v>
      </c>
      <c r="D50" s="127" t="e">
        <f t="shared" si="67"/>
        <v>#REF!</v>
      </c>
      <c r="E50">
        <f>+GA_results!V50</f>
        <v>0</v>
      </c>
      <c r="F50" s="127" t="e">
        <f t="shared" si="68"/>
        <v>#REF!</v>
      </c>
      <c r="G50">
        <f>+DE_results!V50</f>
        <v>0</v>
      </c>
      <c r="H50" s="127" t="e">
        <f t="shared" ref="H50" si="97">+((G50-$M50)/$M50)*100</f>
        <v>#REF!</v>
      </c>
      <c r="I50">
        <f>+MTS_results!V50</f>
        <v>0</v>
      </c>
      <c r="J50" s="127" t="e">
        <f t="shared" ref="J50:L50" si="98">+((I50-$M50)/$M50)*100</f>
        <v>#REF!</v>
      </c>
      <c r="K50" t="e">
        <f>+#REF!</f>
        <v>#REF!</v>
      </c>
      <c r="L50" s="127" t="e">
        <f t="shared" si="98"/>
        <v>#REF!</v>
      </c>
      <c r="M50" s="128" t="e">
        <f t="shared" si="4"/>
        <v>#REF!</v>
      </c>
      <c r="N50" t="e">
        <f t="shared" si="5"/>
        <v>#REF!</v>
      </c>
      <c r="P50" s="40">
        <f>+PSO_results!AB50</f>
        <v>0</v>
      </c>
      <c r="Q50" s="40">
        <f>+PSO_results!AC50</f>
        <v>0</v>
      </c>
      <c r="R50" s="40">
        <f>+PSO_results!AD50</f>
        <v>0</v>
      </c>
      <c r="S50" s="40">
        <f>+PSO_results!AE50</f>
        <v>0</v>
      </c>
      <c r="T50" s="40">
        <f>+PSO_results!AF50</f>
        <v>0</v>
      </c>
      <c r="U50">
        <f>+GA_results!AB50</f>
        <v>0</v>
      </c>
      <c r="V50">
        <f>+GA_results!AC50</f>
        <v>0</v>
      </c>
      <c r="W50">
        <f>+GA_results!AD50</f>
        <v>0</v>
      </c>
      <c r="X50">
        <f>+GA_results!AE50</f>
        <v>0</v>
      </c>
      <c r="Y50">
        <f>+GA_results!AF50</f>
        <v>0</v>
      </c>
      <c r="Z50">
        <f>+DE_results!AB50</f>
        <v>0</v>
      </c>
      <c r="AA50">
        <f>+DE_results!AC50</f>
        <v>0</v>
      </c>
      <c r="AB50">
        <f>+DE_results!AD50</f>
        <v>0</v>
      </c>
      <c r="AC50">
        <f>+DE_results!AE50</f>
        <v>0</v>
      </c>
      <c r="AD50">
        <f>+DE_results!AF50</f>
        <v>0</v>
      </c>
      <c r="AE50">
        <f>+MTS_results!AB50</f>
        <v>0</v>
      </c>
      <c r="AF50">
        <f>+MTS_results!AC50</f>
        <v>0</v>
      </c>
      <c r="AG50">
        <f>+MTS_results!AD50</f>
        <v>0</v>
      </c>
      <c r="AH50">
        <f>+MTS_results!AE50</f>
        <v>0</v>
      </c>
      <c r="AI50">
        <f>+MTS_results!AF50</f>
        <v>0</v>
      </c>
      <c r="AJ50" t="e">
        <f>+#REF!</f>
        <v>#REF!</v>
      </c>
      <c r="AK50" s="84" t="e">
        <f t="shared" si="6"/>
        <v>#REF!</v>
      </c>
    </row>
    <row r="51" spans="1:37">
      <c r="A51">
        <v>28</v>
      </c>
      <c r="B51">
        <v>1</v>
      </c>
      <c r="C51">
        <f>+PSO_results!V51</f>
        <v>0</v>
      </c>
      <c r="D51" s="127" t="e">
        <f t="shared" si="67"/>
        <v>#REF!</v>
      </c>
      <c r="E51">
        <f>+GA_results!V51</f>
        <v>0</v>
      </c>
      <c r="F51" s="127" t="e">
        <f t="shared" si="68"/>
        <v>#REF!</v>
      </c>
      <c r="G51">
        <f>+DE_results!V51</f>
        <v>0</v>
      </c>
      <c r="H51" s="127" t="e">
        <f t="shared" ref="H51" si="99">+((G51-$M51)/$M51)*100</f>
        <v>#REF!</v>
      </c>
      <c r="I51">
        <f>+MTS_results!V51</f>
        <v>0</v>
      </c>
      <c r="J51" s="127" t="e">
        <f t="shared" ref="J51:L51" si="100">+((I51-$M51)/$M51)*100</f>
        <v>#REF!</v>
      </c>
      <c r="K51" t="e">
        <f>+#REF!</f>
        <v>#REF!</v>
      </c>
      <c r="L51" s="127" t="e">
        <f t="shared" si="100"/>
        <v>#REF!</v>
      </c>
      <c r="M51" s="128" t="e">
        <f t="shared" si="4"/>
        <v>#REF!</v>
      </c>
      <c r="N51" t="e">
        <f t="shared" si="5"/>
        <v>#REF!</v>
      </c>
      <c r="P51" s="40">
        <f>+PSO_results!AB51</f>
        <v>0</v>
      </c>
      <c r="Q51" s="40">
        <f>+PSO_results!AC51</f>
        <v>0</v>
      </c>
      <c r="R51" s="40">
        <f>+PSO_results!AD51</f>
        <v>0</v>
      </c>
      <c r="S51" s="40">
        <f>+PSO_results!AE51</f>
        <v>0</v>
      </c>
      <c r="T51" s="40">
        <f>+PSO_results!AF51</f>
        <v>0</v>
      </c>
      <c r="U51">
        <f>+GA_results!AB51</f>
        <v>0</v>
      </c>
      <c r="V51">
        <f>+GA_results!AC51</f>
        <v>0</v>
      </c>
      <c r="W51">
        <f>+GA_results!AD51</f>
        <v>0</v>
      </c>
      <c r="X51">
        <f>+GA_results!AE51</f>
        <v>0</v>
      </c>
      <c r="Y51">
        <f>+GA_results!AF51</f>
        <v>0</v>
      </c>
      <c r="Z51">
        <f>+DE_results!AB51</f>
        <v>0</v>
      </c>
      <c r="AA51">
        <f>+DE_results!AC51</f>
        <v>0</v>
      </c>
      <c r="AB51">
        <f>+DE_results!AD51</f>
        <v>0</v>
      </c>
      <c r="AC51">
        <f>+DE_results!AE51</f>
        <v>0</v>
      </c>
      <c r="AD51">
        <f>+DE_results!AF51</f>
        <v>0</v>
      </c>
      <c r="AE51">
        <f>+MTS_results!AB51</f>
        <v>0</v>
      </c>
      <c r="AF51">
        <f>+MTS_results!AC51</f>
        <v>0</v>
      </c>
      <c r="AG51">
        <f>+MTS_results!AD51</f>
        <v>0</v>
      </c>
      <c r="AH51">
        <f>+MTS_results!AE51</f>
        <v>0</v>
      </c>
      <c r="AI51">
        <f>+MTS_results!AF51</f>
        <v>0</v>
      </c>
      <c r="AJ51" t="e">
        <f>+#REF!</f>
        <v>#REF!</v>
      </c>
      <c r="AK51" s="84" t="e">
        <f t="shared" si="6"/>
        <v>#REF!</v>
      </c>
    </row>
    <row r="52" spans="1:37">
      <c r="A52">
        <v>29</v>
      </c>
      <c r="B52">
        <v>1</v>
      </c>
      <c r="C52">
        <f>+PSO_results!V52</f>
        <v>0</v>
      </c>
      <c r="D52" s="127" t="e">
        <f t="shared" si="67"/>
        <v>#REF!</v>
      </c>
      <c r="E52">
        <f>+GA_results!V52</f>
        <v>0</v>
      </c>
      <c r="F52" s="127" t="e">
        <f t="shared" si="68"/>
        <v>#REF!</v>
      </c>
      <c r="G52">
        <f>+DE_results!V52</f>
        <v>0</v>
      </c>
      <c r="H52" s="127" t="e">
        <f t="shared" ref="H52" si="101">+((G52-$M52)/$M52)*100</f>
        <v>#REF!</v>
      </c>
      <c r="I52">
        <f>+MTS_results!V52</f>
        <v>0</v>
      </c>
      <c r="J52" s="127" t="e">
        <f t="shared" ref="J52:L52" si="102">+((I52-$M52)/$M52)*100</f>
        <v>#REF!</v>
      </c>
      <c r="K52" t="e">
        <f>+#REF!</f>
        <v>#REF!</v>
      </c>
      <c r="L52" s="127" t="e">
        <f t="shared" si="102"/>
        <v>#REF!</v>
      </c>
      <c r="M52" s="128" t="e">
        <f t="shared" si="4"/>
        <v>#REF!</v>
      </c>
      <c r="N52" t="e">
        <f t="shared" si="5"/>
        <v>#REF!</v>
      </c>
      <c r="P52" s="40">
        <f>+PSO_results!AB52</f>
        <v>0</v>
      </c>
      <c r="Q52" s="40">
        <f>+PSO_results!AC52</f>
        <v>0</v>
      </c>
      <c r="R52" s="40">
        <f>+PSO_results!AD52</f>
        <v>0</v>
      </c>
      <c r="S52" s="40">
        <f>+PSO_results!AE52</f>
        <v>0</v>
      </c>
      <c r="T52" s="40">
        <f>+PSO_results!AF52</f>
        <v>0</v>
      </c>
      <c r="U52">
        <f>+GA_results!AB52</f>
        <v>0</v>
      </c>
      <c r="V52">
        <f>+GA_results!AC52</f>
        <v>0</v>
      </c>
      <c r="W52">
        <f>+GA_results!AD52</f>
        <v>0</v>
      </c>
      <c r="X52">
        <f>+GA_results!AE52</f>
        <v>0</v>
      </c>
      <c r="Y52">
        <f>+GA_results!AF52</f>
        <v>0</v>
      </c>
      <c r="Z52">
        <f>+DE_results!AB52</f>
        <v>0</v>
      </c>
      <c r="AA52">
        <f>+DE_results!AC52</f>
        <v>0</v>
      </c>
      <c r="AB52">
        <f>+DE_results!AD52</f>
        <v>0</v>
      </c>
      <c r="AC52">
        <f>+DE_results!AE52</f>
        <v>0</v>
      </c>
      <c r="AD52">
        <f>+DE_results!AF52</f>
        <v>0</v>
      </c>
      <c r="AE52">
        <f>+MTS_results!AB52</f>
        <v>0</v>
      </c>
      <c r="AF52">
        <f>+MTS_results!AC52</f>
        <v>0</v>
      </c>
      <c r="AG52">
        <f>+MTS_results!AD52</f>
        <v>0</v>
      </c>
      <c r="AH52">
        <f>+MTS_results!AE52</f>
        <v>0</v>
      </c>
      <c r="AI52">
        <f>+MTS_results!AF52</f>
        <v>0</v>
      </c>
      <c r="AJ52" t="e">
        <f>+#REF!</f>
        <v>#REF!</v>
      </c>
      <c r="AK52" s="84" t="e">
        <f t="shared" si="6"/>
        <v>#REF!</v>
      </c>
    </row>
    <row r="53" spans="1:37">
      <c r="A53">
        <v>30</v>
      </c>
      <c r="B53">
        <v>1</v>
      </c>
      <c r="C53">
        <f>+PSO_results!V53</f>
        <v>0</v>
      </c>
      <c r="D53" s="127" t="e">
        <f t="shared" si="67"/>
        <v>#REF!</v>
      </c>
      <c r="E53">
        <f>+GA_results!V53</f>
        <v>0</v>
      </c>
      <c r="F53" s="127" t="e">
        <f t="shared" si="68"/>
        <v>#REF!</v>
      </c>
      <c r="G53">
        <f>+DE_results!V53</f>
        <v>0</v>
      </c>
      <c r="H53" s="127" t="e">
        <f t="shared" ref="H53" si="103">+((G53-$M53)/$M53)*100</f>
        <v>#REF!</v>
      </c>
      <c r="I53">
        <f>+MTS_results!V53</f>
        <v>0</v>
      </c>
      <c r="J53" s="127" t="e">
        <f t="shared" ref="J53:L53" si="104">+((I53-$M53)/$M53)*100</f>
        <v>#REF!</v>
      </c>
      <c r="K53" t="e">
        <f>+#REF!</f>
        <v>#REF!</v>
      </c>
      <c r="L53" s="127" t="e">
        <f t="shared" si="104"/>
        <v>#REF!</v>
      </c>
      <c r="M53" s="128" t="e">
        <f t="shared" si="4"/>
        <v>#REF!</v>
      </c>
      <c r="N53" t="e">
        <f t="shared" si="5"/>
        <v>#REF!</v>
      </c>
      <c r="P53" s="40">
        <f>+PSO_results!AB53</f>
        <v>0</v>
      </c>
      <c r="Q53" s="40">
        <f>+PSO_results!AC53</f>
        <v>0</v>
      </c>
      <c r="R53" s="40">
        <f>+PSO_results!AD53</f>
        <v>0</v>
      </c>
      <c r="S53" s="40">
        <f>+PSO_results!AE53</f>
        <v>0</v>
      </c>
      <c r="T53" s="40">
        <f>+PSO_results!AF53</f>
        <v>0</v>
      </c>
      <c r="U53">
        <f>+GA_results!AB53</f>
        <v>0</v>
      </c>
      <c r="V53">
        <f>+GA_results!AC53</f>
        <v>0</v>
      </c>
      <c r="W53">
        <f>+GA_results!AD53</f>
        <v>0</v>
      </c>
      <c r="X53">
        <f>+GA_results!AE53</f>
        <v>0</v>
      </c>
      <c r="Y53">
        <f>+GA_results!AF53</f>
        <v>0</v>
      </c>
      <c r="Z53">
        <f>+DE_results!AB53</f>
        <v>0</v>
      </c>
      <c r="AA53">
        <f>+DE_results!AC53</f>
        <v>0</v>
      </c>
      <c r="AB53">
        <f>+DE_results!AD53</f>
        <v>0</v>
      </c>
      <c r="AC53">
        <f>+DE_results!AE53</f>
        <v>0</v>
      </c>
      <c r="AD53">
        <f>+DE_results!AF53</f>
        <v>0</v>
      </c>
      <c r="AE53">
        <f>+MTS_results!AB53</f>
        <v>0</v>
      </c>
      <c r="AF53">
        <f>+MTS_results!AC53</f>
        <v>0</v>
      </c>
      <c r="AG53">
        <f>+MTS_results!AD53</f>
        <v>0</v>
      </c>
      <c r="AH53">
        <f>+MTS_results!AE53</f>
        <v>0</v>
      </c>
      <c r="AI53">
        <f>+MTS_results!AF53</f>
        <v>0</v>
      </c>
      <c r="AJ53" t="e">
        <f>+#REF!</f>
        <v>#REF!</v>
      </c>
      <c r="AK53" s="84" t="e">
        <f t="shared" si="6"/>
        <v>#REF!</v>
      </c>
    </row>
    <row r="54" spans="1:37">
      <c r="A54">
        <v>21</v>
      </c>
      <c r="B54">
        <v>2</v>
      </c>
      <c r="C54">
        <f>+PSO_results!V54</f>
        <v>0</v>
      </c>
      <c r="D54" s="127" t="e">
        <f t="shared" si="67"/>
        <v>#REF!</v>
      </c>
      <c r="E54">
        <f>+GA_results!V54</f>
        <v>0</v>
      </c>
      <c r="F54" s="127" t="e">
        <f t="shared" si="68"/>
        <v>#REF!</v>
      </c>
      <c r="G54">
        <f>+DE_results!V54</f>
        <v>0</v>
      </c>
      <c r="H54" s="127" t="e">
        <f t="shared" ref="H54" si="105">+((G54-$M54)/$M54)*100</f>
        <v>#REF!</v>
      </c>
      <c r="I54">
        <f>+MTS_results!V54</f>
        <v>0</v>
      </c>
      <c r="J54" s="127" t="e">
        <f t="shared" ref="J54:L54" si="106">+((I54-$M54)/$M54)*100</f>
        <v>#REF!</v>
      </c>
      <c r="K54" t="e">
        <f>+#REF!</f>
        <v>#REF!</v>
      </c>
      <c r="L54" s="127" t="e">
        <f t="shared" si="106"/>
        <v>#REF!</v>
      </c>
      <c r="M54" s="128" t="e">
        <f t="shared" si="4"/>
        <v>#REF!</v>
      </c>
      <c r="N54" t="e">
        <f t="shared" si="5"/>
        <v>#REF!</v>
      </c>
      <c r="P54" s="40">
        <f>+PSO_results!AB54</f>
        <v>0</v>
      </c>
      <c r="Q54" s="40">
        <f>+PSO_results!AC54</f>
        <v>0</v>
      </c>
      <c r="R54" s="40">
        <f>+PSO_results!AD54</f>
        <v>0</v>
      </c>
      <c r="S54" s="40">
        <f>+PSO_results!AE54</f>
        <v>0</v>
      </c>
      <c r="T54" s="40">
        <f>+PSO_results!AF54</f>
        <v>0</v>
      </c>
      <c r="U54">
        <f>+GA_results!AB54</f>
        <v>0</v>
      </c>
      <c r="V54">
        <f>+GA_results!AC54</f>
        <v>0</v>
      </c>
      <c r="W54">
        <f>+GA_results!AD54</f>
        <v>0</v>
      </c>
      <c r="X54">
        <f>+GA_results!AE54</f>
        <v>0</v>
      </c>
      <c r="Y54">
        <f>+GA_results!AF54</f>
        <v>0</v>
      </c>
      <c r="Z54">
        <f>+DE_results!AB54</f>
        <v>0</v>
      </c>
      <c r="AA54">
        <f>+DE_results!AC54</f>
        <v>0</v>
      </c>
      <c r="AB54">
        <f>+DE_results!AD54</f>
        <v>0</v>
      </c>
      <c r="AC54">
        <f>+DE_results!AE54</f>
        <v>0</v>
      </c>
      <c r="AD54">
        <f>+DE_results!AF54</f>
        <v>0</v>
      </c>
      <c r="AE54">
        <f>+MTS_results!AB54</f>
        <v>0</v>
      </c>
      <c r="AF54">
        <f>+MTS_results!AC54</f>
        <v>0</v>
      </c>
      <c r="AG54">
        <f>+MTS_results!AD54</f>
        <v>0</v>
      </c>
      <c r="AH54">
        <f>+MTS_results!AE54</f>
        <v>0</v>
      </c>
      <c r="AI54">
        <f>+MTS_results!AF54</f>
        <v>0</v>
      </c>
      <c r="AJ54" t="e">
        <f>+#REF!</f>
        <v>#REF!</v>
      </c>
      <c r="AK54" s="84" t="e">
        <f t="shared" si="6"/>
        <v>#REF!</v>
      </c>
    </row>
    <row r="55" spans="1:37">
      <c r="A55">
        <v>22</v>
      </c>
      <c r="B55">
        <v>2</v>
      </c>
      <c r="C55">
        <f>+PSO_results!V55</f>
        <v>0</v>
      </c>
      <c r="D55" s="127" t="e">
        <f t="shared" si="67"/>
        <v>#REF!</v>
      </c>
      <c r="E55">
        <f>+GA_results!V55</f>
        <v>0</v>
      </c>
      <c r="F55" s="127" t="e">
        <f t="shared" si="68"/>
        <v>#REF!</v>
      </c>
      <c r="G55">
        <f>+DE_results!V55</f>
        <v>0</v>
      </c>
      <c r="H55" s="127" t="e">
        <f t="shared" ref="H55" si="107">+((G55-$M55)/$M55)*100</f>
        <v>#REF!</v>
      </c>
      <c r="I55">
        <f>+MTS_results!V55</f>
        <v>0</v>
      </c>
      <c r="J55" s="127" t="e">
        <f t="shared" ref="J55:L55" si="108">+((I55-$M55)/$M55)*100</f>
        <v>#REF!</v>
      </c>
      <c r="K55" t="e">
        <f>+#REF!</f>
        <v>#REF!</v>
      </c>
      <c r="L55" s="127" t="e">
        <f t="shared" si="108"/>
        <v>#REF!</v>
      </c>
      <c r="M55" s="128" t="e">
        <f t="shared" si="4"/>
        <v>#REF!</v>
      </c>
      <c r="N55" t="e">
        <f t="shared" si="5"/>
        <v>#REF!</v>
      </c>
      <c r="P55" s="40">
        <f>+PSO_results!AB55</f>
        <v>0</v>
      </c>
      <c r="Q55" s="40">
        <f>+PSO_results!AC55</f>
        <v>0</v>
      </c>
      <c r="R55" s="40">
        <f>+PSO_results!AD55</f>
        <v>0</v>
      </c>
      <c r="S55" s="40">
        <f>+PSO_results!AE55</f>
        <v>0</v>
      </c>
      <c r="T55" s="40">
        <f>+PSO_results!AF55</f>
        <v>0</v>
      </c>
      <c r="U55">
        <f>+GA_results!AB55</f>
        <v>0</v>
      </c>
      <c r="V55">
        <f>+GA_results!AC55</f>
        <v>0</v>
      </c>
      <c r="W55">
        <f>+GA_results!AD55</f>
        <v>0</v>
      </c>
      <c r="X55">
        <f>+GA_results!AE55</f>
        <v>0</v>
      </c>
      <c r="Y55">
        <f>+GA_results!AF55</f>
        <v>0</v>
      </c>
      <c r="Z55">
        <f>+DE_results!AB55</f>
        <v>0</v>
      </c>
      <c r="AA55">
        <f>+DE_results!AC55</f>
        <v>0</v>
      </c>
      <c r="AB55">
        <f>+DE_results!AD55</f>
        <v>0</v>
      </c>
      <c r="AC55">
        <f>+DE_results!AE55</f>
        <v>0</v>
      </c>
      <c r="AD55">
        <f>+DE_results!AF55</f>
        <v>0</v>
      </c>
      <c r="AE55">
        <f>+MTS_results!AB55</f>
        <v>0</v>
      </c>
      <c r="AF55">
        <f>+MTS_results!AC55</f>
        <v>0</v>
      </c>
      <c r="AG55">
        <f>+MTS_results!AD55</f>
        <v>0</v>
      </c>
      <c r="AH55">
        <f>+MTS_results!AE55</f>
        <v>0</v>
      </c>
      <c r="AI55">
        <f>+MTS_results!AF55</f>
        <v>0</v>
      </c>
      <c r="AJ55" t="e">
        <f>+#REF!</f>
        <v>#REF!</v>
      </c>
      <c r="AK55" s="84" t="e">
        <f t="shared" si="6"/>
        <v>#REF!</v>
      </c>
    </row>
    <row r="56" spans="1:37">
      <c r="A56">
        <v>23</v>
      </c>
      <c r="B56">
        <v>2</v>
      </c>
      <c r="C56">
        <f>+PSO_results!V56</f>
        <v>0</v>
      </c>
      <c r="D56" s="127" t="e">
        <f t="shared" si="67"/>
        <v>#REF!</v>
      </c>
      <c r="E56">
        <f>+GA_results!V56</f>
        <v>0</v>
      </c>
      <c r="F56" s="127" t="e">
        <f t="shared" si="68"/>
        <v>#REF!</v>
      </c>
      <c r="G56">
        <f>+DE_results!V56</f>
        <v>0</v>
      </c>
      <c r="H56" s="127" t="e">
        <f t="shared" ref="H56" si="109">+((G56-$M56)/$M56)*100</f>
        <v>#REF!</v>
      </c>
      <c r="I56">
        <f>+MTS_results!V56</f>
        <v>0</v>
      </c>
      <c r="J56" s="127" t="e">
        <f t="shared" ref="J56:L56" si="110">+((I56-$M56)/$M56)*100</f>
        <v>#REF!</v>
      </c>
      <c r="K56" t="e">
        <f>+#REF!</f>
        <v>#REF!</v>
      </c>
      <c r="L56" s="127" t="e">
        <f t="shared" si="110"/>
        <v>#REF!</v>
      </c>
      <c r="M56" s="128" t="e">
        <f t="shared" si="4"/>
        <v>#REF!</v>
      </c>
      <c r="N56" t="e">
        <f t="shared" si="5"/>
        <v>#REF!</v>
      </c>
      <c r="P56" s="40">
        <f>+PSO_results!AB56</f>
        <v>0</v>
      </c>
      <c r="Q56" s="40">
        <f>+PSO_results!AC56</f>
        <v>0</v>
      </c>
      <c r="R56" s="40">
        <f>+PSO_results!AD56</f>
        <v>0</v>
      </c>
      <c r="S56" s="40">
        <f>+PSO_results!AE56</f>
        <v>0</v>
      </c>
      <c r="T56" s="40">
        <f>+PSO_results!AF56</f>
        <v>0</v>
      </c>
      <c r="U56">
        <f>+GA_results!AB56</f>
        <v>0</v>
      </c>
      <c r="V56">
        <f>+GA_results!AC56</f>
        <v>0</v>
      </c>
      <c r="W56">
        <f>+GA_results!AD56</f>
        <v>0</v>
      </c>
      <c r="X56">
        <f>+GA_results!AE56</f>
        <v>0</v>
      </c>
      <c r="Y56">
        <f>+GA_results!AF56</f>
        <v>0</v>
      </c>
      <c r="Z56">
        <f>+DE_results!AB56</f>
        <v>0</v>
      </c>
      <c r="AA56">
        <f>+DE_results!AC56</f>
        <v>0</v>
      </c>
      <c r="AB56">
        <f>+DE_results!AD56</f>
        <v>0</v>
      </c>
      <c r="AC56">
        <f>+DE_results!AE56</f>
        <v>0</v>
      </c>
      <c r="AD56">
        <f>+DE_results!AF56</f>
        <v>0</v>
      </c>
      <c r="AE56">
        <f>+MTS_results!AB56</f>
        <v>0</v>
      </c>
      <c r="AF56">
        <f>+MTS_results!AC56</f>
        <v>0</v>
      </c>
      <c r="AG56">
        <f>+MTS_results!AD56</f>
        <v>0</v>
      </c>
      <c r="AH56">
        <f>+MTS_results!AE56</f>
        <v>0</v>
      </c>
      <c r="AI56">
        <f>+MTS_results!AF56</f>
        <v>0</v>
      </c>
      <c r="AJ56" t="e">
        <f>+#REF!</f>
        <v>#REF!</v>
      </c>
      <c r="AK56" s="84" t="e">
        <f t="shared" si="6"/>
        <v>#REF!</v>
      </c>
    </row>
    <row r="57" spans="1:37">
      <c r="A57">
        <v>24</v>
      </c>
      <c r="B57">
        <v>2</v>
      </c>
      <c r="C57">
        <f>+PSO_results!V57</f>
        <v>0</v>
      </c>
      <c r="D57" s="127" t="e">
        <f t="shared" si="67"/>
        <v>#REF!</v>
      </c>
      <c r="E57">
        <f>+GA_results!V57</f>
        <v>0</v>
      </c>
      <c r="F57" s="127" t="e">
        <f t="shared" si="68"/>
        <v>#REF!</v>
      </c>
      <c r="G57">
        <f>+DE_results!V57</f>
        <v>0</v>
      </c>
      <c r="H57" s="127" t="e">
        <f t="shared" ref="H57" si="111">+((G57-$M57)/$M57)*100</f>
        <v>#REF!</v>
      </c>
      <c r="I57">
        <f>+MTS_results!V57</f>
        <v>0</v>
      </c>
      <c r="J57" s="127" t="e">
        <f t="shared" ref="J57:L57" si="112">+((I57-$M57)/$M57)*100</f>
        <v>#REF!</v>
      </c>
      <c r="K57" t="e">
        <f>+#REF!</f>
        <v>#REF!</v>
      </c>
      <c r="L57" s="127" t="e">
        <f t="shared" si="112"/>
        <v>#REF!</v>
      </c>
      <c r="M57" s="128" t="e">
        <f t="shared" si="4"/>
        <v>#REF!</v>
      </c>
      <c r="N57" t="e">
        <f t="shared" si="5"/>
        <v>#REF!</v>
      </c>
      <c r="P57" s="40">
        <f>+PSO_results!AB57</f>
        <v>0</v>
      </c>
      <c r="Q57" s="40">
        <f>+PSO_results!AC57</f>
        <v>0</v>
      </c>
      <c r="R57" s="40">
        <f>+PSO_results!AD57</f>
        <v>0</v>
      </c>
      <c r="S57" s="40">
        <f>+PSO_results!AE57</f>
        <v>0</v>
      </c>
      <c r="T57" s="40">
        <f>+PSO_results!AF57</f>
        <v>0</v>
      </c>
      <c r="U57">
        <f>+GA_results!AB57</f>
        <v>0</v>
      </c>
      <c r="V57">
        <f>+GA_results!AC57</f>
        <v>0</v>
      </c>
      <c r="W57">
        <f>+GA_results!AD57</f>
        <v>0</v>
      </c>
      <c r="X57">
        <f>+GA_results!AE57</f>
        <v>0</v>
      </c>
      <c r="Y57">
        <f>+GA_results!AF57</f>
        <v>0</v>
      </c>
      <c r="Z57">
        <f>+DE_results!AB57</f>
        <v>0</v>
      </c>
      <c r="AA57">
        <f>+DE_results!AC57</f>
        <v>0</v>
      </c>
      <c r="AB57">
        <f>+DE_results!AD57</f>
        <v>0</v>
      </c>
      <c r="AC57">
        <f>+DE_results!AE57</f>
        <v>0</v>
      </c>
      <c r="AD57">
        <f>+DE_results!AF57</f>
        <v>0</v>
      </c>
      <c r="AE57">
        <f>+MTS_results!AB57</f>
        <v>0</v>
      </c>
      <c r="AF57">
        <f>+MTS_results!AC57</f>
        <v>0</v>
      </c>
      <c r="AG57">
        <f>+MTS_results!AD57</f>
        <v>0</v>
      </c>
      <c r="AH57">
        <f>+MTS_results!AE57</f>
        <v>0</v>
      </c>
      <c r="AI57">
        <f>+MTS_results!AF57</f>
        <v>0</v>
      </c>
      <c r="AJ57" t="e">
        <f>+#REF!</f>
        <v>#REF!</v>
      </c>
      <c r="AK57" s="84" t="e">
        <f t="shared" si="6"/>
        <v>#REF!</v>
      </c>
    </row>
    <row r="58" spans="1:37">
      <c r="A58">
        <v>25</v>
      </c>
      <c r="B58">
        <v>2</v>
      </c>
      <c r="C58">
        <f>+PSO_results!V58</f>
        <v>0</v>
      </c>
      <c r="D58" s="127" t="e">
        <f t="shared" si="67"/>
        <v>#REF!</v>
      </c>
      <c r="E58">
        <f>+GA_results!V58</f>
        <v>0</v>
      </c>
      <c r="F58" s="127" t="e">
        <f t="shared" si="68"/>
        <v>#REF!</v>
      </c>
      <c r="G58">
        <f>+DE_results!V58</f>
        <v>0</v>
      </c>
      <c r="H58" s="127" t="e">
        <f t="shared" ref="H58" si="113">+((G58-$M58)/$M58)*100</f>
        <v>#REF!</v>
      </c>
      <c r="I58">
        <f>+MTS_results!V58</f>
        <v>0</v>
      </c>
      <c r="J58" s="127" t="e">
        <f t="shared" ref="J58:L58" si="114">+((I58-$M58)/$M58)*100</f>
        <v>#REF!</v>
      </c>
      <c r="K58" t="e">
        <f>+#REF!</f>
        <v>#REF!</v>
      </c>
      <c r="L58" s="127" t="e">
        <f t="shared" si="114"/>
        <v>#REF!</v>
      </c>
      <c r="M58" s="128" t="e">
        <f t="shared" si="4"/>
        <v>#REF!</v>
      </c>
      <c r="N58" t="e">
        <f t="shared" si="5"/>
        <v>#REF!</v>
      </c>
      <c r="P58" s="40">
        <f>+PSO_results!AB58</f>
        <v>0</v>
      </c>
      <c r="Q58" s="40">
        <f>+PSO_results!AC58</f>
        <v>0</v>
      </c>
      <c r="R58" s="40">
        <f>+PSO_results!AD58</f>
        <v>0</v>
      </c>
      <c r="S58" s="40">
        <f>+PSO_results!AE58</f>
        <v>0</v>
      </c>
      <c r="T58" s="40">
        <f>+PSO_results!AF58</f>
        <v>0</v>
      </c>
      <c r="U58">
        <f>+GA_results!AB58</f>
        <v>0</v>
      </c>
      <c r="V58">
        <f>+GA_results!AC58</f>
        <v>0</v>
      </c>
      <c r="W58">
        <f>+GA_results!AD58</f>
        <v>0</v>
      </c>
      <c r="X58">
        <f>+GA_results!AE58</f>
        <v>0</v>
      </c>
      <c r="Y58">
        <f>+GA_results!AF58</f>
        <v>0</v>
      </c>
      <c r="Z58">
        <f>+DE_results!AB58</f>
        <v>0</v>
      </c>
      <c r="AA58">
        <f>+DE_results!AC58</f>
        <v>0</v>
      </c>
      <c r="AB58">
        <f>+DE_results!AD58</f>
        <v>0</v>
      </c>
      <c r="AC58">
        <f>+DE_results!AE58</f>
        <v>0</v>
      </c>
      <c r="AD58">
        <f>+DE_results!AF58</f>
        <v>0</v>
      </c>
      <c r="AE58">
        <f>+MTS_results!AB58</f>
        <v>0</v>
      </c>
      <c r="AF58">
        <f>+MTS_results!AC58</f>
        <v>0</v>
      </c>
      <c r="AG58">
        <f>+MTS_results!AD58</f>
        <v>0</v>
      </c>
      <c r="AH58">
        <f>+MTS_results!AE58</f>
        <v>0</v>
      </c>
      <c r="AI58">
        <f>+MTS_results!AF58</f>
        <v>0</v>
      </c>
      <c r="AJ58" t="e">
        <f>+#REF!</f>
        <v>#REF!</v>
      </c>
      <c r="AK58" s="84" t="e">
        <f t="shared" si="6"/>
        <v>#REF!</v>
      </c>
    </row>
    <row r="59" spans="1:37">
      <c r="A59">
        <v>26</v>
      </c>
      <c r="B59">
        <v>2</v>
      </c>
      <c r="C59">
        <f>+PSO_results!V59</f>
        <v>0</v>
      </c>
      <c r="D59" s="127" t="e">
        <f t="shared" si="67"/>
        <v>#REF!</v>
      </c>
      <c r="E59">
        <f>+GA_results!V59</f>
        <v>0</v>
      </c>
      <c r="F59" s="127" t="e">
        <f t="shared" si="68"/>
        <v>#REF!</v>
      </c>
      <c r="G59">
        <f>+DE_results!V59</f>
        <v>0</v>
      </c>
      <c r="H59" s="127" t="e">
        <f t="shared" ref="H59" si="115">+((G59-$M59)/$M59)*100</f>
        <v>#REF!</v>
      </c>
      <c r="I59">
        <f>+MTS_results!V59</f>
        <v>0</v>
      </c>
      <c r="J59" s="127" t="e">
        <f t="shared" ref="J59:L59" si="116">+((I59-$M59)/$M59)*100</f>
        <v>#REF!</v>
      </c>
      <c r="K59" t="e">
        <f>+#REF!</f>
        <v>#REF!</v>
      </c>
      <c r="L59" s="127" t="e">
        <f t="shared" si="116"/>
        <v>#REF!</v>
      </c>
      <c r="M59" s="128" t="e">
        <f t="shared" si="4"/>
        <v>#REF!</v>
      </c>
      <c r="N59" t="e">
        <f t="shared" si="5"/>
        <v>#REF!</v>
      </c>
      <c r="P59" s="40">
        <f>+PSO_results!AB59</f>
        <v>0</v>
      </c>
      <c r="Q59" s="40">
        <f>+PSO_results!AC59</f>
        <v>0</v>
      </c>
      <c r="R59" s="40">
        <f>+PSO_results!AD59</f>
        <v>0</v>
      </c>
      <c r="S59" s="40">
        <f>+PSO_results!AE59</f>
        <v>0</v>
      </c>
      <c r="T59" s="40">
        <f>+PSO_results!AF59</f>
        <v>0</v>
      </c>
      <c r="U59">
        <f>+GA_results!AB59</f>
        <v>0</v>
      </c>
      <c r="V59">
        <f>+GA_results!AC59</f>
        <v>0</v>
      </c>
      <c r="W59">
        <f>+GA_results!AD59</f>
        <v>0</v>
      </c>
      <c r="X59">
        <f>+GA_results!AE59</f>
        <v>0</v>
      </c>
      <c r="Y59">
        <f>+GA_results!AF59</f>
        <v>0</v>
      </c>
      <c r="Z59">
        <f>+DE_results!AB59</f>
        <v>0</v>
      </c>
      <c r="AA59">
        <f>+DE_results!AC59</f>
        <v>0</v>
      </c>
      <c r="AB59">
        <f>+DE_results!AD59</f>
        <v>0</v>
      </c>
      <c r="AC59">
        <f>+DE_results!AE59</f>
        <v>0</v>
      </c>
      <c r="AD59">
        <f>+DE_results!AF59</f>
        <v>0</v>
      </c>
      <c r="AE59">
        <f>+MTS_results!AB59</f>
        <v>0</v>
      </c>
      <c r="AF59">
        <f>+MTS_results!AC59</f>
        <v>0</v>
      </c>
      <c r="AG59">
        <f>+MTS_results!AD59</f>
        <v>0</v>
      </c>
      <c r="AH59">
        <f>+MTS_results!AE59</f>
        <v>0</v>
      </c>
      <c r="AI59">
        <f>+MTS_results!AF59</f>
        <v>0</v>
      </c>
      <c r="AJ59" t="e">
        <f>+#REF!</f>
        <v>#REF!</v>
      </c>
      <c r="AK59" s="84" t="e">
        <f t="shared" si="6"/>
        <v>#REF!</v>
      </c>
    </row>
    <row r="60" spans="1:37">
      <c r="A60">
        <v>27</v>
      </c>
      <c r="B60">
        <v>2</v>
      </c>
      <c r="C60">
        <f>+PSO_results!V60</f>
        <v>0</v>
      </c>
      <c r="D60" s="127" t="e">
        <f t="shared" si="67"/>
        <v>#REF!</v>
      </c>
      <c r="E60">
        <f>+GA_results!V60</f>
        <v>0</v>
      </c>
      <c r="F60" s="127" t="e">
        <f t="shared" si="68"/>
        <v>#REF!</v>
      </c>
      <c r="G60">
        <f>+DE_results!V60</f>
        <v>0</v>
      </c>
      <c r="H60" s="127" t="e">
        <f t="shared" ref="H60" si="117">+((G60-$M60)/$M60)*100</f>
        <v>#REF!</v>
      </c>
      <c r="I60">
        <f>+MTS_results!V60</f>
        <v>0</v>
      </c>
      <c r="J60" s="127" t="e">
        <f t="shared" ref="J60:L60" si="118">+((I60-$M60)/$M60)*100</f>
        <v>#REF!</v>
      </c>
      <c r="K60" t="e">
        <f>+#REF!</f>
        <v>#REF!</v>
      </c>
      <c r="L60" s="127" t="e">
        <f t="shared" si="118"/>
        <v>#REF!</v>
      </c>
      <c r="M60" s="128" t="e">
        <f t="shared" si="4"/>
        <v>#REF!</v>
      </c>
      <c r="N60" t="e">
        <f t="shared" si="5"/>
        <v>#REF!</v>
      </c>
      <c r="P60" s="40">
        <f>+PSO_results!AB60</f>
        <v>0</v>
      </c>
      <c r="Q60" s="40">
        <f>+PSO_results!AC60</f>
        <v>0</v>
      </c>
      <c r="R60" s="40">
        <f>+PSO_results!AD60</f>
        <v>0</v>
      </c>
      <c r="S60" s="40">
        <f>+PSO_results!AE60</f>
        <v>0</v>
      </c>
      <c r="T60" s="40">
        <f>+PSO_results!AF60</f>
        <v>0</v>
      </c>
      <c r="U60">
        <f>+GA_results!AB60</f>
        <v>0</v>
      </c>
      <c r="V60">
        <f>+GA_results!AC60</f>
        <v>0</v>
      </c>
      <c r="W60">
        <f>+GA_results!AD60</f>
        <v>0</v>
      </c>
      <c r="X60">
        <f>+GA_results!AE60</f>
        <v>0</v>
      </c>
      <c r="Y60">
        <f>+GA_results!AF60</f>
        <v>0</v>
      </c>
      <c r="Z60">
        <f>+DE_results!AB60</f>
        <v>0</v>
      </c>
      <c r="AA60">
        <f>+DE_results!AC60</f>
        <v>0</v>
      </c>
      <c r="AB60">
        <f>+DE_results!AD60</f>
        <v>0</v>
      </c>
      <c r="AC60">
        <f>+DE_results!AE60</f>
        <v>0</v>
      </c>
      <c r="AD60">
        <f>+DE_results!AF60</f>
        <v>0</v>
      </c>
      <c r="AE60">
        <f>+MTS_results!AB60</f>
        <v>0</v>
      </c>
      <c r="AF60">
        <f>+MTS_results!AC60</f>
        <v>0</v>
      </c>
      <c r="AG60">
        <f>+MTS_results!AD60</f>
        <v>0</v>
      </c>
      <c r="AH60">
        <f>+MTS_results!AE60</f>
        <v>0</v>
      </c>
      <c r="AI60">
        <f>+MTS_results!AF60</f>
        <v>0</v>
      </c>
      <c r="AJ60" t="e">
        <f>+#REF!</f>
        <v>#REF!</v>
      </c>
      <c r="AK60" s="84" t="e">
        <f t="shared" si="6"/>
        <v>#REF!</v>
      </c>
    </row>
    <row r="61" spans="1:37">
      <c r="A61">
        <v>28</v>
      </c>
      <c r="B61">
        <v>2</v>
      </c>
      <c r="C61">
        <f>+PSO_results!V61</f>
        <v>0</v>
      </c>
      <c r="D61" s="127" t="e">
        <f t="shared" si="67"/>
        <v>#REF!</v>
      </c>
      <c r="E61">
        <f>+GA_results!V61</f>
        <v>0</v>
      </c>
      <c r="F61" s="127" t="e">
        <f t="shared" si="68"/>
        <v>#REF!</v>
      </c>
      <c r="G61">
        <f>+DE_results!V61</f>
        <v>0</v>
      </c>
      <c r="H61" s="127" t="e">
        <f t="shared" ref="H61" si="119">+((G61-$M61)/$M61)*100</f>
        <v>#REF!</v>
      </c>
      <c r="I61">
        <f>+MTS_results!V61</f>
        <v>0</v>
      </c>
      <c r="J61" s="127" t="e">
        <f t="shared" ref="J61:L61" si="120">+((I61-$M61)/$M61)*100</f>
        <v>#REF!</v>
      </c>
      <c r="K61" t="e">
        <f>+#REF!</f>
        <v>#REF!</v>
      </c>
      <c r="L61" s="127" t="e">
        <f t="shared" si="120"/>
        <v>#REF!</v>
      </c>
      <c r="M61" s="128" t="e">
        <f t="shared" si="4"/>
        <v>#REF!</v>
      </c>
      <c r="N61" t="e">
        <f t="shared" si="5"/>
        <v>#REF!</v>
      </c>
      <c r="P61" s="40">
        <f>+PSO_results!AB61</f>
        <v>0</v>
      </c>
      <c r="Q61" s="40">
        <f>+PSO_results!AC61</f>
        <v>0</v>
      </c>
      <c r="R61" s="40">
        <f>+PSO_results!AD61</f>
        <v>0</v>
      </c>
      <c r="S61" s="40">
        <f>+PSO_results!AE61</f>
        <v>0</v>
      </c>
      <c r="T61" s="40">
        <f>+PSO_results!AF61</f>
        <v>0</v>
      </c>
      <c r="U61">
        <f>+GA_results!AB61</f>
        <v>0</v>
      </c>
      <c r="V61">
        <f>+GA_results!AC61</f>
        <v>0</v>
      </c>
      <c r="W61">
        <f>+GA_results!AD61</f>
        <v>0</v>
      </c>
      <c r="X61">
        <f>+GA_results!AE61</f>
        <v>0</v>
      </c>
      <c r="Y61">
        <f>+GA_results!AF61</f>
        <v>0</v>
      </c>
      <c r="Z61">
        <f>+DE_results!AB61</f>
        <v>0</v>
      </c>
      <c r="AA61">
        <f>+DE_results!AC61</f>
        <v>0</v>
      </c>
      <c r="AB61">
        <f>+DE_results!AD61</f>
        <v>0</v>
      </c>
      <c r="AC61">
        <f>+DE_results!AE61</f>
        <v>0</v>
      </c>
      <c r="AD61">
        <f>+DE_results!AF61</f>
        <v>0</v>
      </c>
      <c r="AE61">
        <f>+MTS_results!AB61</f>
        <v>0</v>
      </c>
      <c r="AF61">
        <f>+MTS_results!AC61</f>
        <v>0</v>
      </c>
      <c r="AG61">
        <f>+MTS_results!AD61</f>
        <v>0</v>
      </c>
      <c r="AH61">
        <f>+MTS_results!AE61</f>
        <v>0</v>
      </c>
      <c r="AI61">
        <f>+MTS_results!AF61</f>
        <v>0</v>
      </c>
      <c r="AJ61" t="e">
        <f>+#REF!</f>
        <v>#REF!</v>
      </c>
      <c r="AK61" s="84" t="e">
        <f t="shared" si="6"/>
        <v>#REF!</v>
      </c>
    </row>
    <row r="62" spans="1:37">
      <c r="A62">
        <v>29</v>
      </c>
      <c r="B62">
        <v>2</v>
      </c>
      <c r="C62">
        <f>+PSO_results!V62</f>
        <v>0</v>
      </c>
      <c r="D62" s="127" t="e">
        <f t="shared" si="67"/>
        <v>#REF!</v>
      </c>
      <c r="E62">
        <f>+GA_results!V62</f>
        <v>0</v>
      </c>
      <c r="F62" s="127" t="e">
        <f t="shared" si="68"/>
        <v>#REF!</v>
      </c>
      <c r="G62">
        <f>+DE_results!V62</f>
        <v>0</v>
      </c>
      <c r="H62" s="127" t="e">
        <f t="shared" ref="H62" si="121">+((G62-$M62)/$M62)*100</f>
        <v>#REF!</v>
      </c>
      <c r="I62">
        <f>+MTS_results!V62</f>
        <v>0</v>
      </c>
      <c r="J62" s="127" t="e">
        <f t="shared" ref="J62:L62" si="122">+((I62-$M62)/$M62)*100</f>
        <v>#REF!</v>
      </c>
      <c r="K62" t="e">
        <f>+#REF!</f>
        <v>#REF!</v>
      </c>
      <c r="L62" s="127" t="e">
        <f t="shared" si="122"/>
        <v>#REF!</v>
      </c>
      <c r="M62" s="128" t="e">
        <f t="shared" si="4"/>
        <v>#REF!</v>
      </c>
      <c r="N62" t="e">
        <f t="shared" si="5"/>
        <v>#REF!</v>
      </c>
      <c r="P62" s="40">
        <f>+PSO_results!AB62</f>
        <v>0</v>
      </c>
      <c r="Q62" s="40">
        <f>+PSO_results!AC62</f>
        <v>0</v>
      </c>
      <c r="R62" s="40">
        <f>+PSO_results!AD62</f>
        <v>0</v>
      </c>
      <c r="S62" s="40">
        <f>+PSO_results!AE62</f>
        <v>0</v>
      </c>
      <c r="T62" s="40">
        <f>+PSO_results!AF62</f>
        <v>0</v>
      </c>
      <c r="U62">
        <f>+GA_results!AB62</f>
        <v>0</v>
      </c>
      <c r="V62">
        <f>+GA_results!AC62</f>
        <v>0</v>
      </c>
      <c r="W62">
        <f>+GA_results!AD62</f>
        <v>0</v>
      </c>
      <c r="X62">
        <f>+GA_results!AE62</f>
        <v>0</v>
      </c>
      <c r="Y62">
        <f>+GA_results!AF62</f>
        <v>0</v>
      </c>
      <c r="Z62">
        <f>+DE_results!AB62</f>
        <v>0</v>
      </c>
      <c r="AA62">
        <f>+DE_results!AC62</f>
        <v>0</v>
      </c>
      <c r="AB62">
        <f>+DE_results!AD62</f>
        <v>0</v>
      </c>
      <c r="AC62">
        <f>+DE_results!AE62</f>
        <v>0</v>
      </c>
      <c r="AD62">
        <f>+DE_results!AF62</f>
        <v>0</v>
      </c>
      <c r="AE62">
        <f>+MTS_results!AB62</f>
        <v>0</v>
      </c>
      <c r="AF62">
        <f>+MTS_results!AC62</f>
        <v>0</v>
      </c>
      <c r="AG62">
        <f>+MTS_results!AD62</f>
        <v>0</v>
      </c>
      <c r="AH62">
        <f>+MTS_results!AE62</f>
        <v>0</v>
      </c>
      <c r="AI62">
        <f>+MTS_results!AF62</f>
        <v>0</v>
      </c>
      <c r="AJ62" t="e">
        <f>+#REF!</f>
        <v>#REF!</v>
      </c>
      <c r="AK62" s="84" t="e">
        <f t="shared" si="6"/>
        <v>#REF!</v>
      </c>
    </row>
    <row r="63" spans="1:37">
      <c r="A63">
        <v>30</v>
      </c>
      <c r="B63">
        <v>2</v>
      </c>
      <c r="C63">
        <f>+PSO_results!V63</f>
        <v>0</v>
      </c>
      <c r="D63" s="127" t="e">
        <f t="shared" si="67"/>
        <v>#REF!</v>
      </c>
      <c r="E63">
        <f>+GA_results!V63</f>
        <v>0</v>
      </c>
      <c r="F63" s="127" t="e">
        <f t="shared" si="68"/>
        <v>#REF!</v>
      </c>
      <c r="G63">
        <f>+DE_results!V63</f>
        <v>0</v>
      </c>
      <c r="H63" s="127" t="e">
        <f t="shared" ref="H63" si="123">+((G63-$M63)/$M63)*100</f>
        <v>#REF!</v>
      </c>
      <c r="I63">
        <f>+MTS_results!V63</f>
        <v>0</v>
      </c>
      <c r="J63" s="127" t="e">
        <f t="shared" ref="J63:L63" si="124">+((I63-$M63)/$M63)*100</f>
        <v>#REF!</v>
      </c>
      <c r="K63" t="e">
        <f>+#REF!</f>
        <v>#REF!</v>
      </c>
      <c r="L63" s="127" t="e">
        <f t="shared" si="124"/>
        <v>#REF!</v>
      </c>
      <c r="M63" s="128" t="e">
        <f t="shared" si="4"/>
        <v>#REF!</v>
      </c>
      <c r="N63" t="e">
        <f t="shared" si="5"/>
        <v>#REF!</v>
      </c>
      <c r="P63" s="40">
        <f>+PSO_results!AB63</f>
        <v>0</v>
      </c>
      <c r="Q63" s="40">
        <f>+PSO_results!AC63</f>
        <v>0</v>
      </c>
      <c r="R63" s="40">
        <f>+PSO_results!AD63</f>
        <v>0</v>
      </c>
      <c r="S63" s="40">
        <f>+PSO_results!AE63</f>
        <v>0</v>
      </c>
      <c r="T63" s="40">
        <f>+PSO_results!AF63</f>
        <v>0</v>
      </c>
      <c r="U63">
        <f>+GA_results!AB63</f>
        <v>0</v>
      </c>
      <c r="V63">
        <f>+GA_results!AC63</f>
        <v>0</v>
      </c>
      <c r="W63">
        <f>+GA_results!AD63</f>
        <v>0</v>
      </c>
      <c r="X63">
        <f>+GA_results!AE63</f>
        <v>0</v>
      </c>
      <c r="Y63">
        <f>+GA_results!AF63</f>
        <v>0</v>
      </c>
      <c r="Z63">
        <f>+DE_results!AB63</f>
        <v>0</v>
      </c>
      <c r="AA63">
        <f>+DE_results!AC63</f>
        <v>0</v>
      </c>
      <c r="AB63">
        <f>+DE_results!AD63</f>
        <v>0</v>
      </c>
      <c r="AC63">
        <f>+DE_results!AE63</f>
        <v>0</v>
      </c>
      <c r="AD63">
        <f>+DE_results!AF63</f>
        <v>0</v>
      </c>
      <c r="AE63">
        <f>+MTS_results!AB63</f>
        <v>0</v>
      </c>
      <c r="AF63">
        <f>+MTS_results!AC63</f>
        <v>0</v>
      </c>
      <c r="AG63">
        <f>+MTS_results!AD63</f>
        <v>0</v>
      </c>
      <c r="AH63">
        <f>+MTS_results!AE63</f>
        <v>0</v>
      </c>
      <c r="AI63">
        <f>+MTS_results!AF63</f>
        <v>0</v>
      </c>
      <c r="AJ63" t="e">
        <f>+#REF!</f>
        <v>#REF!</v>
      </c>
      <c r="AK63" s="84" t="e">
        <f t="shared" si="6"/>
        <v>#REF!</v>
      </c>
    </row>
    <row r="64" spans="1:37">
      <c r="A64">
        <v>31</v>
      </c>
      <c r="B64">
        <v>1</v>
      </c>
      <c r="C64">
        <f>+PSO_results!V64</f>
        <v>0</v>
      </c>
      <c r="D64" s="127" t="e">
        <f t="shared" si="67"/>
        <v>#REF!</v>
      </c>
      <c r="E64">
        <f>+GA_results!V64</f>
        <v>0</v>
      </c>
      <c r="F64" s="127" t="e">
        <f t="shared" si="68"/>
        <v>#REF!</v>
      </c>
      <c r="G64">
        <f>+DE_results!V64</f>
        <v>0</v>
      </c>
      <c r="H64" s="127" t="e">
        <f t="shared" ref="H64" si="125">+((G64-$M64)/$M64)*100</f>
        <v>#REF!</v>
      </c>
      <c r="I64">
        <f>+MTS_results!V64</f>
        <v>0</v>
      </c>
      <c r="J64" s="127" t="e">
        <f t="shared" ref="J64:L64" si="126">+((I64-$M64)/$M64)*100</f>
        <v>#REF!</v>
      </c>
      <c r="K64" t="e">
        <f>+#REF!</f>
        <v>#REF!</v>
      </c>
      <c r="L64" s="127" t="e">
        <f t="shared" si="126"/>
        <v>#REF!</v>
      </c>
      <c r="M64" s="128" t="e">
        <f t="shared" si="4"/>
        <v>#REF!</v>
      </c>
      <c r="N64" t="e">
        <f t="shared" si="5"/>
        <v>#REF!</v>
      </c>
      <c r="P64" s="40">
        <f>+PSO_results!AB64</f>
        <v>0</v>
      </c>
      <c r="Q64" s="40">
        <f>+PSO_results!AC64</f>
        <v>0</v>
      </c>
      <c r="R64" s="40">
        <f>+PSO_results!AD64</f>
        <v>0</v>
      </c>
      <c r="S64" s="40">
        <f>+PSO_results!AE64</f>
        <v>0</v>
      </c>
      <c r="T64" s="40">
        <f>+PSO_results!AF64</f>
        <v>0</v>
      </c>
      <c r="U64">
        <f>+GA_results!AB64</f>
        <v>0</v>
      </c>
      <c r="V64">
        <f>+GA_results!AC64</f>
        <v>0</v>
      </c>
      <c r="W64">
        <f>+GA_results!AD64</f>
        <v>0</v>
      </c>
      <c r="X64">
        <f>+GA_results!AE64</f>
        <v>0</v>
      </c>
      <c r="Y64">
        <f>+GA_results!AF64</f>
        <v>0</v>
      </c>
      <c r="Z64">
        <f>+DE_results!AB64</f>
        <v>0</v>
      </c>
      <c r="AA64">
        <f>+DE_results!AC64</f>
        <v>0</v>
      </c>
      <c r="AB64">
        <f>+DE_results!AD64</f>
        <v>0</v>
      </c>
      <c r="AC64">
        <f>+DE_results!AE64</f>
        <v>0</v>
      </c>
      <c r="AD64">
        <f>+DE_results!AF64</f>
        <v>0</v>
      </c>
      <c r="AE64">
        <f>+MTS_results!AB64</f>
        <v>0</v>
      </c>
      <c r="AF64">
        <f>+MTS_results!AC64</f>
        <v>0</v>
      </c>
      <c r="AG64">
        <f>+MTS_results!AD64</f>
        <v>0</v>
      </c>
      <c r="AH64">
        <f>+MTS_results!AE64</f>
        <v>0</v>
      </c>
      <c r="AI64">
        <f>+MTS_results!AF64</f>
        <v>0</v>
      </c>
      <c r="AJ64" t="e">
        <f>+#REF!</f>
        <v>#REF!</v>
      </c>
      <c r="AK64" s="84" t="e">
        <f t="shared" si="6"/>
        <v>#REF!</v>
      </c>
    </row>
    <row r="65" spans="1:37">
      <c r="A65">
        <v>32</v>
      </c>
      <c r="B65">
        <v>1</v>
      </c>
      <c r="C65">
        <f>+PSO_results!V65</f>
        <v>0</v>
      </c>
      <c r="D65" s="127" t="e">
        <f t="shared" si="67"/>
        <v>#REF!</v>
      </c>
      <c r="E65">
        <f>+GA_results!V65</f>
        <v>0</v>
      </c>
      <c r="F65" s="127" t="e">
        <f t="shared" si="68"/>
        <v>#REF!</v>
      </c>
      <c r="G65">
        <f>+DE_results!V65</f>
        <v>0</v>
      </c>
      <c r="H65" s="127" t="e">
        <f t="shared" ref="H65" si="127">+((G65-$M65)/$M65)*100</f>
        <v>#REF!</v>
      </c>
      <c r="I65">
        <f>+MTS_results!V65</f>
        <v>0</v>
      </c>
      <c r="J65" s="127" t="e">
        <f t="shared" ref="J65:L65" si="128">+((I65-$M65)/$M65)*100</f>
        <v>#REF!</v>
      </c>
      <c r="K65" t="e">
        <f>+#REF!</f>
        <v>#REF!</v>
      </c>
      <c r="L65" s="127" t="e">
        <f t="shared" si="128"/>
        <v>#REF!</v>
      </c>
      <c r="M65" s="128" t="e">
        <f t="shared" si="4"/>
        <v>#REF!</v>
      </c>
      <c r="N65" t="e">
        <f t="shared" si="5"/>
        <v>#REF!</v>
      </c>
      <c r="P65" s="40">
        <f>+PSO_results!AB65</f>
        <v>0</v>
      </c>
      <c r="Q65" s="40">
        <f>+PSO_results!AC65</f>
        <v>0</v>
      </c>
      <c r="R65" s="40">
        <f>+PSO_results!AD65</f>
        <v>0</v>
      </c>
      <c r="S65" s="40">
        <f>+PSO_results!AE65</f>
        <v>0</v>
      </c>
      <c r="T65" s="40">
        <f>+PSO_results!AF65</f>
        <v>0</v>
      </c>
      <c r="U65">
        <f>+GA_results!AB65</f>
        <v>0</v>
      </c>
      <c r="V65">
        <f>+GA_results!AC65</f>
        <v>0</v>
      </c>
      <c r="W65">
        <f>+GA_results!AD65</f>
        <v>0</v>
      </c>
      <c r="X65">
        <f>+GA_results!AE65</f>
        <v>0</v>
      </c>
      <c r="Y65">
        <f>+GA_results!AF65</f>
        <v>0</v>
      </c>
      <c r="Z65">
        <f>+DE_results!AB65</f>
        <v>0</v>
      </c>
      <c r="AA65">
        <f>+DE_results!AC65</f>
        <v>0</v>
      </c>
      <c r="AB65">
        <f>+DE_results!AD65</f>
        <v>0</v>
      </c>
      <c r="AC65">
        <f>+DE_results!AE65</f>
        <v>0</v>
      </c>
      <c r="AD65">
        <f>+DE_results!AF65</f>
        <v>0</v>
      </c>
      <c r="AE65">
        <f>+MTS_results!AB65</f>
        <v>0</v>
      </c>
      <c r="AF65">
        <f>+MTS_results!AC65</f>
        <v>0</v>
      </c>
      <c r="AG65">
        <f>+MTS_results!AD65</f>
        <v>0</v>
      </c>
      <c r="AH65">
        <f>+MTS_results!AE65</f>
        <v>0</v>
      </c>
      <c r="AI65">
        <f>+MTS_results!AF65</f>
        <v>0</v>
      </c>
      <c r="AJ65" t="e">
        <f>+#REF!</f>
        <v>#REF!</v>
      </c>
      <c r="AK65" s="84" t="e">
        <f t="shared" si="6"/>
        <v>#REF!</v>
      </c>
    </row>
    <row r="66" spans="1:37">
      <c r="A66">
        <v>33</v>
      </c>
      <c r="B66">
        <v>1</v>
      </c>
      <c r="C66">
        <f>+PSO_results!V66</f>
        <v>0</v>
      </c>
      <c r="D66" s="127" t="e">
        <f t="shared" si="67"/>
        <v>#REF!</v>
      </c>
      <c r="E66">
        <f>+GA_results!V66</f>
        <v>0</v>
      </c>
      <c r="F66" s="127" t="e">
        <f t="shared" si="68"/>
        <v>#REF!</v>
      </c>
      <c r="G66">
        <f>+DE_results!V66</f>
        <v>0</v>
      </c>
      <c r="H66" s="127" t="e">
        <f t="shared" ref="H66" si="129">+((G66-$M66)/$M66)*100</f>
        <v>#REF!</v>
      </c>
      <c r="I66">
        <f>+MTS_results!V66</f>
        <v>0</v>
      </c>
      <c r="J66" s="127" t="e">
        <f t="shared" ref="J66:L66" si="130">+((I66-$M66)/$M66)*100</f>
        <v>#REF!</v>
      </c>
      <c r="K66" t="e">
        <f>+#REF!</f>
        <v>#REF!</v>
      </c>
      <c r="L66" s="127" t="e">
        <f t="shared" si="130"/>
        <v>#REF!</v>
      </c>
      <c r="M66" s="128" t="e">
        <f t="shared" si="4"/>
        <v>#REF!</v>
      </c>
      <c r="N66" t="e">
        <f t="shared" si="5"/>
        <v>#REF!</v>
      </c>
      <c r="P66" s="40">
        <f>+PSO_results!AB66</f>
        <v>0</v>
      </c>
      <c r="Q66" s="40">
        <f>+PSO_results!AC66</f>
        <v>0</v>
      </c>
      <c r="R66" s="40">
        <f>+PSO_results!AD66</f>
        <v>0</v>
      </c>
      <c r="S66" s="40">
        <f>+PSO_results!AE66</f>
        <v>0</v>
      </c>
      <c r="T66" s="40">
        <f>+PSO_results!AF66</f>
        <v>0</v>
      </c>
      <c r="U66">
        <f>+GA_results!AB66</f>
        <v>0</v>
      </c>
      <c r="V66">
        <f>+GA_results!AC66</f>
        <v>0</v>
      </c>
      <c r="W66">
        <f>+GA_results!AD66</f>
        <v>0</v>
      </c>
      <c r="X66">
        <f>+GA_results!AE66</f>
        <v>0</v>
      </c>
      <c r="Y66">
        <f>+GA_results!AF66</f>
        <v>0</v>
      </c>
      <c r="Z66">
        <f>+DE_results!AB66</f>
        <v>0</v>
      </c>
      <c r="AA66">
        <f>+DE_results!AC66</f>
        <v>0</v>
      </c>
      <c r="AB66">
        <f>+DE_results!AD66</f>
        <v>0</v>
      </c>
      <c r="AC66">
        <f>+DE_results!AE66</f>
        <v>0</v>
      </c>
      <c r="AD66">
        <f>+DE_results!AF66</f>
        <v>0</v>
      </c>
      <c r="AE66">
        <f>+MTS_results!AB66</f>
        <v>0</v>
      </c>
      <c r="AF66">
        <f>+MTS_results!AC66</f>
        <v>0</v>
      </c>
      <c r="AG66">
        <f>+MTS_results!AD66</f>
        <v>0</v>
      </c>
      <c r="AH66">
        <f>+MTS_results!AE66</f>
        <v>0</v>
      </c>
      <c r="AI66">
        <f>+MTS_results!AF66</f>
        <v>0</v>
      </c>
      <c r="AJ66" t="e">
        <f>+#REF!</f>
        <v>#REF!</v>
      </c>
      <c r="AK66" s="84" t="e">
        <f t="shared" si="6"/>
        <v>#REF!</v>
      </c>
    </row>
    <row r="67" spans="1:37">
      <c r="A67">
        <v>34</v>
      </c>
      <c r="B67">
        <v>1</v>
      </c>
      <c r="C67">
        <f>+PSO_results!V67</f>
        <v>0</v>
      </c>
      <c r="D67" s="127" t="e">
        <f t="shared" si="67"/>
        <v>#REF!</v>
      </c>
      <c r="E67">
        <f>+GA_results!V67</f>
        <v>0</v>
      </c>
      <c r="F67" s="127" t="e">
        <f t="shared" si="68"/>
        <v>#REF!</v>
      </c>
      <c r="G67">
        <f>+DE_results!V67</f>
        <v>0</v>
      </c>
      <c r="H67" s="127" t="e">
        <f t="shared" ref="H67" si="131">+((G67-$M67)/$M67)*100</f>
        <v>#REF!</v>
      </c>
      <c r="I67">
        <f>+MTS_results!V67</f>
        <v>0</v>
      </c>
      <c r="J67" s="127" t="e">
        <f t="shared" ref="J67:L67" si="132">+((I67-$M67)/$M67)*100</f>
        <v>#REF!</v>
      </c>
      <c r="K67" t="e">
        <f>+#REF!</f>
        <v>#REF!</v>
      </c>
      <c r="L67" s="127" t="e">
        <f t="shared" si="132"/>
        <v>#REF!</v>
      </c>
      <c r="M67" s="128" t="e">
        <f t="shared" si="4"/>
        <v>#REF!</v>
      </c>
      <c r="N67" t="e">
        <f t="shared" si="5"/>
        <v>#REF!</v>
      </c>
      <c r="P67" s="40">
        <f>+PSO_results!AB67</f>
        <v>0</v>
      </c>
      <c r="Q67" s="40">
        <f>+PSO_results!AC67</f>
        <v>0</v>
      </c>
      <c r="R67" s="40">
        <f>+PSO_results!AD67</f>
        <v>0</v>
      </c>
      <c r="S67" s="40">
        <f>+PSO_results!AE67</f>
        <v>0</v>
      </c>
      <c r="T67" s="40">
        <f>+PSO_results!AF67</f>
        <v>0</v>
      </c>
      <c r="U67">
        <f>+GA_results!AB67</f>
        <v>0</v>
      </c>
      <c r="V67">
        <f>+GA_results!AC67</f>
        <v>0</v>
      </c>
      <c r="W67">
        <f>+GA_results!AD67</f>
        <v>0</v>
      </c>
      <c r="X67">
        <f>+GA_results!AE67</f>
        <v>0</v>
      </c>
      <c r="Y67">
        <f>+GA_results!AF67</f>
        <v>0</v>
      </c>
      <c r="Z67">
        <f>+DE_results!AB67</f>
        <v>0</v>
      </c>
      <c r="AA67">
        <f>+DE_results!AC67</f>
        <v>0</v>
      </c>
      <c r="AB67">
        <f>+DE_results!AD67</f>
        <v>0</v>
      </c>
      <c r="AC67">
        <f>+DE_results!AE67</f>
        <v>0</v>
      </c>
      <c r="AD67">
        <f>+DE_results!AF67</f>
        <v>0</v>
      </c>
      <c r="AE67">
        <f>+MTS_results!AB67</f>
        <v>0</v>
      </c>
      <c r="AF67">
        <f>+MTS_results!AC67</f>
        <v>0</v>
      </c>
      <c r="AG67">
        <f>+MTS_results!AD67</f>
        <v>0</v>
      </c>
      <c r="AH67">
        <f>+MTS_results!AE67</f>
        <v>0</v>
      </c>
      <c r="AI67">
        <f>+MTS_results!AF67</f>
        <v>0</v>
      </c>
      <c r="AJ67" t="e">
        <f>+#REF!</f>
        <v>#REF!</v>
      </c>
      <c r="AK67" s="84" t="e">
        <f t="shared" si="6"/>
        <v>#REF!</v>
      </c>
    </row>
    <row r="68" spans="1:37">
      <c r="A68">
        <v>35</v>
      </c>
      <c r="B68">
        <v>1</v>
      </c>
      <c r="C68">
        <f>+PSO_results!V68</f>
        <v>0</v>
      </c>
      <c r="D68" s="127" t="e">
        <f t="shared" ref="D68:D99" si="133">+((C68-$M68)/$M68)*100</f>
        <v>#REF!</v>
      </c>
      <c r="E68">
        <f>+GA_results!V68</f>
        <v>0</v>
      </c>
      <c r="F68" s="127" t="e">
        <f t="shared" ref="F68:F99" si="134">+((E68-$M68)/$M68)*100</f>
        <v>#REF!</v>
      </c>
      <c r="G68">
        <f>+DE_results!V68</f>
        <v>0</v>
      </c>
      <c r="H68" s="127" t="e">
        <f t="shared" ref="H68" si="135">+((G68-$M68)/$M68)*100</f>
        <v>#REF!</v>
      </c>
      <c r="I68">
        <f>+MTS_results!V68</f>
        <v>0</v>
      </c>
      <c r="J68" s="127" t="e">
        <f t="shared" ref="J68:L68" si="136">+((I68-$M68)/$M68)*100</f>
        <v>#REF!</v>
      </c>
      <c r="K68" t="e">
        <f>+#REF!</f>
        <v>#REF!</v>
      </c>
      <c r="L68" s="127" t="e">
        <f t="shared" si="136"/>
        <v>#REF!</v>
      </c>
      <c r="M68" s="128" t="e">
        <f t="shared" si="4"/>
        <v>#REF!</v>
      </c>
      <c r="N68" t="e">
        <f t="shared" si="5"/>
        <v>#REF!</v>
      </c>
      <c r="P68" s="40">
        <f>+PSO_results!AB68</f>
        <v>0</v>
      </c>
      <c r="Q68" s="40">
        <f>+PSO_results!AC68</f>
        <v>0</v>
      </c>
      <c r="R68" s="40">
        <f>+PSO_results!AD68</f>
        <v>0</v>
      </c>
      <c r="S68" s="40">
        <f>+PSO_results!AE68</f>
        <v>0</v>
      </c>
      <c r="T68" s="40">
        <f>+PSO_results!AF68</f>
        <v>0</v>
      </c>
      <c r="U68">
        <f>+GA_results!AB68</f>
        <v>0</v>
      </c>
      <c r="V68">
        <f>+GA_results!AC68</f>
        <v>0</v>
      </c>
      <c r="W68">
        <f>+GA_results!AD68</f>
        <v>0</v>
      </c>
      <c r="X68">
        <f>+GA_results!AE68</f>
        <v>0</v>
      </c>
      <c r="Y68">
        <f>+GA_results!AF68</f>
        <v>0</v>
      </c>
      <c r="Z68">
        <f>+DE_results!AB68</f>
        <v>0</v>
      </c>
      <c r="AA68">
        <f>+DE_results!AC68</f>
        <v>0</v>
      </c>
      <c r="AB68">
        <f>+DE_results!AD68</f>
        <v>0</v>
      </c>
      <c r="AC68">
        <f>+DE_results!AE68</f>
        <v>0</v>
      </c>
      <c r="AD68">
        <f>+DE_results!AF68</f>
        <v>0</v>
      </c>
      <c r="AE68">
        <f>+MTS_results!AB68</f>
        <v>0</v>
      </c>
      <c r="AF68">
        <f>+MTS_results!AC68</f>
        <v>0</v>
      </c>
      <c r="AG68">
        <f>+MTS_results!AD68</f>
        <v>0</v>
      </c>
      <c r="AH68">
        <f>+MTS_results!AE68</f>
        <v>0</v>
      </c>
      <c r="AI68">
        <f>+MTS_results!AF68</f>
        <v>0</v>
      </c>
      <c r="AJ68" t="e">
        <f>+#REF!</f>
        <v>#REF!</v>
      </c>
      <c r="AK68" s="84" t="e">
        <f t="shared" si="6"/>
        <v>#REF!</v>
      </c>
    </row>
    <row r="69" spans="1:37">
      <c r="A69">
        <v>36</v>
      </c>
      <c r="B69">
        <v>1</v>
      </c>
      <c r="C69">
        <f>+PSO_results!V69</f>
        <v>0</v>
      </c>
      <c r="D69" s="127" t="e">
        <f t="shared" si="133"/>
        <v>#REF!</v>
      </c>
      <c r="E69">
        <f>+GA_results!V69</f>
        <v>0</v>
      </c>
      <c r="F69" s="127" t="e">
        <f t="shared" si="134"/>
        <v>#REF!</v>
      </c>
      <c r="G69">
        <f>+DE_results!V69</f>
        <v>0</v>
      </c>
      <c r="H69" s="127" t="e">
        <f t="shared" ref="H69" si="137">+((G69-$M69)/$M69)*100</f>
        <v>#REF!</v>
      </c>
      <c r="I69">
        <f>+MTS_results!V69</f>
        <v>0</v>
      </c>
      <c r="J69" s="127" t="e">
        <f t="shared" ref="J69:L69" si="138">+((I69-$M69)/$M69)*100</f>
        <v>#REF!</v>
      </c>
      <c r="K69" t="e">
        <f>+#REF!</f>
        <v>#REF!</v>
      </c>
      <c r="L69" s="127" t="e">
        <f t="shared" si="138"/>
        <v>#REF!</v>
      </c>
      <c r="M69" s="128" t="e">
        <f t="shared" ref="M69:M132" si="139">+AK69</f>
        <v>#REF!</v>
      </c>
      <c r="N69" t="e">
        <f t="shared" ref="N69:N132" si="140">+MIN(C69,E69,G69,I69,K69)</f>
        <v>#REF!</v>
      </c>
      <c r="P69" s="40">
        <f>+PSO_results!AB69</f>
        <v>0</v>
      </c>
      <c r="Q69" s="40">
        <f>+PSO_results!AC69</f>
        <v>0</v>
      </c>
      <c r="R69" s="40">
        <f>+PSO_results!AD69</f>
        <v>0</v>
      </c>
      <c r="S69" s="40">
        <f>+PSO_results!AE69</f>
        <v>0</v>
      </c>
      <c r="T69" s="40">
        <f>+PSO_results!AF69</f>
        <v>0</v>
      </c>
      <c r="U69">
        <f>+GA_results!AB69</f>
        <v>0</v>
      </c>
      <c r="V69">
        <f>+GA_results!AC69</f>
        <v>0</v>
      </c>
      <c r="W69">
        <f>+GA_results!AD69</f>
        <v>0</v>
      </c>
      <c r="X69">
        <f>+GA_results!AE69</f>
        <v>0</v>
      </c>
      <c r="Y69">
        <f>+GA_results!AF69</f>
        <v>0</v>
      </c>
      <c r="Z69">
        <f>+DE_results!AB69</f>
        <v>0</v>
      </c>
      <c r="AA69">
        <f>+DE_results!AC69</f>
        <v>0</v>
      </c>
      <c r="AB69">
        <f>+DE_results!AD69</f>
        <v>0</v>
      </c>
      <c r="AC69">
        <f>+DE_results!AE69</f>
        <v>0</v>
      </c>
      <c r="AD69">
        <f>+DE_results!AF69</f>
        <v>0</v>
      </c>
      <c r="AE69">
        <f>+MTS_results!AB69</f>
        <v>0</v>
      </c>
      <c r="AF69">
        <f>+MTS_results!AC69</f>
        <v>0</v>
      </c>
      <c r="AG69">
        <f>+MTS_results!AD69</f>
        <v>0</v>
      </c>
      <c r="AH69">
        <f>+MTS_results!AE69</f>
        <v>0</v>
      </c>
      <c r="AI69">
        <f>+MTS_results!AF69</f>
        <v>0</v>
      </c>
      <c r="AJ69" t="e">
        <f>+#REF!</f>
        <v>#REF!</v>
      </c>
      <c r="AK69" s="84" t="e">
        <f t="shared" ref="AK69:AK132" si="141">+MIN(P69:AJ69)</f>
        <v>#REF!</v>
      </c>
    </row>
    <row r="70" spans="1:37">
      <c r="A70">
        <v>37</v>
      </c>
      <c r="B70">
        <v>1</v>
      </c>
      <c r="C70">
        <f>+PSO_results!V70</f>
        <v>0</v>
      </c>
      <c r="D70" s="127" t="e">
        <f t="shared" si="133"/>
        <v>#REF!</v>
      </c>
      <c r="E70">
        <f>+GA_results!V70</f>
        <v>0</v>
      </c>
      <c r="F70" s="127" t="e">
        <f t="shared" si="134"/>
        <v>#REF!</v>
      </c>
      <c r="G70">
        <f>+DE_results!V70</f>
        <v>0</v>
      </c>
      <c r="H70" s="127" t="e">
        <f t="shared" ref="H70" si="142">+((G70-$M70)/$M70)*100</f>
        <v>#REF!</v>
      </c>
      <c r="I70">
        <f>+MTS_results!V70</f>
        <v>0</v>
      </c>
      <c r="J70" s="127" t="e">
        <f t="shared" ref="J70:L70" si="143">+((I70-$M70)/$M70)*100</f>
        <v>#REF!</v>
      </c>
      <c r="K70" t="e">
        <f>+#REF!</f>
        <v>#REF!</v>
      </c>
      <c r="L70" s="127" t="e">
        <f t="shared" si="143"/>
        <v>#REF!</v>
      </c>
      <c r="M70" s="128" t="e">
        <f t="shared" si="139"/>
        <v>#REF!</v>
      </c>
      <c r="N70" t="e">
        <f t="shared" si="140"/>
        <v>#REF!</v>
      </c>
      <c r="P70" s="40">
        <f>+PSO_results!AB70</f>
        <v>0</v>
      </c>
      <c r="Q70" s="40">
        <f>+PSO_results!AC70</f>
        <v>0</v>
      </c>
      <c r="R70" s="40">
        <f>+PSO_results!AD70</f>
        <v>0</v>
      </c>
      <c r="S70" s="40">
        <f>+PSO_results!AE70</f>
        <v>0</v>
      </c>
      <c r="T70" s="40">
        <f>+PSO_results!AF70</f>
        <v>0</v>
      </c>
      <c r="U70">
        <f>+GA_results!AB70</f>
        <v>0</v>
      </c>
      <c r="V70">
        <f>+GA_results!AC70</f>
        <v>0</v>
      </c>
      <c r="W70">
        <f>+GA_results!AD70</f>
        <v>0</v>
      </c>
      <c r="X70">
        <f>+GA_results!AE70</f>
        <v>0</v>
      </c>
      <c r="Y70">
        <f>+GA_results!AF70</f>
        <v>0</v>
      </c>
      <c r="Z70">
        <f>+DE_results!AB70</f>
        <v>0</v>
      </c>
      <c r="AA70">
        <f>+DE_results!AC70</f>
        <v>0</v>
      </c>
      <c r="AB70">
        <f>+DE_results!AD70</f>
        <v>0</v>
      </c>
      <c r="AC70">
        <f>+DE_results!AE70</f>
        <v>0</v>
      </c>
      <c r="AD70">
        <f>+DE_results!AF70</f>
        <v>0</v>
      </c>
      <c r="AE70">
        <f>+MTS_results!AB70</f>
        <v>0</v>
      </c>
      <c r="AF70">
        <f>+MTS_results!AC70</f>
        <v>0</v>
      </c>
      <c r="AG70">
        <f>+MTS_results!AD70</f>
        <v>0</v>
      </c>
      <c r="AH70">
        <f>+MTS_results!AE70</f>
        <v>0</v>
      </c>
      <c r="AI70">
        <f>+MTS_results!AF70</f>
        <v>0</v>
      </c>
      <c r="AJ70" t="e">
        <f>+#REF!</f>
        <v>#REF!</v>
      </c>
      <c r="AK70" s="84" t="e">
        <f t="shared" si="141"/>
        <v>#REF!</v>
      </c>
    </row>
    <row r="71" spans="1:37">
      <c r="A71">
        <v>38</v>
      </c>
      <c r="B71">
        <v>1</v>
      </c>
      <c r="C71">
        <f>+PSO_results!V71</f>
        <v>0</v>
      </c>
      <c r="D71" s="127" t="e">
        <f t="shared" si="133"/>
        <v>#REF!</v>
      </c>
      <c r="E71">
        <f>+GA_results!V71</f>
        <v>0</v>
      </c>
      <c r="F71" s="127" t="e">
        <f t="shared" si="134"/>
        <v>#REF!</v>
      </c>
      <c r="G71">
        <f>+DE_results!V71</f>
        <v>0</v>
      </c>
      <c r="H71" s="127" t="e">
        <f t="shared" ref="H71" si="144">+((G71-$M71)/$M71)*100</f>
        <v>#REF!</v>
      </c>
      <c r="I71">
        <f>+MTS_results!V71</f>
        <v>0</v>
      </c>
      <c r="J71" s="127" t="e">
        <f t="shared" ref="J71:L71" si="145">+((I71-$M71)/$M71)*100</f>
        <v>#REF!</v>
      </c>
      <c r="K71" t="e">
        <f>+#REF!</f>
        <v>#REF!</v>
      </c>
      <c r="L71" s="127" t="e">
        <f t="shared" si="145"/>
        <v>#REF!</v>
      </c>
      <c r="M71" s="128" t="e">
        <f t="shared" si="139"/>
        <v>#REF!</v>
      </c>
      <c r="N71" t="e">
        <f t="shared" si="140"/>
        <v>#REF!</v>
      </c>
      <c r="P71" s="40">
        <f>+PSO_results!AB71</f>
        <v>0</v>
      </c>
      <c r="Q71" s="40">
        <f>+PSO_results!AC71</f>
        <v>0</v>
      </c>
      <c r="R71" s="40">
        <f>+PSO_results!AD71</f>
        <v>0</v>
      </c>
      <c r="S71" s="40">
        <f>+PSO_results!AE71</f>
        <v>0</v>
      </c>
      <c r="T71" s="40">
        <f>+PSO_results!AF71</f>
        <v>0</v>
      </c>
      <c r="U71">
        <f>+GA_results!AB71</f>
        <v>0</v>
      </c>
      <c r="V71">
        <f>+GA_results!AC71</f>
        <v>0</v>
      </c>
      <c r="W71">
        <f>+GA_results!AD71</f>
        <v>0</v>
      </c>
      <c r="X71">
        <f>+GA_results!AE71</f>
        <v>0</v>
      </c>
      <c r="Y71">
        <f>+GA_results!AF71</f>
        <v>0</v>
      </c>
      <c r="Z71">
        <f>+DE_results!AB71</f>
        <v>0</v>
      </c>
      <c r="AA71">
        <f>+DE_results!AC71</f>
        <v>0</v>
      </c>
      <c r="AB71">
        <f>+DE_results!AD71</f>
        <v>0</v>
      </c>
      <c r="AC71">
        <f>+DE_results!AE71</f>
        <v>0</v>
      </c>
      <c r="AD71">
        <f>+DE_results!AF71</f>
        <v>0</v>
      </c>
      <c r="AE71">
        <f>+MTS_results!AB71</f>
        <v>0</v>
      </c>
      <c r="AF71">
        <f>+MTS_results!AC71</f>
        <v>0</v>
      </c>
      <c r="AG71">
        <f>+MTS_results!AD71</f>
        <v>0</v>
      </c>
      <c r="AH71">
        <f>+MTS_results!AE71</f>
        <v>0</v>
      </c>
      <c r="AI71">
        <f>+MTS_results!AF71</f>
        <v>0</v>
      </c>
      <c r="AJ71" t="e">
        <f>+#REF!</f>
        <v>#REF!</v>
      </c>
      <c r="AK71" s="84" t="e">
        <f t="shared" si="141"/>
        <v>#REF!</v>
      </c>
    </row>
    <row r="72" spans="1:37">
      <c r="A72">
        <v>39</v>
      </c>
      <c r="B72">
        <v>1</v>
      </c>
      <c r="C72">
        <f>+PSO_results!V72</f>
        <v>0</v>
      </c>
      <c r="D72" s="127" t="e">
        <f t="shared" si="133"/>
        <v>#REF!</v>
      </c>
      <c r="E72">
        <f>+GA_results!V72</f>
        <v>0</v>
      </c>
      <c r="F72" s="127" t="e">
        <f t="shared" si="134"/>
        <v>#REF!</v>
      </c>
      <c r="G72">
        <f>+DE_results!V72</f>
        <v>0</v>
      </c>
      <c r="H72" s="127" t="e">
        <f t="shared" ref="H72" si="146">+((G72-$M72)/$M72)*100</f>
        <v>#REF!</v>
      </c>
      <c r="I72">
        <f>+MTS_results!V72</f>
        <v>0</v>
      </c>
      <c r="J72" s="127" t="e">
        <f t="shared" ref="J72:L72" si="147">+((I72-$M72)/$M72)*100</f>
        <v>#REF!</v>
      </c>
      <c r="K72" t="e">
        <f>+#REF!</f>
        <v>#REF!</v>
      </c>
      <c r="L72" s="127" t="e">
        <f t="shared" si="147"/>
        <v>#REF!</v>
      </c>
      <c r="M72" s="128" t="e">
        <f t="shared" si="139"/>
        <v>#REF!</v>
      </c>
      <c r="N72" t="e">
        <f t="shared" si="140"/>
        <v>#REF!</v>
      </c>
      <c r="P72" s="40">
        <f>+PSO_results!AB72</f>
        <v>0</v>
      </c>
      <c r="Q72" s="40">
        <f>+PSO_results!AC72</f>
        <v>0</v>
      </c>
      <c r="R72" s="40">
        <f>+PSO_results!AD72</f>
        <v>0</v>
      </c>
      <c r="S72" s="40">
        <f>+PSO_results!AE72</f>
        <v>0</v>
      </c>
      <c r="T72" s="40">
        <f>+PSO_results!AF72</f>
        <v>0</v>
      </c>
      <c r="U72">
        <f>+GA_results!AB72</f>
        <v>0</v>
      </c>
      <c r="V72">
        <f>+GA_results!AC72</f>
        <v>0</v>
      </c>
      <c r="W72">
        <f>+GA_results!AD72</f>
        <v>0</v>
      </c>
      <c r="X72">
        <f>+GA_results!AE72</f>
        <v>0</v>
      </c>
      <c r="Y72">
        <f>+GA_results!AF72</f>
        <v>0</v>
      </c>
      <c r="Z72">
        <f>+DE_results!AB72</f>
        <v>0</v>
      </c>
      <c r="AA72">
        <f>+DE_results!AC72</f>
        <v>0</v>
      </c>
      <c r="AB72">
        <f>+DE_results!AD72</f>
        <v>0</v>
      </c>
      <c r="AC72">
        <f>+DE_results!AE72</f>
        <v>0</v>
      </c>
      <c r="AD72">
        <f>+DE_results!AF72</f>
        <v>0</v>
      </c>
      <c r="AE72">
        <f>+MTS_results!AB72</f>
        <v>0</v>
      </c>
      <c r="AF72">
        <f>+MTS_results!AC72</f>
        <v>0</v>
      </c>
      <c r="AG72">
        <f>+MTS_results!AD72</f>
        <v>0</v>
      </c>
      <c r="AH72">
        <f>+MTS_results!AE72</f>
        <v>0</v>
      </c>
      <c r="AI72">
        <f>+MTS_results!AF72</f>
        <v>0</v>
      </c>
      <c r="AJ72" t="e">
        <f>+#REF!</f>
        <v>#REF!</v>
      </c>
      <c r="AK72" s="84" t="e">
        <f t="shared" si="141"/>
        <v>#REF!</v>
      </c>
    </row>
    <row r="73" spans="1:37">
      <c r="A73">
        <v>40</v>
      </c>
      <c r="B73">
        <v>1</v>
      </c>
      <c r="C73">
        <f>+PSO_results!V73</f>
        <v>0</v>
      </c>
      <c r="D73" s="127" t="e">
        <f t="shared" si="133"/>
        <v>#REF!</v>
      </c>
      <c r="E73">
        <f>+GA_results!V73</f>
        <v>0</v>
      </c>
      <c r="F73" s="127" t="e">
        <f t="shared" si="134"/>
        <v>#REF!</v>
      </c>
      <c r="G73">
        <f>+DE_results!V73</f>
        <v>0</v>
      </c>
      <c r="H73" s="127" t="e">
        <f t="shared" ref="H73" si="148">+((G73-$M73)/$M73)*100</f>
        <v>#REF!</v>
      </c>
      <c r="I73">
        <f>+MTS_results!V73</f>
        <v>0</v>
      </c>
      <c r="J73" s="127" t="e">
        <f t="shared" ref="J73:L73" si="149">+((I73-$M73)/$M73)*100</f>
        <v>#REF!</v>
      </c>
      <c r="K73" t="e">
        <f>+#REF!</f>
        <v>#REF!</v>
      </c>
      <c r="L73" s="127" t="e">
        <f t="shared" si="149"/>
        <v>#REF!</v>
      </c>
      <c r="M73" s="128" t="e">
        <f t="shared" si="139"/>
        <v>#REF!</v>
      </c>
      <c r="N73" t="e">
        <f t="shared" si="140"/>
        <v>#REF!</v>
      </c>
      <c r="P73" s="40">
        <f>+PSO_results!AB73</f>
        <v>0</v>
      </c>
      <c r="Q73" s="40">
        <f>+PSO_results!AC73</f>
        <v>0</v>
      </c>
      <c r="R73" s="40">
        <f>+PSO_results!AD73</f>
        <v>0</v>
      </c>
      <c r="S73" s="40">
        <f>+PSO_results!AE73</f>
        <v>0</v>
      </c>
      <c r="T73" s="40">
        <f>+PSO_results!AF73</f>
        <v>0</v>
      </c>
      <c r="U73">
        <f>+GA_results!AB73</f>
        <v>0</v>
      </c>
      <c r="V73">
        <f>+GA_results!AC73</f>
        <v>0</v>
      </c>
      <c r="W73">
        <f>+GA_results!AD73</f>
        <v>0</v>
      </c>
      <c r="X73">
        <f>+GA_results!AE73</f>
        <v>0</v>
      </c>
      <c r="Y73">
        <f>+GA_results!AF73</f>
        <v>0</v>
      </c>
      <c r="Z73">
        <f>+DE_results!AB73</f>
        <v>0</v>
      </c>
      <c r="AA73">
        <f>+DE_results!AC73</f>
        <v>0</v>
      </c>
      <c r="AB73">
        <f>+DE_results!AD73</f>
        <v>0</v>
      </c>
      <c r="AC73">
        <f>+DE_results!AE73</f>
        <v>0</v>
      </c>
      <c r="AD73">
        <f>+DE_results!AF73</f>
        <v>0</v>
      </c>
      <c r="AE73">
        <f>+MTS_results!AB73</f>
        <v>0</v>
      </c>
      <c r="AF73">
        <f>+MTS_results!AC73</f>
        <v>0</v>
      </c>
      <c r="AG73">
        <f>+MTS_results!AD73</f>
        <v>0</v>
      </c>
      <c r="AH73">
        <f>+MTS_results!AE73</f>
        <v>0</v>
      </c>
      <c r="AI73">
        <f>+MTS_results!AF73</f>
        <v>0</v>
      </c>
      <c r="AJ73" t="e">
        <f>+#REF!</f>
        <v>#REF!</v>
      </c>
      <c r="AK73" s="84" t="e">
        <f t="shared" si="141"/>
        <v>#REF!</v>
      </c>
    </row>
    <row r="74" spans="1:37">
      <c r="A74">
        <v>31</v>
      </c>
      <c r="B74">
        <v>2</v>
      </c>
      <c r="C74">
        <f>+PSO_results!V74</f>
        <v>0</v>
      </c>
      <c r="D74" s="127" t="e">
        <f t="shared" si="133"/>
        <v>#REF!</v>
      </c>
      <c r="E74">
        <f>+GA_results!V74</f>
        <v>0</v>
      </c>
      <c r="F74" s="127" t="e">
        <f t="shared" si="134"/>
        <v>#REF!</v>
      </c>
      <c r="G74">
        <f>+DE_results!V74</f>
        <v>0</v>
      </c>
      <c r="H74" s="127" t="e">
        <f t="shared" ref="H74" si="150">+((G74-$M74)/$M74)*100</f>
        <v>#REF!</v>
      </c>
      <c r="I74">
        <f>+MTS_results!V74</f>
        <v>0</v>
      </c>
      <c r="J74" s="127" t="e">
        <f t="shared" ref="J74:L74" si="151">+((I74-$M74)/$M74)*100</f>
        <v>#REF!</v>
      </c>
      <c r="K74" t="e">
        <f>+#REF!</f>
        <v>#REF!</v>
      </c>
      <c r="L74" s="127" t="e">
        <f t="shared" si="151"/>
        <v>#REF!</v>
      </c>
      <c r="M74" s="128" t="e">
        <f t="shared" si="139"/>
        <v>#REF!</v>
      </c>
      <c r="N74" t="e">
        <f t="shared" si="140"/>
        <v>#REF!</v>
      </c>
      <c r="P74" s="40">
        <f>+PSO_results!AB74</f>
        <v>0</v>
      </c>
      <c r="Q74" s="40">
        <f>+PSO_results!AC74</f>
        <v>0</v>
      </c>
      <c r="R74" s="40">
        <f>+PSO_results!AD74</f>
        <v>0</v>
      </c>
      <c r="S74" s="40">
        <f>+PSO_results!AE74</f>
        <v>0</v>
      </c>
      <c r="T74" s="40">
        <f>+PSO_results!AF74</f>
        <v>0</v>
      </c>
      <c r="U74">
        <f>+GA_results!AB74</f>
        <v>0</v>
      </c>
      <c r="V74">
        <f>+GA_results!AC74</f>
        <v>0</v>
      </c>
      <c r="W74">
        <f>+GA_results!AD74</f>
        <v>0</v>
      </c>
      <c r="X74">
        <f>+GA_results!AE74</f>
        <v>0</v>
      </c>
      <c r="Y74">
        <f>+GA_results!AF74</f>
        <v>0</v>
      </c>
      <c r="Z74">
        <f>+DE_results!AB74</f>
        <v>0</v>
      </c>
      <c r="AA74">
        <f>+DE_results!AC74</f>
        <v>0</v>
      </c>
      <c r="AB74">
        <f>+DE_results!AD74</f>
        <v>0</v>
      </c>
      <c r="AC74">
        <f>+DE_results!AE74</f>
        <v>0</v>
      </c>
      <c r="AD74">
        <f>+DE_results!AF74</f>
        <v>0</v>
      </c>
      <c r="AE74">
        <f>+MTS_results!AB74</f>
        <v>0</v>
      </c>
      <c r="AF74">
        <f>+MTS_results!AC74</f>
        <v>0</v>
      </c>
      <c r="AG74">
        <f>+MTS_results!AD74</f>
        <v>0</v>
      </c>
      <c r="AH74">
        <f>+MTS_results!AE74</f>
        <v>0</v>
      </c>
      <c r="AI74">
        <f>+MTS_results!AF74</f>
        <v>0</v>
      </c>
      <c r="AJ74" t="e">
        <f>+#REF!</f>
        <v>#REF!</v>
      </c>
      <c r="AK74" s="84" t="e">
        <f t="shared" si="141"/>
        <v>#REF!</v>
      </c>
    </row>
    <row r="75" spans="1:37">
      <c r="A75">
        <v>32</v>
      </c>
      <c r="B75">
        <v>2</v>
      </c>
      <c r="C75">
        <f>+PSO_results!V75</f>
        <v>0</v>
      </c>
      <c r="D75" s="127" t="e">
        <f t="shared" si="133"/>
        <v>#REF!</v>
      </c>
      <c r="E75">
        <f>+GA_results!V75</f>
        <v>0</v>
      </c>
      <c r="F75" s="127" t="e">
        <f t="shared" si="134"/>
        <v>#REF!</v>
      </c>
      <c r="G75">
        <f>+DE_results!V75</f>
        <v>0</v>
      </c>
      <c r="H75" s="127" t="e">
        <f t="shared" ref="H75" si="152">+((G75-$M75)/$M75)*100</f>
        <v>#REF!</v>
      </c>
      <c r="I75">
        <f>+MTS_results!V75</f>
        <v>0</v>
      </c>
      <c r="J75" s="127" t="e">
        <f t="shared" ref="J75:L75" si="153">+((I75-$M75)/$M75)*100</f>
        <v>#REF!</v>
      </c>
      <c r="K75" t="e">
        <f>+#REF!</f>
        <v>#REF!</v>
      </c>
      <c r="L75" s="127" t="e">
        <f t="shared" si="153"/>
        <v>#REF!</v>
      </c>
      <c r="M75" s="128" t="e">
        <f t="shared" si="139"/>
        <v>#REF!</v>
      </c>
      <c r="N75" t="e">
        <f t="shared" si="140"/>
        <v>#REF!</v>
      </c>
      <c r="P75" s="40">
        <f>+PSO_results!AB75</f>
        <v>0</v>
      </c>
      <c r="Q75" s="40">
        <f>+PSO_results!AC75</f>
        <v>0</v>
      </c>
      <c r="R75" s="40">
        <f>+PSO_results!AD75</f>
        <v>0</v>
      </c>
      <c r="S75" s="40">
        <f>+PSO_results!AE75</f>
        <v>0</v>
      </c>
      <c r="T75" s="40">
        <f>+PSO_results!AF75</f>
        <v>0</v>
      </c>
      <c r="U75">
        <f>+GA_results!AB75</f>
        <v>0</v>
      </c>
      <c r="V75">
        <f>+GA_results!AC75</f>
        <v>0</v>
      </c>
      <c r="W75">
        <f>+GA_results!AD75</f>
        <v>0</v>
      </c>
      <c r="X75">
        <f>+GA_results!AE75</f>
        <v>0</v>
      </c>
      <c r="Y75">
        <f>+GA_results!AF75</f>
        <v>0</v>
      </c>
      <c r="Z75">
        <f>+DE_results!AB75</f>
        <v>0</v>
      </c>
      <c r="AA75">
        <f>+DE_results!AC75</f>
        <v>0</v>
      </c>
      <c r="AB75">
        <f>+DE_results!AD75</f>
        <v>0</v>
      </c>
      <c r="AC75">
        <f>+DE_results!AE75</f>
        <v>0</v>
      </c>
      <c r="AD75">
        <f>+DE_results!AF75</f>
        <v>0</v>
      </c>
      <c r="AE75">
        <f>+MTS_results!AB75</f>
        <v>0</v>
      </c>
      <c r="AF75">
        <f>+MTS_results!AC75</f>
        <v>0</v>
      </c>
      <c r="AG75">
        <f>+MTS_results!AD75</f>
        <v>0</v>
      </c>
      <c r="AH75">
        <f>+MTS_results!AE75</f>
        <v>0</v>
      </c>
      <c r="AI75">
        <f>+MTS_results!AF75</f>
        <v>0</v>
      </c>
      <c r="AJ75" t="e">
        <f>+#REF!</f>
        <v>#REF!</v>
      </c>
      <c r="AK75" s="84" t="e">
        <f t="shared" si="141"/>
        <v>#REF!</v>
      </c>
    </row>
    <row r="76" spans="1:37">
      <c r="A76">
        <v>33</v>
      </c>
      <c r="B76">
        <v>2</v>
      </c>
      <c r="C76">
        <f>+PSO_results!V76</f>
        <v>0</v>
      </c>
      <c r="D76" s="127" t="e">
        <f t="shared" si="133"/>
        <v>#REF!</v>
      </c>
      <c r="E76">
        <f>+GA_results!V76</f>
        <v>0</v>
      </c>
      <c r="F76" s="127" t="e">
        <f t="shared" si="134"/>
        <v>#REF!</v>
      </c>
      <c r="G76">
        <f>+DE_results!V76</f>
        <v>0</v>
      </c>
      <c r="H76" s="127" t="e">
        <f t="shared" ref="H76" si="154">+((G76-$M76)/$M76)*100</f>
        <v>#REF!</v>
      </c>
      <c r="I76">
        <f>+MTS_results!V76</f>
        <v>0</v>
      </c>
      <c r="J76" s="127" t="e">
        <f t="shared" ref="J76:L76" si="155">+((I76-$M76)/$M76)*100</f>
        <v>#REF!</v>
      </c>
      <c r="K76" t="e">
        <f>+#REF!</f>
        <v>#REF!</v>
      </c>
      <c r="L76" s="127" t="e">
        <f t="shared" si="155"/>
        <v>#REF!</v>
      </c>
      <c r="M76" s="128" t="e">
        <f t="shared" si="139"/>
        <v>#REF!</v>
      </c>
      <c r="N76" t="e">
        <f t="shared" si="140"/>
        <v>#REF!</v>
      </c>
      <c r="P76" s="40">
        <f>+PSO_results!AB76</f>
        <v>0</v>
      </c>
      <c r="Q76" s="40">
        <f>+PSO_results!AC76</f>
        <v>0</v>
      </c>
      <c r="R76" s="40">
        <f>+PSO_results!AD76</f>
        <v>0</v>
      </c>
      <c r="S76" s="40">
        <f>+PSO_results!AE76</f>
        <v>0</v>
      </c>
      <c r="T76" s="40">
        <f>+PSO_results!AF76</f>
        <v>0</v>
      </c>
      <c r="U76">
        <f>+GA_results!AB76</f>
        <v>0</v>
      </c>
      <c r="V76">
        <f>+GA_results!AC76</f>
        <v>0</v>
      </c>
      <c r="W76">
        <f>+GA_results!AD76</f>
        <v>0</v>
      </c>
      <c r="X76">
        <f>+GA_results!AE76</f>
        <v>0</v>
      </c>
      <c r="Y76">
        <f>+GA_results!AF76</f>
        <v>0</v>
      </c>
      <c r="Z76">
        <f>+DE_results!AB76</f>
        <v>0</v>
      </c>
      <c r="AA76">
        <f>+DE_results!AC76</f>
        <v>0</v>
      </c>
      <c r="AB76">
        <f>+DE_results!AD76</f>
        <v>0</v>
      </c>
      <c r="AC76">
        <f>+DE_results!AE76</f>
        <v>0</v>
      </c>
      <c r="AD76">
        <f>+DE_results!AF76</f>
        <v>0</v>
      </c>
      <c r="AE76">
        <f>+MTS_results!AB76</f>
        <v>0</v>
      </c>
      <c r="AF76">
        <f>+MTS_results!AC76</f>
        <v>0</v>
      </c>
      <c r="AG76">
        <f>+MTS_results!AD76</f>
        <v>0</v>
      </c>
      <c r="AH76">
        <f>+MTS_results!AE76</f>
        <v>0</v>
      </c>
      <c r="AI76">
        <f>+MTS_results!AF76</f>
        <v>0</v>
      </c>
      <c r="AJ76" t="e">
        <f>+#REF!</f>
        <v>#REF!</v>
      </c>
      <c r="AK76" s="84" t="e">
        <f t="shared" si="141"/>
        <v>#REF!</v>
      </c>
    </row>
    <row r="77" spans="1:37">
      <c r="A77">
        <v>34</v>
      </c>
      <c r="B77">
        <v>2</v>
      </c>
      <c r="C77">
        <f>+PSO_results!V77</f>
        <v>0</v>
      </c>
      <c r="D77" s="127" t="e">
        <f t="shared" si="133"/>
        <v>#REF!</v>
      </c>
      <c r="E77">
        <f>+GA_results!V77</f>
        <v>0</v>
      </c>
      <c r="F77" s="127" t="e">
        <f t="shared" si="134"/>
        <v>#REF!</v>
      </c>
      <c r="G77">
        <f>+DE_results!V77</f>
        <v>0</v>
      </c>
      <c r="H77" s="127" t="e">
        <f t="shared" ref="H77" si="156">+((G77-$M77)/$M77)*100</f>
        <v>#REF!</v>
      </c>
      <c r="I77">
        <f>+MTS_results!V77</f>
        <v>0</v>
      </c>
      <c r="J77" s="127" t="e">
        <f t="shared" ref="J77:L77" si="157">+((I77-$M77)/$M77)*100</f>
        <v>#REF!</v>
      </c>
      <c r="K77" t="e">
        <f>+#REF!</f>
        <v>#REF!</v>
      </c>
      <c r="L77" s="127" t="e">
        <f t="shared" si="157"/>
        <v>#REF!</v>
      </c>
      <c r="M77" s="128" t="e">
        <f t="shared" si="139"/>
        <v>#REF!</v>
      </c>
      <c r="N77" t="e">
        <f t="shared" si="140"/>
        <v>#REF!</v>
      </c>
      <c r="P77" s="40">
        <f>+PSO_results!AB77</f>
        <v>0</v>
      </c>
      <c r="Q77" s="40">
        <f>+PSO_results!AC77</f>
        <v>0</v>
      </c>
      <c r="R77" s="40">
        <f>+PSO_results!AD77</f>
        <v>0</v>
      </c>
      <c r="S77" s="40">
        <f>+PSO_results!AE77</f>
        <v>0</v>
      </c>
      <c r="T77" s="40">
        <f>+PSO_results!AF77</f>
        <v>0</v>
      </c>
      <c r="U77">
        <f>+GA_results!AB77</f>
        <v>0</v>
      </c>
      <c r="V77">
        <f>+GA_results!AC77</f>
        <v>0</v>
      </c>
      <c r="W77">
        <f>+GA_results!AD77</f>
        <v>0</v>
      </c>
      <c r="X77">
        <f>+GA_results!AE77</f>
        <v>0</v>
      </c>
      <c r="Y77">
        <f>+GA_results!AF77</f>
        <v>0</v>
      </c>
      <c r="Z77">
        <f>+DE_results!AB77</f>
        <v>0</v>
      </c>
      <c r="AA77">
        <f>+DE_results!AC77</f>
        <v>0</v>
      </c>
      <c r="AB77">
        <f>+DE_results!AD77</f>
        <v>0</v>
      </c>
      <c r="AC77">
        <f>+DE_results!AE77</f>
        <v>0</v>
      </c>
      <c r="AD77">
        <f>+DE_results!AF77</f>
        <v>0</v>
      </c>
      <c r="AE77">
        <f>+MTS_results!AB77</f>
        <v>0</v>
      </c>
      <c r="AF77">
        <f>+MTS_results!AC77</f>
        <v>0</v>
      </c>
      <c r="AG77">
        <f>+MTS_results!AD77</f>
        <v>0</v>
      </c>
      <c r="AH77">
        <f>+MTS_results!AE77</f>
        <v>0</v>
      </c>
      <c r="AI77">
        <f>+MTS_results!AF77</f>
        <v>0</v>
      </c>
      <c r="AJ77" t="e">
        <f>+#REF!</f>
        <v>#REF!</v>
      </c>
      <c r="AK77" s="84" t="e">
        <f t="shared" si="141"/>
        <v>#REF!</v>
      </c>
    </row>
    <row r="78" spans="1:37">
      <c r="A78">
        <v>35</v>
      </c>
      <c r="B78">
        <v>2</v>
      </c>
      <c r="C78">
        <f>+PSO_results!V78</f>
        <v>0</v>
      </c>
      <c r="D78" s="127" t="e">
        <f t="shared" si="133"/>
        <v>#REF!</v>
      </c>
      <c r="E78">
        <f>+GA_results!V78</f>
        <v>0</v>
      </c>
      <c r="F78" s="127" t="e">
        <f t="shared" si="134"/>
        <v>#REF!</v>
      </c>
      <c r="G78">
        <f>+DE_results!V78</f>
        <v>0</v>
      </c>
      <c r="H78" s="127" t="e">
        <f t="shared" ref="H78" si="158">+((G78-$M78)/$M78)*100</f>
        <v>#REF!</v>
      </c>
      <c r="I78">
        <f>+MTS_results!V78</f>
        <v>0</v>
      </c>
      <c r="J78" s="127" t="e">
        <f t="shared" ref="J78:L78" si="159">+((I78-$M78)/$M78)*100</f>
        <v>#REF!</v>
      </c>
      <c r="K78" t="e">
        <f>+#REF!</f>
        <v>#REF!</v>
      </c>
      <c r="L78" s="127" t="e">
        <f t="shared" si="159"/>
        <v>#REF!</v>
      </c>
      <c r="M78" s="128" t="e">
        <f t="shared" si="139"/>
        <v>#REF!</v>
      </c>
      <c r="N78" t="e">
        <f t="shared" si="140"/>
        <v>#REF!</v>
      </c>
      <c r="P78" s="40">
        <f>+PSO_results!AB78</f>
        <v>0</v>
      </c>
      <c r="Q78" s="40">
        <f>+PSO_results!AC78</f>
        <v>0</v>
      </c>
      <c r="R78" s="40">
        <f>+PSO_results!AD78</f>
        <v>0</v>
      </c>
      <c r="S78" s="40">
        <f>+PSO_results!AE78</f>
        <v>0</v>
      </c>
      <c r="T78" s="40">
        <f>+PSO_results!AF78</f>
        <v>0</v>
      </c>
      <c r="U78">
        <f>+GA_results!AB78</f>
        <v>0</v>
      </c>
      <c r="V78">
        <f>+GA_results!AC78</f>
        <v>0</v>
      </c>
      <c r="W78">
        <f>+GA_results!AD78</f>
        <v>0</v>
      </c>
      <c r="X78">
        <f>+GA_results!AE78</f>
        <v>0</v>
      </c>
      <c r="Y78">
        <f>+GA_results!AF78</f>
        <v>0</v>
      </c>
      <c r="Z78">
        <f>+DE_results!AB78</f>
        <v>0</v>
      </c>
      <c r="AA78">
        <f>+DE_results!AC78</f>
        <v>0</v>
      </c>
      <c r="AB78">
        <f>+DE_results!AD78</f>
        <v>0</v>
      </c>
      <c r="AC78">
        <f>+DE_results!AE78</f>
        <v>0</v>
      </c>
      <c r="AD78">
        <f>+DE_results!AF78</f>
        <v>0</v>
      </c>
      <c r="AE78">
        <f>+MTS_results!AB78</f>
        <v>0</v>
      </c>
      <c r="AF78">
        <f>+MTS_results!AC78</f>
        <v>0</v>
      </c>
      <c r="AG78">
        <f>+MTS_results!AD78</f>
        <v>0</v>
      </c>
      <c r="AH78">
        <f>+MTS_results!AE78</f>
        <v>0</v>
      </c>
      <c r="AI78">
        <f>+MTS_results!AF78</f>
        <v>0</v>
      </c>
      <c r="AJ78" t="e">
        <f>+#REF!</f>
        <v>#REF!</v>
      </c>
      <c r="AK78" s="84" t="e">
        <f t="shared" si="141"/>
        <v>#REF!</v>
      </c>
    </row>
    <row r="79" spans="1:37">
      <c r="A79">
        <v>36</v>
      </c>
      <c r="B79">
        <v>2</v>
      </c>
      <c r="C79">
        <f>+PSO_results!V79</f>
        <v>0</v>
      </c>
      <c r="D79" s="127" t="e">
        <f t="shared" si="133"/>
        <v>#REF!</v>
      </c>
      <c r="E79">
        <f>+GA_results!V79</f>
        <v>0</v>
      </c>
      <c r="F79" s="127" t="e">
        <f t="shared" si="134"/>
        <v>#REF!</v>
      </c>
      <c r="G79">
        <f>+DE_results!V79</f>
        <v>0</v>
      </c>
      <c r="H79" s="127" t="e">
        <f t="shared" ref="H79" si="160">+((G79-$M79)/$M79)*100</f>
        <v>#REF!</v>
      </c>
      <c r="I79">
        <f>+MTS_results!V79</f>
        <v>0</v>
      </c>
      <c r="J79" s="127" t="e">
        <f t="shared" ref="J79:L79" si="161">+((I79-$M79)/$M79)*100</f>
        <v>#REF!</v>
      </c>
      <c r="K79" t="e">
        <f>+#REF!</f>
        <v>#REF!</v>
      </c>
      <c r="L79" s="127" t="e">
        <f t="shared" si="161"/>
        <v>#REF!</v>
      </c>
      <c r="M79" s="128" t="e">
        <f t="shared" si="139"/>
        <v>#REF!</v>
      </c>
      <c r="N79" t="e">
        <f t="shared" si="140"/>
        <v>#REF!</v>
      </c>
      <c r="P79" s="40">
        <f>+PSO_results!AB79</f>
        <v>0</v>
      </c>
      <c r="Q79" s="40">
        <f>+PSO_results!AC79</f>
        <v>0</v>
      </c>
      <c r="R79" s="40">
        <f>+PSO_results!AD79</f>
        <v>0</v>
      </c>
      <c r="S79" s="40">
        <f>+PSO_results!AE79</f>
        <v>0</v>
      </c>
      <c r="T79" s="40">
        <f>+PSO_results!AF79</f>
        <v>0</v>
      </c>
      <c r="U79">
        <f>+GA_results!AB79</f>
        <v>0</v>
      </c>
      <c r="V79">
        <f>+GA_results!AC79</f>
        <v>0</v>
      </c>
      <c r="W79">
        <f>+GA_results!AD79</f>
        <v>0</v>
      </c>
      <c r="X79">
        <f>+GA_results!AE79</f>
        <v>0</v>
      </c>
      <c r="Y79">
        <f>+GA_results!AF79</f>
        <v>0</v>
      </c>
      <c r="Z79">
        <f>+DE_results!AB79</f>
        <v>0</v>
      </c>
      <c r="AA79">
        <f>+DE_results!AC79</f>
        <v>0</v>
      </c>
      <c r="AB79">
        <f>+DE_results!AD79</f>
        <v>0</v>
      </c>
      <c r="AC79">
        <f>+DE_results!AE79</f>
        <v>0</v>
      </c>
      <c r="AD79">
        <f>+DE_results!AF79</f>
        <v>0</v>
      </c>
      <c r="AE79">
        <f>+MTS_results!AB79</f>
        <v>0</v>
      </c>
      <c r="AF79">
        <f>+MTS_results!AC79</f>
        <v>0</v>
      </c>
      <c r="AG79">
        <f>+MTS_results!AD79</f>
        <v>0</v>
      </c>
      <c r="AH79">
        <f>+MTS_results!AE79</f>
        <v>0</v>
      </c>
      <c r="AI79">
        <f>+MTS_results!AF79</f>
        <v>0</v>
      </c>
      <c r="AJ79" t="e">
        <f>+#REF!</f>
        <v>#REF!</v>
      </c>
      <c r="AK79" s="84" t="e">
        <f t="shared" si="141"/>
        <v>#REF!</v>
      </c>
    </row>
    <row r="80" spans="1:37">
      <c r="A80">
        <v>37</v>
      </c>
      <c r="B80">
        <v>2</v>
      </c>
      <c r="C80">
        <f>+PSO_results!V80</f>
        <v>0</v>
      </c>
      <c r="D80" s="127" t="e">
        <f t="shared" si="133"/>
        <v>#REF!</v>
      </c>
      <c r="E80">
        <f>+GA_results!V80</f>
        <v>0</v>
      </c>
      <c r="F80" s="127" t="e">
        <f t="shared" si="134"/>
        <v>#REF!</v>
      </c>
      <c r="G80">
        <f>+DE_results!V80</f>
        <v>0</v>
      </c>
      <c r="H80" s="127" t="e">
        <f t="shared" ref="H80" si="162">+((G80-$M80)/$M80)*100</f>
        <v>#REF!</v>
      </c>
      <c r="I80">
        <f>+MTS_results!V80</f>
        <v>0</v>
      </c>
      <c r="J80" s="127" t="e">
        <f t="shared" ref="J80:L80" si="163">+((I80-$M80)/$M80)*100</f>
        <v>#REF!</v>
      </c>
      <c r="K80" t="e">
        <f>+#REF!</f>
        <v>#REF!</v>
      </c>
      <c r="L80" s="127" t="e">
        <f t="shared" si="163"/>
        <v>#REF!</v>
      </c>
      <c r="M80" s="128" t="e">
        <f t="shared" si="139"/>
        <v>#REF!</v>
      </c>
      <c r="N80" t="e">
        <f t="shared" si="140"/>
        <v>#REF!</v>
      </c>
      <c r="P80" s="40">
        <f>+PSO_results!AB80</f>
        <v>0</v>
      </c>
      <c r="Q80" s="40">
        <f>+PSO_results!AC80</f>
        <v>0</v>
      </c>
      <c r="R80" s="40">
        <f>+PSO_results!AD80</f>
        <v>0</v>
      </c>
      <c r="S80" s="40">
        <f>+PSO_results!AE80</f>
        <v>0</v>
      </c>
      <c r="T80" s="40">
        <f>+PSO_results!AF80</f>
        <v>0</v>
      </c>
      <c r="U80">
        <f>+GA_results!AB80</f>
        <v>0</v>
      </c>
      <c r="V80">
        <f>+GA_results!AC80</f>
        <v>0</v>
      </c>
      <c r="W80">
        <f>+GA_results!AD80</f>
        <v>0</v>
      </c>
      <c r="X80">
        <f>+GA_results!AE80</f>
        <v>0</v>
      </c>
      <c r="Y80">
        <f>+GA_results!AF80</f>
        <v>0</v>
      </c>
      <c r="Z80">
        <f>+DE_results!AB80</f>
        <v>0</v>
      </c>
      <c r="AA80">
        <f>+DE_results!AC80</f>
        <v>0</v>
      </c>
      <c r="AB80">
        <f>+DE_results!AD80</f>
        <v>0</v>
      </c>
      <c r="AC80">
        <f>+DE_results!AE80</f>
        <v>0</v>
      </c>
      <c r="AD80">
        <f>+DE_results!AF80</f>
        <v>0</v>
      </c>
      <c r="AE80">
        <f>+MTS_results!AB80</f>
        <v>0</v>
      </c>
      <c r="AF80">
        <f>+MTS_results!AC80</f>
        <v>0</v>
      </c>
      <c r="AG80">
        <f>+MTS_results!AD80</f>
        <v>0</v>
      </c>
      <c r="AH80">
        <f>+MTS_results!AE80</f>
        <v>0</v>
      </c>
      <c r="AI80">
        <f>+MTS_results!AF80</f>
        <v>0</v>
      </c>
      <c r="AJ80" t="e">
        <f>+#REF!</f>
        <v>#REF!</v>
      </c>
      <c r="AK80" s="84" t="e">
        <f t="shared" si="141"/>
        <v>#REF!</v>
      </c>
    </row>
    <row r="81" spans="1:37">
      <c r="A81">
        <v>38</v>
      </c>
      <c r="B81">
        <v>2</v>
      </c>
      <c r="C81">
        <f>+PSO_results!V81</f>
        <v>0</v>
      </c>
      <c r="D81" s="127" t="e">
        <f t="shared" si="133"/>
        <v>#REF!</v>
      </c>
      <c r="E81">
        <f>+GA_results!V81</f>
        <v>0</v>
      </c>
      <c r="F81" s="127" t="e">
        <f t="shared" si="134"/>
        <v>#REF!</v>
      </c>
      <c r="G81">
        <f>+DE_results!V81</f>
        <v>0</v>
      </c>
      <c r="H81" s="127" t="e">
        <f t="shared" ref="H81" si="164">+((G81-$M81)/$M81)*100</f>
        <v>#REF!</v>
      </c>
      <c r="I81">
        <f>+MTS_results!V81</f>
        <v>0</v>
      </c>
      <c r="J81" s="127" t="e">
        <f t="shared" ref="J81:L81" si="165">+((I81-$M81)/$M81)*100</f>
        <v>#REF!</v>
      </c>
      <c r="K81" t="e">
        <f>+#REF!</f>
        <v>#REF!</v>
      </c>
      <c r="L81" s="127" t="e">
        <f t="shared" si="165"/>
        <v>#REF!</v>
      </c>
      <c r="M81" s="128" t="e">
        <f t="shared" si="139"/>
        <v>#REF!</v>
      </c>
      <c r="N81" t="e">
        <f t="shared" si="140"/>
        <v>#REF!</v>
      </c>
      <c r="P81" s="40">
        <f>+PSO_results!AB81</f>
        <v>0</v>
      </c>
      <c r="Q81" s="40">
        <f>+PSO_results!AC81</f>
        <v>0</v>
      </c>
      <c r="R81" s="40">
        <f>+PSO_results!AD81</f>
        <v>0</v>
      </c>
      <c r="S81" s="40">
        <f>+PSO_results!AE81</f>
        <v>0</v>
      </c>
      <c r="T81" s="40">
        <f>+PSO_results!AF81</f>
        <v>0</v>
      </c>
      <c r="U81">
        <f>+GA_results!AB81</f>
        <v>0</v>
      </c>
      <c r="V81">
        <f>+GA_results!AC81</f>
        <v>0</v>
      </c>
      <c r="W81">
        <f>+GA_results!AD81</f>
        <v>0</v>
      </c>
      <c r="X81">
        <f>+GA_results!AE81</f>
        <v>0</v>
      </c>
      <c r="Y81">
        <f>+GA_results!AF81</f>
        <v>0</v>
      </c>
      <c r="Z81">
        <f>+DE_results!AB81</f>
        <v>0</v>
      </c>
      <c r="AA81">
        <f>+DE_results!AC81</f>
        <v>0</v>
      </c>
      <c r="AB81">
        <f>+DE_results!AD81</f>
        <v>0</v>
      </c>
      <c r="AC81">
        <f>+DE_results!AE81</f>
        <v>0</v>
      </c>
      <c r="AD81">
        <f>+DE_results!AF81</f>
        <v>0</v>
      </c>
      <c r="AE81">
        <f>+MTS_results!AB81</f>
        <v>0</v>
      </c>
      <c r="AF81">
        <f>+MTS_results!AC81</f>
        <v>0</v>
      </c>
      <c r="AG81">
        <f>+MTS_results!AD81</f>
        <v>0</v>
      </c>
      <c r="AH81">
        <f>+MTS_results!AE81</f>
        <v>0</v>
      </c>
      <c r="AI81">
        <f>+MTS_results!AF81</f>
        <v>0</v>
      </c>
      <c r="AJ81" t="e">
        <f>+#REF!</f>
        <v>#REF!</v>
      </c>
      <c r="AK81" s="84" t="e">
        <f t="shared" si="141"/>
        <v>#REF!</v>
      </c>
    </row>
    <row r="82" spans="1:37">
      <c r="A82">
        <v>39</v>
      </c>
      <c r="B82">
        <v>2</v>
      </c>
      <c r="C82">
        <f>+PSO_results!V82</f>
        <v>0</v>
      </c>
      <c r="D82" s="127" t="e">
        <f t="shared" si="133"/>
        <v>#REF!</v>
      </c>
      <c r="E82">
        <f>+GA_results!V82</f>
        <v>0</v>
      </c>
      <c r="F82" s="127" t="e">
        <f t="shared" si="134"/>
        <v>#REF!</v>
      </c>
      <c r="G82">
        <f>+DE_results!V82</f>
        <v>0</v>
      </c>
      <c r="H82" s="127" t="e">
        <f t="shared" ref="H82" si="166">+((G82-$M82)/$M82)*100</f>
        <v>#REF!</v>
      </c>
      <c r="I82">
        <f>+MTS_results!V82</f>
        <v>0</v>
      </c>
      <c r="J82" s="127" t="e">
        <f t="shared" ref="J82:L82" si="167">+((I82-$M82)/$M82)*100</f>
        <v>#REF!</v>
      </c>
      <c r="K82" t="e">
        <f>+#REF!</f>
        <v>#REF!</v>
      </c>
      <c r="L82" s="127" t="e">
        <f t="shared" si="167"/>
        <v>#REF!</v>
      </c>
      <c r="M82" s="128" t="e">
        <f t="shared" si="139"/>
        <v>#REF!</v>
      </c>
      <c r="N82" t="e">
        <f t="shared" si="140"/>
        <v>#REF!</v>
      </c>
      <c r="P82" s="40">
        <f>+PSO_results!AB82</f>
        <v>0</v>
      </c>
      <c r="Q82" s="40">
        <f>+PSO_results!AC82</f>
        <v>0</v>
      </c>
      <c r="R82" s="40">
        <f>+PSO_results!AD82</f>
        <v>0</v>
      </c>
      <c r="S82" s="40">
        <f>+PSO_results!AE82</f>
        <v>0</v>
      </c>
      <c r="T82" s="40">
        <f>+PSO_results!AF82</f>
        <v>0</v>
      </c>
      <c r="U82">
        <f>+GA_results!AB82</f>
        <v>0</v>
      </c>
      <c r="V82">
        <f>+GA_results!AC82</f>
        <v>0</v>
      </c>
      <c r="W82">
        <f>+GA_results!AD82</f>
        <v>0</v>
      </c>
      <c r="X82">
        <f>+GA_results!AE82</f>
        <v>0</v>
      </c>
      <c r="Y82">
        <f>+GA_results!AF82</f>
        <v>0</v>
      </c>
      <c r="Z82">
        <f>+DE_results!AB82</f>
        <v>0</v>
      </c>
      <c r="AA82">
        <f>+DE_results!AC82</f>
        <v>0</v>
      </c>
      <c r="AB82">
        <f>+DE_results!AD82</f>
        <v>0</v>
      </c>
      <c r="AC82">
        <f>+DE_results!AE82</f>
        <v>0</v>
      </c>
      <c r="AD82">
        <f>+DE_results!AF82</f>
        <v>0</v>
      </c>
      <c r="AE82">
        <f>+MTS_results!AB82</f>
        <v>0</v>
      </c>
      <c r="AF82">
        <f>+MTS_results!AC82</f>
        <v>0</v>
      </c>
      <c r="AG82">
        <f>+MTS_results!AD82</f>
        <v>0</v>
      </c>
      <c r="AH82">
        <f>+MTS_results!AE82</f>
        <v>0</v>
      </c>
      <c r="AI82">
        <f>+MTS_results!AF82</f>
        <v>0</v>
      </c>
      <c r="AJ82" t="e">
        <f>+#REF!</f>
        <v>#REF!</v>
      </c>
      <c r="AK82" s="84" t="e">
        <f t="shared" si="141"/>
        <v>#REF!</v>
      </c>
    </row>
    <row r="83" spans="1:37">
      <c r="A83">
        <v>40</v>
      </c>
      <c r="B83">
        <v>2</v>
      </c>
      <c r="C83">
        <f>+PSO_results!V83</f>
        <v>0</v>
      </c>
      <c r="D83" s="127" t="e">
        <f t="shared" si="133"/>
        <v>#REF!</v>
      </c>
      <c r="E83">
        <f>+GA_results!V83</f>
        <v>0</v>
      </c>
      <c r="F83" s="127" t="e">
        <f t="shared" si="134"/>
        <v>#REF!</v>
      </c>
      <c r="G83">
        <f>+DE_results!V83</f>
        <v>0</v>
      </c>
      <c r="H83" s="127" t="e">
        <f t="shared" ref="H83" si="168">+((G83-$M83)/$M83)*100</f>
        <v>#REF!</v>
      </c>
      <c r="I83">
        <f>+MTS_results!V83</f>
        <v>0</v>
      </c>
      <c r="J83" s="127" t="e">
        <f t="shared" ref="J83:L83" si="169">+((I83-$M83)/$M83)*100</f>
        <v>#REF!</v>
      </c>
      <c r="K83" t="e">
        <f>+#REF!</f>
        <v>#REF!</v>
      </c>
      <c r="L83" s="127" t="e">
        <f t="shared" si="169"/>
        <v>#REF!</v>
      </c>
      <c r="M83" s="128" t="e">
        <f t="shared" si="139"/>
        <v>#REF!</v>
      </c>
      <c r="N83" t="e">
        <f t="shared" si="140"/>
        <v>#REF!</v>
      </c>
      <c r="P83" s="40">
        <f>+PSO_results!AB83</f>
        <v>0</v>
      </c>
      <c r="Q83" s="40">
        <f>+PSO_results!AC83</f>
        <v>0</v>
      </c>
      <c r="R83" s="40">
        <f>+PSO_results!AD83</f>
        <v>0</v>
      </c>
      <c r="S83" s="40">
        <f>+PSO_results!AE83</f>
        <v>0</v>
      </c>
      <c r="T83" s="40">
        <f>+PSO_results!AF83</f>
        <v>0</v>
      </c>
      <c r="U83">
        <f>+GA_results!AB83</f>
        <v>0</v>
      </c>
      <c r="V83">
        <f>+GA_results!AC83</f>
        <v>0</v>
      </c>
      <c r="W83">
        <f>+GA_results!AD83</f>
        <v>0</v>
      </c>
      <c r="X83">
        <f>+GA_results!AE83</f>
        <v>0</v>
      </c>
      <c r="Y83">
        <f>+GA_results!AF83</f>
        <v>0</v>
      </c>
      <c r="Z83">
        <f>+DE_results!AB83</f>
        <v>0</v>
      </c>
      <c r="AA83">
        <f>+DE_results!AC83</f>
        <v>0</v>
      </c>
      <c r="AB83">
        <f>+DE_results!AD83</f>
        <v>0</v>
      </c>
      <c r="AC83">
        <f>+DE_results!AE83</f>
        <v>0</v>
      </c>
      <c r="AD83">
        <f>+DE_results!AF83</f>
        <v>0</v>
      </c>
      <c r="AE83">
        <f>+MTS_results!AB83</f>
        <v>0</v>
      </c>
      <c r="AF83">
        <f>+MTS_results!AC83</f>
        <v>0</v>
      </c>
      <c r="AG83">
        <f>+MTS_results!AD83</f>
        <v>0</v>
      </c>
      <c r="AH83">
        <f>+MTS_results!AE83</f>
        <v>0</v>
      </c>
      <c r="AI83">
        <f>+MTS_results!AF83</f>
        <v>0</v>
      </c>
      <c r="AJ83" t="e">
        <f>+#REF!</f>
        <v>#REF!</v>
      </c>
      <c r="AK83" s="84" t="e">
        <f t="shared" si="141"/>
        <v>#REF!</v>
      </c>
    </row>
    <row r="84" spans="1:37">
      <c r="A84">
        <v>41</v>
      </c>
      <c r="B84">
        <v>1</v>
      </c>
      <c r="C84">
        <f>+PSO_results!V84</f>
        <v>0</v>
      </c>
      <c r="D84" s="127" t="e">
        <f t="shared" si="133"/>
        <v>#REF!</v>
      </c>
      <c r="E84">
        <f>+GA_results!V84</f>
        <v>0</v>
      </c>
      <c r="F84" s="127" t="e">
        <f t="shared" si="134"/>
        <v>#REF!</v>
      </c>
      <c r="G84">
        <f>+DE_results!V84</f>
        <v>0</v>
      </c>
      <c r="H84" s="127" t="e">
        <f t="shared" ref="H84" si="170">+((G84-$M84)/$M84)*100</f>
        <v>#REF!</v>
      </c>
      <c r="I84">
        <f>+MTS_results!V84</f>
        <v>0</v>
      </c>
      <c r="J84" s="127" t="e">
        <f t="shared" ref="J84:L84" si="171">+((I84-$M84)/$M84)*100</f>
        <v>#REF!</v>
      </c>
      <c r="K84" t="e">
        <f>+#REF!</f>
        <v>#REF!</v>
      </c>
      <c r="L84" s="127" t="e">
        <f t="shared" si="171"/>
        <v>#REF!</v>
      </c>
      <c r="M84" s="128" t="e">
        <f t="shared" si="139"/>
        <v>#REF!</v>
      </c>
      <c r="N84" t="e">
        <f t="shared" si="140"/>
        <v>#REF!</v>
      </c>
      <c r="P84" s="40">
        <f>+PSO_results!AB84</f>
        <v>0</v>
      </c>
      <c r="Q84" s="40">
        <f>+PSO_results!AC84</f>
        <v>0</v>
      </c>
      <c r="R84" s="40">
        <f>+PSO_results!AD84</f>
        <v>0</v>
      </c>
      <c r="S84" s="40">
        <f>+PSO_results!AE84</f>
        <v>0</v>
      </c>
      <c r="T84" s="40">
        <f>+PSO_results!AF84</f>
        <v>0</v>
      </c>
      <c r="U84">
        <f>+GA_results!AB84</f>
        <v>0</v>
      </c>
      <c r="V84">
        <f>+GA_results!AC84</f>
        <v>0</v>
      </c>
      <c r="W84">
        <f>+GA_results!AD84</f>
        <v>0</v>
      </c>
      <c r="X84">
        <f>+GA_results!AE84</f>
        <v>0</v>
      </c>
      <c r="Y84">
        <f>+GA_results!AF84</f>
        <v>0</v>
      </c>
      <c r="Z84">
        <f>+DE_results!AB84</f>
        <v>0</v>
      </c>
      <c r="AA84">
        <f>+DE_results!AC84</f>
        <v>0</v>
      </c>
      <c r="AB84">
        <f>+DE_results!AD84</f>
        <v>0</v>
      </c>
      <c r="AC84">
        <f>+DE_results!AE84</f>
        <v>0</v>
      </c>
      <c r="AD84">
        <f>+DE_results!AF84</f>
        <v>0</v>
      </c>
      <c r="AE84">
        <f>+MTS_results!AB84</f>
        <v>0</v>
      </c>
      <c r="AF84">
        <f>+MTS_results!AC84</f>
        <v>0</v>
      </c>
      <c r="AG84">
        <f>+MTS_results!AD84</f>
        <v>0</v>
      </c>
      <c r="AH84">
        <f>+MTS_results!AE84</f>
        <v>0</v>
      </c>
      <c r="AI84">
        <f>+MTS_results!AF84</f>
        <v>0</v>
      </c>
      <c r="AJ84" t="e">
        <f>+#REF!</f>
        <v>#REF!</v>
      </c>
      <c r="AK84" s="84" t="e">
        <f t="shared" si="141"/>
        <v>#REF!</v>
      </c>
    </row>
    <row r="85" spans="1:37">
      <c r="A85">
        <v>42</v>
      </c>
      <c r="B85">
        <v>1</v>
      </c>
      <c r="C85">
        <f>+PSO_results!V85</f>
        <v>0</v>
      </c>
      <c r="D85" s="127" t="e">
        <f t="shared" si="133"/>
        <v>#REF!</v>
      </c>
      <c r="E85">
        <f>+GA_results!V85</f>
        <v>0</v>
      </c>
      <c r="F85" s="127" t="e">
        <f t="shared" si="134"/>
        <v>#REF!</v>
      </c>
      <c r="G85">
        <f>+DE_results!V85</f>
        <v>0</v>
      </c>
      <c r="H85" s="127" t="e">
        <f t="shared" ref="H85" si="172">+((G85-$M85)/$M85)*100</f>
        <v>#REF!</v>
      </c>
      <c r="I85">
        <f>+MTS_results!V85</f>
        <v>0</v>
      </c>
      <c r="J85" s="127" t="e">
        <f t="shared" ref="J85:L85" si="173">+((I85-$M85)/$M85)*100</f>
        <v>#REF!</v>
      </c>
      <c r="K85" t="e">
        <f>+#REF!</f>
        <v>#REF!</v>
      </c>
      <c r="L85" s="127" t="e">
        <f t="shared" si="173"/>
        <v>#REF!</v>
      </c>
      <c r="M85" s="128" t="e">
        <f t="shared" si="139"/>
        <v>#REF!</v>
      </c>
      <c r="N85" t="e">
        <f t="shared" si="140"/>
        <v>#REF!</v>
      </c>
      <c r="P85" s="40">
        <f>+PSO_results!AB85</f>
        <v>0</v>
      </c>
      <c r="Q85" s="40">
        <f>+PSO_results!AC85</f>
        <v>0</v>
      </c>
      <c r="R85" s="40">
        <f>+PSO_results!AD85</f>
        <v>0</v>
      </c>
      <c r="S85" s="40">
        <f>+PSO_results!AE85</f>
        <v>0</v>
      </c>
      <c r="T85" s="40">
        <f>+PSO_results!AF85</f>
        <v>0</v>
      </c>
      <c r="U85">
        <f>+GA_results!AB85</f>
        <v>0</v>
      </c>
      <c r="V85">
        <f>+GA_results!AC85</f>
        <v>0</v>
      </c>
      <c r="W85">
        <f>+GA_results!AD85</f>
        <v>0</v>
      </c>
      <c r="X85">
        <f>+GA_results!AE85</f>
        <v>0</v>
      </c>
      <c r="Y85">
        <f>+GA_results!AF85</f>
        <v>0</v>
      </c>
      <c r="Z85">
        <f>+DE_results!AB85</f>
        <v>0</v>
      </c>
      <c r="AA85">
        <f>+DE_results!AC85</f>
        <v>0</v>
      </c>
      <c r="AB85">
        <f>+DE_results!AD85</f>
        <v>0</v>
      </c>
      <c r="AC85">
        <f>+DE_results!AE85</f>
        <v>0</v>
      </c>
      <c r="AD85">
        <f>+DE_results!AF85</f>
        <v>0</v>
      </c>
      <c r="AE85">
        <f>+MTS_results!AB85</f>
        <v>0</v>
      </c>
      <c r="AF85">
        <f>+MTS_results!AC85</f>
        <v>0</v>
      </c>
      <c r="AG85">
        <f>+MTS_results!AD85</f>
        <v>0</v>
      </c>
      <c r="AH85">
        <f>+MTS_results!AE85</f>
        <v>0</v>
      </c>
      <c r="AI85">
        <f>+MTS_results!AF85</f>
        <v>0</v>
      </c>
      <c r="AJ85" t="e">
        <f>+#REF!</f>
        <v>#REF!</v>
      </c>
      <c r="AK85" s="84" t="e">
        <f t="shared" si="141"/>
        <v>#REF!</v>
      </c>
    </row>
    <row r="86" spans="1:37">
      <c r="A86">
        <v>43</v>
      </c>
      <c r="B86">
        <v>1</v>
      </c>
      <c r="C86">
        <f>+PSO_results!V86</f>
        <v>0</v>
      </c>
      <c r="D86" s="127" t="e">
        <f t="shared" si="133"/>
        <v>#REF!</v>
      </c>
      <c r="E86">
        <f>+GA_results!V86</f>
        <v>0</v>
      </c>
      <c r="F86" s="127" t="e">
        <f t="shared" si="134"/>
        <v>#REF!</v>
      </c>
      <c r="G86">
        <f>+DE_results!V86</f>
        <v>0</v>
      </c>
      <c r="H86" s="127" t="e">
        <f t="shared" ref="H86" si="174">+((G86-$M86)/$M86)*100</f>
        <v>#REF!</v>
      </c>
      <c r="I86">
        <f>+MTS_results!V86</f>
        <v>0</v>
      </c>
      <c r="J86" s="127" t="e">
        <f t="shared" ref="J86:L86" si="175">+((I86-$M86)/$M86)*100</f>
        <v>#REF!</v>
      </c>
      <c r="K86" t="e">
        <f>+#REF!</f>
        <v>#REF!</v>
      </c>
      <c r="L86" s="127" t="e">
        <f t="shared" si="175"/>
        <v>#REF!</v>
      </c>
      <c r="M86" s="128" t="e">
        <f t="shared" si="139"/>
        <v>#REF!</v>
      </c>
      <c r="N86" t="e">
        <f t="shared" si="140"/>
        <v>#REF!</v>
      </c>
      <c r="P86" s="40">
        <f>+PSO_results!AB86</f>
        <v>0</v>
      </c>
      <c r="Q86" s="40">
        <f>+PSO_results!AC86</f>
        <v>0</v>
      </c>
      <c r="R86" s="40">
        <f>+PSO_results!AD86</f>
        <v>0</v>
      </c>
      <c r="S86" s="40">
        <f>+PSO_results!AE86</f>
        <v>0</v>
      </c>
      <c r="T86" s="40">
        <f>+PSO_results!AF86</f>
        <v>0</v>
      </c>
      <c r="U86">
        <f>+GA_results!AB86</f>
        <v>0</v>
      </c>
      <c r="V86">
        <f>+GA_results!AC86</f>
        <v>0</v>
      </c>
      <c r="W86">
        <f>+GA_results!AD86</f>
        <v>0</v>
      </c>
      <c r="X86">
        <f>+GA_results!AE86</f>
        <v>0</v>
      </c>
      <c r="Y86">
        <f>+GA_results!AF86</f>
        <v>0</v>
      </c>
      <c r="Z86">
        <f>+DE_results!AB86</f>
        <v>0</v>
      </c>
      <c r="AA86">
        <f>+DE_results!AC86</f>
        <v>0</v>
      </c>
      <c r="AB86">
        <f>+DE_results!AD86</f>
        <v>0</v>
      </c>
      <c r="AC86">
        <f>+DE_results!AE86</f>
        <v>0</v>
      </c>
      <c r="AD86">
        <f>+DE_results!AF86</f>
        <v>0</v>
      </c>
      <c r="AE86">
        <f>+MTS_results!AB86</f>
        <v>0</v>
      </c>
      <c r="AF86">
        <f>+MTS_results!AC86</f>
        <v>0</v>
      </c>
      <c r="AG86">
        <f>+MTS_results!AD86</f>
        <v>0</v>
      </c>
      <c r="AH86">
        <f>+MTS_results!AE86</f>
        <v>0</v>
      </c>
      <c r="AI86">
        <f>+MTS_results!AF86</f>
        <v>0</v>
      </c>
      <c r="AJ86" t="e">
        <f>+#REF!</f>
        <v>#REF!</v>
      </c>
      <c r="AK86" s="84" t="e">
        <f t="shared" si="141"/>
        <v>#REF!</v>
      </c>
    </row>
    <row r="87" spans="1:37">
      <c r="A87">
        <v>44</v>
      </c>
      <c r="B87">
        <v>1</v>
      </c>
      <c r="C87">
        <f>+PSO_results!V87</f>
        <v>0</v>
      </c>
      <c r="D87" s="127" t="e">
        <f t="shared" si="133"/>
        <v>#REF!</v>
      </c>
      <c r="E87">
        <f>+GA_results!V87</f>
        <v>0</v>
      </c>
      <c r="F87" s="127" t="e">
        <f t="shared" si="134"/>
        <v>#REF!</v>
      </c>
      <c r="G87">
        <f>+DE_results!V87</f>
        <v>0</v>
      </c>
      <c r="H87" s="127" t="e">
        <f t="shared" ref="H87" si="176">+((G87-$M87)/$M87)*100</f>
        <v>#REF!</v>
      </c>
      <c r="I87">
        <f>+MTS_results!V87</f>
        <v>0</v>
      </c>
      <c r="J87" s="127" t="e">
        <f t="shared" ref="J87:L87" si="177">+((I87-$M87)/$M87)*100</f>
        <v>#REF!</v>
      </c>
      <c r="K87" t="e">
        <f>+#REF!</f>
        <v>#REF!</v>
      </c>
      <c r="L87" s="127" t="e">
        <f t="shared" si="177"/>
        <v>#REF!</v>
      </c>
      <c r="M87" s="128" t="e">
        <f t="shared" si="139"/>
        <v>#REF!</v>
      </c>
      <c r="N87" t="e">
        <f t="shared" si="140"/>
        <v>#REF!</v>
      </c>
      <c r="P87" s="40">
        <f>+PSO_results!AB87</f>
        <v>0</v>
      </c>
      <c r="Q87" s="40">
        <f>+PSO_results!AC87</f>
        <v>0</v>
      </c>
      <c r="R87" s="40">
        <f>+PSO_results!AD87</f>
        <v>0</v>
      </c>
      <c r="S87" s="40">
        <f>+PSO_results!AE87</f>
        <v>0</v>
      </c>
      <c r="T87" s="40">
        <f>+PSO_results!AF87</f>
        <v>0</v>
      </c>
      <c r="U87">
        <f>+GA_results!AB87</f>
        <v>0</v>
      </c>
      <c r="V87">
        <f>+GA_results!AC87</f>
        <v>0</v>
      </c>
      <c r="W87">
        <f>+GA_results!AD87</f>
        <v>0</v>
      </c>
      <c r="X87">
        <f>+GA_results!AE87</f>
        <v>0</v>
      </c>
      <c r="Y87">
        <f>+GA_results!AF87</f>
        <v>0</v>
      </c>
      <c r="Z87">
        <f>+DE_results!AB87</f>
        <v>0</v>
      </c>
      <c r="AA87">
        <f>+DE_results!AC87</f>
        <v>0</v>
      </c>
      <c r="AB87">
        <f>+DE_results!AD87</f>
        <v>0</v>
      </c>
      <c r="AC87">
        <f>+DE_results!AE87</f>
        <v>0</v>
      </c>
      <c r="AD87">
        <f>+DE_results!AF87</f>
        <v>0</v>
      </c>
      <c r="AE87">
        <f>+MTS_results!AB87</f>
        <v>0</v>
      </c>
      <c r="AF87">
        <f>+MTS_results!AC87</f>
        <v>0</v>
      </c>
      <c r="AG87">
        <f>+MTS_results!AD87</f>
        <v>0</v>
      </c>
      <c r="AH87">
        <f>+MTS_results!AE87</f>
        <v>0</v>
      </c>
      <c r="AI87">
        <f>+MTS_results!AF87</f>
        <v>0</v>
      </c>
      <c r="AJ87" t="e">
        <f>+#REF!</f>
        <v>#REF!</v>
      </c>
      <c r="AK87" s="84" t="e">
        <f t="shared" si="141"/>
        <v>#REF!</v>
      </c>
    </row>
    <row r="88" spans="1:37">
      <c r="A88">
        <v>45</v>
      </c>
      <c r="B88">
        <v>1</v>
      </c>
      <c r="C88">
        <f>+PSO_results!V88</f>
        <v>0</v>
      </c>
      <c r="D88" s="127" t="e">
        <f t="shared" si="133"/>
        <v>#REF!</v>
      </c>
      <c r="E88">
        <f>+GA_results!V88</f>
        <v>0</v>
      </c>
      <c r="F88" s="127" t="e">
        <f t="shared" si="134"/>
        <v>#REF!</v>
      </c>
      <c r="G88">
        <f>+DE_results!V88</f>
        <v>0</v>
      </c>
      <c r="H88" s="127" t="e">
        <f t="shared" ref="H88" si="178">+((G88-$M88)/$M88)*100</f>
        <v>#REF!</v>
      </c>
      <c r="I88">
        <f>+MTS_results!V88</f>
        <v>0</v>
      </c>
      <c r="J88" s="127" t="e">
        <f t="shared" ref="J88:L88" si="179">+((I88-$M88)/$M88)*100</f>
        <v>#REF!</v>
      </c>
      <c r="K88" t="e">
        <f>+#REF!</f>
        <v>#REF!</v>
      </c>
      <c r="L88" s="127" t="e">
        <f t="shared" si="179"/>
        <v>#REF!</v>
      </c>
      <c r="M88" s="128" t="e">
        <f t="shared" si="139"/>
        <v>#REF!</v>
      </c>
      <c r="N88" t="e">
        <f t="shared" si="140"/>
        <v>#REF!</v>
      </c>
      <c r="P88" s="40">
        <f>+PSO_results!AB88</f>
        <v>0</v>
      </c>
      <c r="Q88" s="40">
        <f>+PSO_results!AC88</f>
        <v>0</v>
      </c>
      <c r="R88" s="40">
        <f>+PSO_results!AD88</f>
        <v>0</v>
      </c>
      <c r="S88" s="40">
        <f>+PSO_results!AE88</f>
        <v>0</v>
      </c>
      <c r="T88" s="40">
        <f>+PSO_results!AF88</f>
        <v>0</v>
      </c>
      <c r="U88">
        <f>+GA_results!AB88</f>
        <v>0</v>
      </c>
      <c r="V88">
        <f>+GA_results!AC88</f>
        <v>0</v>
      </c>
      <c r="W88">
        <f>+GA_results!AD88</f>
        <v>0</v>
      </c>
      <c r="X88">
        <f>+GA_results!AE88</f>
        <v>0</v>
      </c>
      <c r="Y88">
        <f>+GA_results!AF88</f>
        <v>0</v>
      </c>
      <c r="Z88">
        <f>+DE_results!AB88</f>
        <v>0</v>
      </c>
      <c r="AA88">
        <f>+DE_results!AC88</f>
        <v>0</v>
      </c>
      <c r="AB88">
        <f>+DE_results!AD88</f>
        <v>0</v>
      </c>
      <c r="AC88">
        <f>+DE_results!AE88</f>
        <v>0</v>
      </c>
      <c r="AD88">
        <f>+DE_results!AF88</f>
        <v>0</v>
      </c>
      <c r="AE88">
        <f>+MTS_results!AB88</f>
        <v>0</v>
      </c>
      <c r="AF88">
        <f>+MTS_results!AC88</f>
        <v>0</v>
      </c>
      <c r="AG88">
        <f>+MTS_results!AD88</f>
        <v>0</v>
      </c>
      <c r="AH88">
        <f>+MTS_results!AE88</f>
        <v>0</v>
      </c>
      <c r="AI88">
        <f>+MTS_results!AF88</f>
        <v>0</v>
      </c>
      <c r="AJ88" t="e">
        <f>+#REF!</f>
        <v>#REF!</v>
      </c>
      <c r="AK88" s="84" t="e">
        <f t="shared" si="141"/>
        <v>#REF!</v>
      </c>
    </row>
    <row r="89" spans="1:37">
      <c r="A89">
        <v>46</v>
      </c>
      <c r="B89">
        <v>1</v>
      </c>
      <c r="C89">
        <f>+PSO_results!V89</f>
        <v>0</v>
      </c>
      <c r="D89" s="127" t="e">
        <f t="shared" si="133"/>
        <v>#REF!</v>
      </c>
      <c r="E89">
        <f>+GA_results!V89</f>
        <v>0</v>
      </c>
      <c r="F89" s="127" t="e">
        <f t="shared" si="134"/>
        <v>#REF!</v>
      </c>
      <c r="G89">
        <f>+DE_results!V89</f>
        <v>0</v>
      </c>
      <c r="H89" s="127" t="e">
        <f t="shared" ref="H89" si="180">+((G89-$M89)/$M89)*100</f>
        <v>#REF!</v>
      </c>
      <c r="I89">
        <f>+MTS_results!V89</f>
        <v>0</v>
      </c>
      <c r="J89" s="127" t="e">
        <f t="shared" ref="J89:L89" si="181">+((I89-$M89)/$M89)*100</f>
        <v>#REF!</v>
      </c>
      <c r="K89" t="e">
        <f>+#REF!</f>
        <v>#REF!</v>
      </c>
      <c r="L89" s="127" t="e">
        <f t="shared" si="181"/>
        <v>#REF!</v>
      </c>
      <c r="M89" s="128" t="e">
        <f t="shared" si="139"/>
        <v>#REF!</v>
      </c>
      <c r="N89" t="e">
        <f t="shared" si="140"/>
        <v>#REF!</v>
      </c>
      <c r="P89" s="40">
        <f>+PSO_results!AB89</f>
        <v>0</v>
      </c>
      <c r="Q89" s="40">
        <f>+PSO_results!AC89</f>
        <v>0</v>
      </c>
      <c r="R89" s="40">
        <f>+PSO_results!AD89</f>
        <v>0</v>
      </c>
      <c r="S89" s="40">
        <f>+PSO_results!AE89</f>
        <v>0</v>
      </c>
      <c r="T89" s="40">
        <f>+PSO_results!AF89</f>
        <v>0</v>
      </c>
      <c r="U89">
        <f>+GA_results!AB89</f>
        <v>0</v>
      </c>
      <c r="V89">
        <f>+GA_results!AC89</f>
        <v>0</v>
      </c>
      <c r="W89">
        <f>+GA_results!AD89</f>
        <v>0</v>
      </c>
      <c r="X89">
        <f>+GA_results!AE89</f>
        <v>0</v>
      </c>
      <c r="Y89">
        <f>+GA_results!AF89</f>
        <v>0</v>
      </c>
      <c r="Z89">
        <f>+DE_results!AB89</f>
        <v>0</v>
      </c>
      <c r="AA89">
        <f>+DE_results!AC89</f>
        <v>0</v>
      </c>
      <c r="AB89">
        <f>+DE_results!AD89</f>
        <v>0</v>
      </c>
      <c r="AC89">
        <f>+DE_results!AE89</f>
        <v>0</v>
      </c>
      <c r="AD89">
        <f>+DE_results!AF89</f>
        <v>0</v>
      </c>
      <c r="AE89">
        <f>+MTS_results!AB89</f>
        <v>0</v>
      </c>
      <c r="AF89">
        <f>+MTS_results!AC89</f>
        <v>0</v>
      </c>
      <c r="AG89">
        <f>+MTS_results!AD89</f>
        <v>0</v>
      </c>
      <c r="AH89">
        <f>+MTS_results!AE89</f>
        <v>0</v>
      </c>
      <c r="AI89">
        <f>+MTS_results!AF89</f>
        <v>0</v>
      </c>
      <c r="AJ89" t="e">
        <f>+#REF!</f>
        <v>#REF!</v>
      </c>
      <c r="AK89" s="84" t="e">
        <f t="shared" si="141"/>
        <v>#REF!</v>
      </c>
    </row>
    <row r="90" spans="1:37">
      <c r="A90">
        <v>47</v>
      </c>
      <c r="B90">
        <v>1</v>
      </c>
      <c r="C90">
        <f>+PSO_results!V90</f>
        <v>0</v>
      </c>
      <c r="D90" s="127" t="e">
        <f t="shared" si="133"/>
        <v>#REF!</v>
      </c>
      <c r="E90">
        <f>+GA_results!V90</f>
        <v>0</v>
      </c>
      <c r="F90" s="127" t="e">
        <f t="shared" si="134"/>
        <v>#REF!</v>
      </c>
      <c r="G90">
        <f>+DE_results!V90</f>
        <v>0</v>
      </c>
      <c r="H90" s="127" t="e">
        <f t="shared" ref="H90" si="182">+((G90-$M90)/$M90)*100</f>
        <v>#REF!</v>
      </c>
      <c r="I90">
        <f>+MTS_results!V90</f>
        <v>0</v>
      </c>
      <c r="J90" s="127" t="e">
        <f t="shared" ref="J90:L90" si="183">+((I90-$M90)/$M90)*100</f>
        <v>#REF!</v>
      </c>
      <c r="K90" t="e">
        <f>+#REF!</f>
        <v>#REF!</v>
      </c>
      <c r="L90" s="127" t="e">
        <f t="shared" si="183"/>
        <v>#REF!</v>
      </c>
      <c r="M90" s="128" t="e">
        <f t="shared" si="139"/>
        <v>#REF!</v>
      </c>
      <c r="N90" t="e">
        <f t="shared" si="140"/>
        <v>#REF!</v>
      </c>
      <c r="P90" s="40">
        <f>+PSO_results!AB90</f>
        <v>0</v>
      </c>
      <c r="Q90" s="40">
        <f>+PSO_results!AC90</f>
        <v>0</v>
      </c>
      <c r="R90" s="40">
        <f>+PSO_results!AD90</f>
        <v>0</v>
      </c>
      <c r="S90" s="40">
        <f>+PSO_results!AE90</f>
        <v>0</v>
      </c>
      <c r="T90" s="40">
        <f>+PSO_results!AF90</f>
        <v>0</v>
      </c>
      <c r="U90">
        <f>+GA_results!AB90</f>
        <v>0</v>
      </c>
      <c r="V90">
        <f>+GA_results!AC90</f>
        <v>0</v>
      </c>
      <c r="W90">
        <f>+GA_results!AD90</f>
        <v>0</v>
      </c>
      <c r="X90">
        <f>+GA_results!AE90</f>
        <v>0</v>
      </c>
      <c r="Y90">
        <f>+GA_results!AF90</f>
        <v>0</v>
      </c>
      <c r="Z90">
        <f>+DE_results!AB90</f>
        <v>0</v>
      </c>
      <c r="AA90">
        <f>+DE_results!AC90</f>
        <v>0</v>
      </c>
      <c r="AB90">
        <f>+DE_results!AD90</f>
        <v>0</v>
      </c>
      <c r="AC90">
        <f>+DE_results!AE90</f>
        <v>0</v>
      </c>
      <c r="AD90">
        <f>+DE_results!AF90</f>
        <v>0</v>
      </c>
      <c r="AE90">
        <f>+MTS_results!AB90</f>
        <v>0</v>
      </c>
      <c r="AF90">
        <f>+MTS_results!AC90</f>
        <v>0</v>
      </c>
      <c r="AG90">
        <f>+MTS_results!AD90</f>
        <v>0</v>
      </c>
      <c r="AH90">
        <f>+MTS_results!AE90</f>
        <v>0</v>
      </c>
      <c r="AI90">
        <f>+MTS_results!AF90</f>
        <v>0</v>
      </c>
      <c r="AJ90" t="e">
        <f>+#REF!</f>
        <v>#REF!</v>
      </c>
      <c r="AK90" s="84" t="e">
        <f t="shared" si="141"/>
        <v>#REF!</v>
      </c>
    </row>
    <row r="91" spans="1:37">
      <c r="A91">
        <v>48</v>
      </c>
      <c r="B91">
        <v>1</v>
      </c>
      <c r="C91">
        <f>+PSO_results!V91</f>
        <v>0</v>
      </c>
      <c r="D91" s="127" t="e">
        <f t="shared" si="133"/>
        <v>#REF!</v>
      </c>
      <c r="E91">
        <f>+GA_results!V91</f>
        <v>0</v>
      </c>
      <c r="F91" s="127" t="e">
        <f t="shared" si="134"/>
        <v>#REF!</v>
      </c>
      <c r="G91">
        <f>+DE_results!V91</f>
        <v>0</v>
      </c>
      <c r="H91" s="127" t="e">
        <f t="shared" ref="H91" si="184">+((G91-$M91)/$M91)*100</f>
        <v>#REF!</v>
      </c>
      <c r="I91">
        <f>+MTS_results!V91</f>
        <v>0</v>
      </c>
      <c r="J91" s="127" t="e">
        <f t="shared" ref="J91:L91" si="185">+((I91-$M91)/$M91)*100</f>
        <v>#REF!</v>
      </c>
      <c r="K91" t="e">
        <f>+#REF!</f>
        <v>#REF!</v>
      </c>
      <c r="L91" s="127" t="e">
        <f t="shared" si="185"/>
        <v>#REF!</v>
      </c>
      <c r="M91" s="128" t="e">
        <f t="shared" si="139"/>
        <v>#REF!</v>
      </c>
      <c r="N91" t="e">
        <f t="shared" si="140"/>
        <v>#REF!</v>
      </c>
      <c r="P91" s="40">
        <f>+PSO_results!AB91</f>
        <v>0</v>
      </c>
      <c r="Q91" s="40">
        <f>+PSO_results!AC91</f>
        <v>0</v>
      </c>
      <c r="R91" s="40">
        <f>+PSO_results!AD91</f>
        <v>0</v>
      </c>
      <c r="S91" s="40">
        <f>+PSO_results!AE91</f>
        <v>0</v>
      </c>
      <c r="T91" s="40">
        <f>+PSO_results!AF91</f>
        <v>0</v>
      </c>
      <c r="U91">
        <f>+GA_results!AB91</f>
        <v>0</v>
      </c>
      <c r="V91">
        <f>+GA_results!AC91</f>
        <v>0</v>
      </c>
      <c r="W91">
        <f>+GA_results!AD91</f>
        <v>0</v>
      </c>
      <c r="X91">
        <f>+GA_results!AE91</f>
        <v>0</v>
      </c>
      <c r="Y91">
        <f>+GA_results!AF91</f>
        <v>0</v>
      </c>
      <c r="Z91">
        <f>+DE_results!AB91</f>
        <v>0</v>
      </c>
      <c r="AA91">
        <f>+DE_results!AC91</f>
        <v>0</v>
      </c>
      <c r="AB91">
        <f>+DE_results!AD91</f>
        <v>0</v>
      </c>
      <c r="AC91">
        <f>+DE_results!AE91</f>
        <v>0</v>
      </c>
      <c r="AD91">
        <f>+DE_results!AF91</f>
        <v>0</v>
      </c>
      <c r="AE91">
        <f>+MTS_results!AB91</f>
        <v>0</v>
      </c>
      <c r="AF91">
        <f>+MTS_results!AC91</f>
        <v>0</v>
      </c>
      <c r="AG91">
        <f>+MTS_results!AD91</f>
        <v>0</v>
      </c>
      <c r="AH91">
        <f>+MTS_results!AE91</f>
        <v>0</v>
      </c>
      <c r="AI91">
        <f>+MTS_results!AF91</f>
        <v>0</v>
      </c>
      <c r="AJ91" t="e">
        <f>+#REF!</f>
        <v>#REF!</v>
      </c>
      <c r="AK91" s="84" t="e">
        <f t="shared" si="141"/>
        <v>#REF!</v>
      </c>
    </row>
    <row r="92" spans="1:37">
      <c r="A92">
        <v>49</v>
      </c>
      <c r="B92">
        <v>1</v>
      </c>
      <c r="C92">
        <f>+PSO_results!V92</f>
        <v>0</v>
      </c>
      <c r="D92" s="127" t="e">
        <f t="shared" si="133"/>
        <v>#REF!</v>
      </c>
      <c r="E92">
        <f>+GA_results!V92</f>
        <v>0</v>
      </c>
      <c r="F92" s="127" t="e">
        <f t="shared" si="134"/>
        <v>#REF!</v>
      </c>
      <c r="G92">
        <f>+DE_results!V92</f>
        <v>0</v>
      </c>
      <c r="H92" s="127" t="e">
        <f t="shared" ref="H92" si="186">+((G92-$M92)/$M92)*100</f>
        <v>#REF!</v>
      </c>
      <c r="I92">
        <f>+MTS_results!V92</f>
        <v>0</v>
      </c>
      <c r="J92" s="127" t="e">
        <f t="shared" ref="J92:L92" si="187">+((I92-$M92)/$M92)*100</f>
        <v>#REF!</v>
      </c>
      <c r="K92" t="e">
        <f>+#REF!</f>
        <v>#REF!</v>
      </c>
      <c r="L92" s="127" t="e">
        <f t="shared" si="187"/>
        <v>#REF!</v>
      </c>
      <c r="M92" s="128" t="e">
        <f t="shared" si="139"/>
        <v>#REF!</v>
      </c>
      <c r="N92" t="e">
        <f t="shared" si="140"/>
        <v>#REF!</v>
      </c>
      <c r="P92" s="40">
        <f>+PSO_results!AB92</f>
        <v>0</v>
      </c>
      <c r="Q92" s="40">
        <f>+PSO_results!AC92</f>
        <v>0</v>
      </c>
      <c r="R92" s="40">
        <f>+PSO_results!AD92</f>
        <v>0</v>
      </c>
      <c r="S92" s="40">
        <f>+PSO_results!AE92</f>
        <v>0</v>
      </c>
      <c r="T92" s="40">
        <f>+PSO_results!AF92</f>
        <v>0</v>
      </c>
      <c r="U92">
        <f>+GA_results!AB92</f>
        <v>0</v>
      </c>
      <c r="V92">
        <f>+GA_results!AC92</f>
        <v>0</v>
      </c>
      <c r="W92">
        <f>+GA_results!AD92</f>
        <v>0</v>
      </c>
      <c r="X92">
        <f>+GA_results!AE92</f>
        <v>0</v>
      </c>
      <c r="Y92">
        <f>+GA_results!AF92</f>
        <v>0</v>
      </c>
      <c r="Z92">
        <f>+DE_results!AB92</f>
        <v>0</v>
      </c>
      <c r="AA92">
        <f>+DE_results!AC92</f>
        <v>0</v>
      </c>
      <c r="AB92">
        <f>+DE_results!AD92</f>
        <v>0</v>
      </c>
      <c r="AC92">
        <f>+DE_results!AE92</f>
        <v>0</v>
      </c>
      <c r="AD92">
        <f>+DE_results!AF92</f>
        <v>0</v>
      </c>
      <c r="AE92">
        <f>+MTS_results!AB92</f>
        <v>0</v>
      </c>
      <c r="AF92">
        <f>+MTS_results!AC92</f>
        <v>0</v>
      </c>
      <c r="AG92">
        <f>+MTS_results!AD92</f>
        <v>0</v>
      </c>
      <c r="AH92">
        <f>+MTS_results!AE92</f>
        <v>0</v>
      </c>
      <c r="AI92">
        <f>+MTS_results!AF92</f>
        <v>0</v>
      </c>
      <c r="AJ92" t="e">
        <f>+#REF!</f>
        <v>#REF!</v>
      </c>
      <c r="AK92" s="84" t="e">
        <f t="shared" si="141"/>
        <v>#REF!</v>
      </c>
    </row>
    <row r="93" spans="1:37">
      <c r="A93">
        <v>50</v>
      </c>
      <c r="B93">
        <v>1</v>
      </c>
      <c r="C93">
        <f>+PSO_results!V93</f>
        <v>0</v>
      </c>
      <c r="D93" s="127" t="e">
        <f t="shared" si="133"/>
        <v>#REF!</v>
      </c>
      <c r="E93">
        <f>+GA_results!V93</f>
        <v>0</v>
      </c>
      <c r="F93" s="127" t="e">
        <f t="shared" si="134"/>
        <v>#REF!</v>
      </c>
      <c r="G93">
        <f>+DE_results!V93</f>
        <v>0</v>
      </c>
      <c r="H93" s="127" t="e">
        <f t="shared" ref="H93" si="188">+((G93-$M93)/$M93)*100</f>
        <v>#REF!</v>
      </c>
      <c r="I93">
        <f>+MTS_results!V93</f>
        <v>0</v>
      </c>
      <c r="J93" s="127" t="e">
        <f t="shared" ref="J93:L93" si="189">+((I93-$M93)/$M93)*100</f>
        <v>#REF!</v>
      </c>
      <c r="K93" t="e">
        <f>+#REF!</f>
        <v>#REF!</v>
      </c>
      <c r="L93" s="127" t="e">
        <f t="shared" si="189"/>
        <v>#REF!</v>
      </c>
      <c r="M93" s="128" t="e">
        <f t="shared" si="139"/>
        <v>#REF!</v>
      </c>
      <c r="N93" t="e">
        <f t="shared" si="140"/>
        <v>#REF!</v>
      </c>
      <c r="P93" s="40">
        <f>+PSO_results!AB93</f>
        <v>0</v>
      </c>
      <c r="Q93" s="40">
        <f>+PSO_results!AC93</f>
        <v>0</v>
      </c>
      <c r="R93" s="40">
        <f>+PSO_results!AD93</f>
        <v>0</v>
      </c>
      <c r="S93" s="40">
        <f>+PSO_results!AE93</f>
        <v>0</v>
      </c>
      <c r="T93" s="40">
        <f>+PSO_results!AF93</f>
        <v>0</v>
      </c>
      <c r="U93">
        <f>+GA_results!AB93</f>
        <v>0</v>
      </c>
      <c r="V93">
        <f>+GA_results!AC93</f>
        <v>0</v>
      </c>
      <c r="W93">
        <f>+GA_results!AD93</f>
        <v>0</v>
      </c>
      <c r="X93">
        <f>+GA_results!AE93</f>
        <v>0</v>
      </c>
      <c r="Y93">
        <f>+GA_results!AF93</f>
        <v>0</v>
      </c>
      <c r="Z93">
        <f>+DE_results!AB93</f>
        <v>0</v>
      </c>
      <c r="AA93">
        <f>+DE_results!AC93</f>
        <v>0</v>
      </c>
      <c r="AB93">
        <f>+DE_results!AD93</f>
        <v>0</v>
      </c>
      <c r="AC93">
        <f>+DE_results!AE93</f>
        <v>0</v>
      </c>
      <c r="AD93">
        <f>+DE_results!AF93</f>
        <v>0</v>
      </c>
      <c r="AE93">
        <f>+MTS_results!AB93</f>
        <v>0</v>
      </c>
      <c r="AF93">
        <f>+MTS_results!AC93</f>
        <v>0</v>
      </c>
      <c r="AG93">
        <f>+MTS_results!AD93</f>
        <v>0</v>
      </c>
      <c r="AH93">
        <f>+MTS_results!AE93</f>
        <v>0</v>
      </c>
      <c r="AI93">
        <f>+MTS_results!AF93</f>
        <v>0</v>
      </c>
      <c r="AJ93" t="e">
        <f>+#REF!</f>
        <v>#REF!</v>
      </c>
      <c r="AK93" s="84" t="e">
        <f t="shared" si="141"/>
        <v>#REF!</v>
      </c>
    </row>
    <row r="94" spans="1:37">
      <c r="A94">
        <v>41</v>
      </c>
      <c r="B94">
        <v>2</v>
      </c>
      <c r="C94">
        <f>+PSO_results!V94</f>
        <v>0</v>
      </c>
      <c r="D94" s="127" t="e">
        <f t="shared" si="133"/>
        <v>#REF!</v>
      </c>
      <c r="E94">
        <f>+GA_results!V94</f>
        <v>0</v>
      </c>
      <c r="F94" s="127" t="e">
        <f t="shared" si="134"/>
        <v>#REF!</v>
      </c>
      <c r="G94">
        <f>+DE_results!V94</f>
        <v>0</v>
      </c>
      <c r="H94" s="127" t="e">
        <f t="shared" ref="H94" si="190">+((G94-$M94)/$M94)*100</f>
        <v>#REF!</v>
      </c>
      <c r="I94">
        <f>+MTS_results!V94</f>
        <v>0</v>
      </c>
      <c r="J94" s="127" t="e">
        <f t="shared" ref="J94:L94" si="191">+((I94-$M94)/$M94)*100</f>
        <v>#REF!</v>
      </c>
      <c r="K94" t="e">
        <f>+#REF!</f>
        <v>#REF!</v>
      </c>
      <c r="L94" s="127" t="e">
        <f t="shared" si="191"/>
        <v>#REF!</v>
      </c>
      <c r="M94" s="128" t="e">
        <f t="shared" si="139"/>
        <v>#REF!</v>
      </c>
      <c r="N94" t="e">
        <f t="shared" si="140"/>
        <v>#REF!</v>
      </c>
      <c r="P94" s="40">
        <f>+PSO_results!AB94</f>
        <v>0</v>
      </c>
      <c r="Q94" s="40">
        <f>+PSO_results!AC94</f>
        <v>0</v>
      </c>
      <c r="R94" s="40">
        <f>+PSO_results!AD94</f>
        <v>0</v>
      </c>
      <c r="S94" s="40">
        <f>+PSO_results!AE94</f>
        <v>0</v>
      </c>
      <c r="T94" s="40">
        <f>+PSO_results!AF94</f>
        <v>0</v>
      </c>
      <c r="U94">
        <f>+GA_results!AB94</f>
        <v>0</v>
      </c>
      <c r="V94">
        <f>+GA_results!AC94</f>
        <v>0</v>
      </c>
      <c r="W94">
        <f>+GA_results!AD94</f>
        <v>0</v>
      </c>
      <c r="X94">
        <f>+GA_results!AE94</f>
        <v>0</v>
      </c>
      <c r="Y94">
        <f>+GA_results!AF94</f>
        <v>0</v>
      </c>
      <c r="Z94">
        <f>+DE_results!AB94</f>
        <v>0</v>
      </c>
      <c r="AA94">
        <f>+DE_results!AC94</f>
        <v>0</v>
      </c>
      <c r="AB94">
        <f>+DE_results!AD94</f>
        <v>0</v>
      </c>
      <c r="AC94">
        <f>+DE_results!AE94</f>
        <v>0</v>
      </c>
      <c r="AD94">
        <f>+DE_results!AF94</f>
        <v>0</v>
      </c>
      <c r="AE94">
        <f>+MTS_results!AB94</f>
        <v>0</v>
      </c>
      <c r="AF94">
        <f>+MTS_results!AC94</f>
        <v>0</v>
      </c>
      <c r="AG94">
        <f>+MTS_results!AD94</f>
        <v>0</v>
      </c>
      <c r="AH94">
        <f>+MTS_results!AE94</f>
        <v>0</v>
      </c>
      <c r="AI94">
        <f>+MTS_results!AF94</f>
        <v>0</v>
      </c>
      <c r="AJ94" t="e">
        <f>+#REF!</f>
        <v>#REF!</v>
      </c>
      <c r="AK94" s="84" t="e">
        <f t="shared" si="141"/>
        <v>#REF!</v>
      </c>
    </row>
    <row r="95" spans="1:37">
      <c r="A95">
        <v>42</v>
      </c>
      <c r="B95">
        <v>2</v>
      </c>
      <c r="C95">
        <f>+PSO_results!V95</f>
        <v>0</v>
      </c>
      <c r="D95" s="127" t="e">
        <f t="shared" si="133"/>
        <v>#REF!</v>
      </c>
      <c r="E95">
        <f>+GA_results!V95</f>
        <v>0</v>
      </c>
      <c r="F95" s="127" t="e">
        <f t="shared" si="134"/>
        <v>#REF!</v>
      </c>
      <c r="G95">
        <f>+DE_results!V95</f>
        <v>0</v>
      </c>
      <c r="H95" s="127" t="e">
        <f t="shared" ref="H95" si="192">+((G95-$M95)/$M95)*100</f>
        <v>#REF!</v>
      </c>
      <c r="I95">
        <f>+MTS_results!V95</f>
        <v>0</v>
      </c>
      <c r="J95" s="127" t="e">
        <f t="shared" ref="J95:L95" si="193">+((I95-$M95)/$M95)*100</f>
        <v>#REF!</v>
      </c>
      <c r="K95" t="e">
        <f>+#REF!</f>
        <v>#REF!</v>
      </c>
      <c r="L95" s="127" t="e">
        <f t="shared" si="193"/>
        <v>#REF!</v>
      </c>
      <c r="M95" s="128" t="e">
        <f t="shared" si="139"/>
        <v>#REF!</v>
      </c>
      <c r="N95" t="e">
        <f t="shared" si="140"/>
        <v>#REF!</v>
      </c>
      <c r="P95" s="40">
        <f>+PSO_results!AB95</f>
        <v>0</v>
      </c>
      <c r="Q95" s="40">
        <f>+PSO_results!AC95</f>
        <v>0</v>
      </c>
      <c r="R95" s="40">
        <f>+PSO_results!AD95</f>
        <v>0</v>
      </c>
      <c r="S95" s="40">
        <f>+PSO_results!AE95</f>
        <v>0</v>
      </c>
      <c r="T95" s="40">
        <f>+PSO_results!AF95</f>
        <v>0</v>
      </c>
      <c r="U95">
        <f>+GA_results!AB95</f>
        <v>0</v>
      </c>
      <c r="V95">
        <f>+GA_results!AC95</f>
        <v>0</v>
      </c>
      <c r="W95">
        <f>+GA_results!AD95</f>
        <v>0</v>
      </c>
      <c r="X95">
        <f>+GA_results!AE95</f>
        <v>0</v>
      </c>
      <c r="Y95">
        <f>+GA_results!AF95</f>
        <v>0</v>
      </c>
      <c r="Z95">
        <f>+DE_results!AB95</f>
        <v>0</v>
      </c>
      <c r="AA95">
        <f>+DE_results!AC95</f>
        <v>0</v>
      </c>
      <c r="AB95">
        <f>+DE_results!AD95</f>
        <v>0</v>
      </c>
      <c r="AC95">
        <f>+DE_results!AE95</f>
        <v>0</v>
      </c>
      <c r="AD95">
        <f>+DE_results!AF95</f>
        <v>0</v>
      </c>
      <c r="AE95">
        <f>+MTS_results!AB95</f>
        <v>0</v>
      </c>
      <c r="AF95">
        <f>+MTS_results!AC95</f>
        <v>0</v>
      </c>
      <c r="AG95">
        <f>+MTS_results!AD95</f>
        <v>0</v>
      </c>
      <c r="AH95">
        <f>+MTS_results!AE95</f>
        <v>0</v>
      </c>
      <c r="AI95">
        <f>+MTS_results!AF95</f>
        <v>0</v>
      </c>
      <c r="AJ95" t="e">
        <f>+#REF!</f>
        <v>#REF!</v>
      </c>
      <c r="AK95" s="84" t="e">
        <f t="shared" si="141"/>
        <v>#REF!</v>
      </c>
    </row>
    <row r="96" spans="1:37">
      <c r="A96">
        <v>43</v>
      </c>
      <c r="B96">
        <v>2</v>
      </c>
      <c r="C96">
        <f>+PSO_results!V96</f>
        <v>0</v>
      </c>
      <c r="D96" s="127" t="e">
        <f t="shared" si="133"/>
        <v>#REF!</v>
      </c>
      <c r="E96">
        <f>+GA_results!V96</f>
        <v>0</v>
      </c>
      <c r="F96" s="127" t="e">
        <f t="shared" si="134"/>
        <v>#REF!</v>
      </c>
      <c r="G96">
        <f>+DE_results!V96</f>
        <v>0</v>
      </c>
      <c r="H96" s="127" t="e">
        <f t="shared" ref="H96" si="194">+((G96-$M96)/$M96)*100</f>
        <v>#REF!</v>
      </c>
      <c r="I96">
        <f>+MTS_results!V96</f>
        <v>0</v>
      </c>
      <c r="J96" s="127" t="e">
        <f t="shared" ref="J96:L96" si="195">+((I96-$M96)/$M96)*100</f>
        <v>#REF!</v>
      </c>
      <c r="K96" t="e">
        <f>+#REF!</f>
        <v>#REF!</v>
      </c>
      <c r="L96" s="127" t="e">
        <f t="shared" si="195"/>
        <v>#REF!</v>
      </c>
      <c r="M96" s="128" t="e">
        <f t="shared" si="139"/>
        <v>#REF!</v>
      </c>
      <c r="N96" t="e">
        <f t="shared" si="140"/>
        <v>#REF!</v>
      </c>
      <c r="P96" s="40">
        <f>+PSO_results!AB96</f>
        <v>0</v>
      </c>
      <c r="Q96" s="40">
        <f>+PSO_results!AC96</f>
        <v>0</v>
      </c>
      <c r="R96" s="40">
        <f>+PSO_results!AD96</f>
        <v>0</v>
      </c>
      <c r="S96" s="40">
        <f>+PSO_results!AE96</f>
        <v>0</v>
      </c>
      <c r="T96" s="40">
        <f>+PSO_results!AF96</f>
        <v>0</v>
      </c>
      <c r="U96">
        <f>+GA_results!AB96</f>
        <v>0</v>
      </c>
      <c r="V96">
        <f>+GA_results!AC96</f>
        <v>0</v>
      </c>
      <c r="W96">
        <f>+GA_results!AD96</f>
        <v>0</v>
      </c>
      <c r="X96">
        <f>+GA_results!AE96</f>
        <v>0</v>
      </c>
      <c r="Y96">
        <f>+GA_results!AF96</f>
        <v>0</v>
      </c>
      <c r="Z96">
        <f>+DE_results!AB96</f>
        <v>0</v>
      </c>
      <c r="AA96">
        <f>+DE_results!AC96</f>
        <v>0</v>
      </c>
      <c r="AB96">
        <f>+DE_results!AD96</f>
        <v>0</v>
      </c>
      <c r="AC96">
        <f>+DE_results!AE96</f>
        <v>0</v>
      </c>
      <c r="AD96">
        <f>+DE_results!AF96</f>
        <v>0</v>
      </c>
      <c r="AE96">
        <f>+MTS_results!AB96</f>
        <v>0</v>
      </c>
      <c r="AF96">
        <f>+MTS_results!AC96</f>
        <v>0</v>
      </c>
      <c r="AG96">
        <f>+MTS_results!AD96</f>
        <v>0</v>
      </c>
      <c r="AH96">
        <f>+MTS_results!AE96</f>
        <v>0</v>
      </c>
      <c r="AI96">
        <f>+MTS_results!AF96</f>
        <v>0</v>
      </c>
      <c r="AJ96" t="e">
        <f>+#REF!</f>
        <v>#REF!</v>
      </c>
      <c r="AK96" s="84" t="e">
        <f t="shared" si="141"/>
        <v>#REF!</v>
      </c>
    </row>
    <row r="97" spans="1:37">
      <c r="A97">
        <v>44</v>
      </c>
      <c r="B97">
        <v>2</v>
      </c>
      <c r="C97">
        <f>+PSO_results!V97</f>
        <v>0</v>
      </c>
      <c r="D97" s="127" t="e">
        <f t="shared" si="133"/>
        <v>#REF!</v>
      </c>
      <c r="E97">
        <f>+GA_results!V97</f>
        <v>0</v>
      </c>
      <c r="F97" s="127" t="e">
        <f t="shared" si="134"/>
        <v>#REF!</v>
      </c>
      <c r="G97">
        <f>+DE_results!V97</f>
        <v>0</v>
      </c>
      <c r="H97" s="127" t="e">
        <f t="shared" ref="H97" si="196">+((G97-$M97)/$M97)*100</f>
        <v>#REF!</v>
      </c>
      <c r="I97">
        <f>+MTS_results!V97</f>
        <v>0</v>
      </c>
      <c r="J97" s="127" t="e">
        <f t="shared" ref="J97:L97" si="197">+((I97-$M97)/$M97)*100</f>
        <v>#REF!</v>
      </c>
      <c r="K97" t="e">
        <f>+#REF!</f>
        <v>#REF!</v>
      </c>
      <c r="L97" s="127" t="e">
        <f t="shared" si="197"/>
        <v>#REF!</v>
      </c>
      <c r="M97" s="128" t="e">
        <f t="shared" si="139"/>
        <v>#REF!</v>
      </c>
      <c r="N97" t="e">
        <f t="shared" si="140"/>
        <v>#REF!</v>
      </c>
      <c r="P97" s="40">
        <f>+PSO_results!AB97</f>
        <v>0</v>
      </c>
      <c r="Q97" s="40">
        <f>+PSO_results!AC97</f>
        <v>0</v>
      </c>
      <c r="R97" s="40">
        <f>+PSO_results!AD97</f>
        <v>0</v>
      </c>
      <c r="S97" s="40">
        <f>+PSO_results!AE97</f>
        <v>0</v>
      </c>
      <c r="T97" s="40">
        <f>+PSO_results!AF97</f>
        <v>0</v>
      </c>
      <c r="U97">
        <f>+GA_results!AB97</f>
        <v>0</v>
      </c>
      <c r="V97">
        <f>+GA_results!AC97</f>
        <v>0</v>
      </c>
      <c r="W97">
        <f>+GA_results!AD97</f>
        <v>0</v>
      </c>
      <c r="X97">
        <f>+GA_results!AE97</f>
        <v>0</v>
      </c>
      <c r="Y97">
        <f>+GA_results!AF97</f>
        <v>0</v>
      </c>
      <c r="Z97">
        <f>+DE_results!AB97</f>
        <v>0</v>
      </c>
      <c r="AA97">
        <f>+DE_results!AC97</f>
        <v>0</v>
      </c>
      <c r="AB97">
        <f>+DE_results!AD97</f>
        <v>0</v>
      </c>
      <c r="AC97">
        <f>+DE_results!AE97</f>
        <v>0</v>
      </c>
      <c r="AD97">
        <f>+DE_results!AF97</f>
        <v>0</v>
      </c>
      <c r="AE97">
        <f>+MTS_results!AB97</f>
        <v>0</v>
      </c>
      <c r="AF97">
        <f>+MTS_results!AC97</f>
        <v>0</v>
      </c>
      <c r="AG97">
        <f>+MTS_results!AD97</f>
        <v>0</v>
      </c>
      <c r="AH97">
        <f>+MTS_results!AE97</f>
        <v>0</v>
      </c>
      <c r="AI97">
        <f>+MTS_results!AF97</f>
        <v>0</v>
      </c>
      <c r="AJ97" t="e">
        <f>+#REF!</f>
        <v>#REF!</v>
      </c>
      <c r="AK97" s="84" t="e">
        <f t="shared" si="141"/>
        <v>#REF!</v>
      </c>
    </row>
    <row r="98" spans="1:37">
      <c r="A98">
        <v>45</v>
      </c>
      <c r="B98">
        <v>2</v>
      </c>
      <c r="C98">
        <f>+PSO_results!V98</f>
        <v>0</v>
      </c>
      <c r="D98" s="127" t="e">
        <f t="shared" si="133"/>
        <v>#REF!</v>
      </c>
      <c r="E98">
        <f>+GA_results!V98</f>
        <v>0</v>
      </c>
      <c r="F98" s="127" t="e">
        <f t="shared" si="134"/>
        <v>#REF!</v>
      </c>
      <c r="G98">
        <f>+DE_results!V98</f>
        <v>0</v>
      </c>
      <c r="H98" s="127" t="e">
        <f t="shared" ref="H98" si="198">+((G98-$M98)/$M98)*100</f>
        <v>#REF!</v>
      </c>
      <c r="I98">
        <f>+MTS_results!V98</f>
        <v>0</v>
      </c>
      <c r="J98" s="127" t="e">
        <f t="shared" ref="J98:L98" si="199">+((I98-$M98)/$M98)*100</f>
        <v>#REF!</v>
      </c>
      <c r="K98" t="e">
        <f>+#REF!</f>
        <v>#REF!</v>
      </c>
      <c r="L98" s="127" t="e">
        <f t="shared" si="199"/>
        <v>#REF!</v>
      </c>
      <c r="M98" s="128" t="e">
        <f t="shared" si="139"/>
        <v>#REF!</v>
      </c>
      <c r="N98" t="e">
        <f t="shared" si="140"/>
        <v>#REF!</v>
      </c>
      <c r="P98" s="40">
        <f>+PSO_results!AB98</f>
        <v>0</v>
      </c>
      <c r="Q98" s="40">
        <f>+PSO_results!AC98</f>
        <v>0</v>
      </c>
      <c r="R98" s="40">
        <f>+PSO_results!AD98</f>
        <v>0</v>
      </c>
      <c r="S98" s="40">
        <f>+PSO_results!AE98</f>
        <v>0</v>
      </c>
      <c r="T98" s="40">
        <f>+PSO_results!AF98</f>
        <v>0</v>
      </c>
      <c r="U98">
        <f>+GA_results!AB98</f>
        <v>0</v>
      </c>
      <c r="V98">
        <f>+GA_results!AC98</f>
        <v>0</v>
      </c>
      <c r="W98">
        <f>+GA_results!AD98</f>
        <v>0</v>
      </c>
      <c r="X98">
        <f>+GA_results!AE98</f>
        <v>0</v>
      </c>
      <c r="Y98">
        <f>+GA_results!AF98</f>
        <v>0</v>
      </c>
      <c r="Z98">
        <f>+DE_results!AB98</f>
        <v>0</v>
      </c>
      <c r="AA98">
        <f>+DE_results!AC98</f>
        <v>0</v>
      </c>
      <c r="AB98">
        <f>+DE_results!AD98</f>
        <v>0</v>
      </c>
      <c r="AC98">
        <f>+DE_results!AE98</f>
        <v>0</v>
      </c>
      <c r="AD98">
        <f>+DE_results!AF98</f>
        <v>0</v>
      </c>
      <c r="AE98">
        <f>+MTS_results!AB98</f>
        <v>0</v>
      </c>
      <c r="AF98">
        <f>+MTS_results!AC98</f>
        <v>0</v>
      </c>
      <c r="AG98">
        <f>+MTS_results!AD98</f>
        <v>0</v>
      </c>
      <c r="AH98">
        <f>+MTS_results!AE98</f>
        <v>0</v>
      </c>
      <c r="AI98">
        <f>+MTS_results!AF98</f>
        <v>0</v>
      </c>
      <c r="AJ98" t="e">
        <f>+#REF!</f>
        <v>#REF!</v>
      </c>
      <c r="AK98" s="84" t="e">
        <f t="shared" si="141"/>
        <v>#REF!</v>
      </c>
    </row>
    <row r="99" spans="1:37">
      <c r="A99">
        <v>46</v>
      </c>
      <c r="B99">
        <v>2</v>
      </c>
      <c r="C99">
        <f>+PSO_results!V99</f>
        <v>0</v>
      </c>
      <c r="D99" s="127" t="e">
        <f t="shared" si="133"/>
        <v>#REF!</v>
      </c>
      <c r="E99">
        <f>+GA_results!V99</f>
        <v>0</v>
      </c>
      <c r="F99" s="127" t="e">
        <f t="shared" si="134"/>
        <v>#REF!</v>
      </c>
      <c r="G99">
        <f>+DE_results!V99</f>
        <v>0</v>
      </c>
      <c r="H99" s="127" t="e">
        <f t="shared" ref="H99" si="200">+((G99-$M99)/$M99)*100</f>
        <v>#REF!</v>
      </c>
      <c r="I99">
        <f>+MTS_results!V99</f>
        <v>0</v>
      </c>
      <c r="J99" s="127" t="e">
        <f t="shared" ref="J99:L99" si="201">+((I99-$M99)/$M99)*100</f>
        <v>#REF!</v>
      </c>
      <c r="K99" t="e">
        <f>+#REF!</f>
        <v>#REF!</v>
      </c>
      <c r="L99" s="127" t="e">
        <f t="shared" si="201"/>
        <v>#REF!</v>
      </c>
      <c r="M99" s="128" t="e">
        <f t="shared" si="139"/>
        <v>#REF!</v>
      </c>
      <c r="N99" t="e">
        <f t="shared" si="140"/>
        <v>#REF!</v>
      </c>
      <c r="P99" s="40">
        <f>+PSO_results!AB99</f>
        <v>0</v>
      </c>
      <c r="Q99" s="40">
        <f>+PSO_results!AC99</f>
        <v>0</v>
      </c>
      <c r="R99" s="40">
        <f>+PSO_results!AD99</f>
        <v>0</v>
      </c>
      <c r="S99" s="40">
        <f>+PSO_results!AE99</f>
        <v>0</v>
      </c>
      <c r="T99" s="40">
        <f>+PSO_results!AF99</f>
        <v>0</v>
      </c>
      <c r="U99">
        <f>+GA_results!AB99</f>
        <v>0</v>
      </c>
      <c r="V99">
        <f>+GA_results!AC99</f>
        <v>0</v>
      </c>
      <c r="W99">
        <f>+GA_results!AD99</f>
        <v>0</v>
      </c>
      <c r="X99">
        <f>+GA_results!AE99</f>
        <v>0</v>
      </c>
      <c r="Y99">
        <f>+GA_results!AF99</f>
        <v>0</v>
      </c>
      <c r="Z99">
        <f>+DE_results!AB99</f>
        <v>0</v>
      </c>
      <c r="AA99">
        <f>+DE_results!AC99</f>
        <v>0</v>
      </c>
      <c r="AB99">
        <f>+DE_results!AD99</f>
        <v>0</v>
      </c>
      <c r="AC99">
        <f>+DE_results!AE99</f>
        <v>0</v>
      </c>
      <c r="AD99">
        <f>+DE_results!AF99</f>
        <v>0</v>
      </c>
      <c r="AE99">
        <f>+MTS_results!AB99</f>
        <v>0</v>
      </c>
      <c r="AF99">
        <f>+MTS_results!AC99</f>
        <v>0</v>
      </c>
      <c r="AG99">
        <f>+MTS_results!AD99</f>
        <v>0</v>
      </c>
      <c r="AH99">
        <f>+MTS_results!AE99</f>
        <v>0</v>
      </c>
      <c r="AI99">
        <f>+MTS_results!AF99</f>
        <v>0</v>
      </c>
      <c r="AJ99" t="e">
        <f>+#REF!</f>
        <v>#REF!</v>
      </c>
      <c r="AK99" s="84" t="e">
        <f t="shared" si="141"/>
        <v>#REF!</v>
      </c>
    </row>
    <row r="100" spans="1:37">
      <c r="A100">
        <v>47</v>
      </c>
      <c r="B100">
        <v>2</v>
      </c>
      <c r="C100">
        <f>+PSO_results!V100</f>
        <v>0</v>
      </c>
      <c r="D100" s="127" t="e">
        <f t="shared" ref="D100:D131" si="202">+((C100-$M100)/$M100)*100</f>
        <v>#REF!</v>
      </c>
      <c r="E100">
        <f>+GA_results!V100</f>
        <v>0</v>
      </c>
      <c r="F100" s="127" t="e">
        <f t="shared" ref="F100:F131" si="203">+((E100-$M100)/$M100)*100</f>
        <v>#REF!</v>
      </c>
      <c r="G100">
        <f>+DE_results!V100</f>
        <v>0</v>
      </c>
      <c r="H100" s="127" t="e">
        <f t="shared" ref="H100" si="204">+((G100-$M100)/$M100)*100</f>
        <v>#REF!</v>
      </c>
      <c r="I100">
        <f>+MTS_results!V100</f>
        <v>0</v>
      </c>
      <c r="J100" s="127" t="e">
        <f t="shared" ref="J100:L100" si="205">+((I100-$M100)/$M100)*100</f>
        <v>#REF!</v>
      </c>
      <c r="K100" t="e">
        <f>+#REF!</f>
        <v>#REF!</v>
      </c>
      <c r="L100" s="127" t="e">
        <f t="shared" si="205"/>
        <v>#REF!</v>
      </c>
      <c r="M100" s="128" t="e">
        <f t="shared" si="139"/>
        <v>#REF!</v>
      </c>
      <c r="N100" t="e">
        <f t="shared" si="140"/>
        <v>#REF!</v>
      </c>
      <c r="P100" s="40">
        <f>+PSO_results!AB100</f>
        <v>0</v>
      </c>
      <c r="Q100" s="40">
        <f>+PSO_results!AC100</f>
        <v>0</v>
      </c>
      <c r="R100" s="40">
        <f>+PSO_results!AD100</f>
        <v>0</v>
      </c>
      <c r="S100" s="40">
        <f>+PSO_results!AE100</f>
        <v>0</v>
      </c>
      <c r="T100" s="40">
        <f>+PSO_results!AF100</f>
        <v>0</v>
      </c>
      <c r="U100">
        <f>+GA_results!AB100</f>
        <v>0</v>
      </c>
      <c r="V100">
        <f>+GA_results!AC100</f>
        <v>0</v>
      </c>
      <c r="W100">
        <f>+GA_results!AD100</f>
        <v>0</v>
      </c>
      <c r="X100">
        <f>+GA_results!AE100</f>
        <v>0</v>
      </c>
      <c r="Y100">
        <f>+GA_results!AF100</f>
        <v>0</v>
      </c>
      <c r="Z100">
        <f>+DE_results!AB100</f>
        <v>0</v>
      </c>
      <c r="AA100">
        <f>+DE_results!AC100</f>
        <v>0</v>
      </c>
      <c r="AB100">
        <f>+DE_results!AD100</f>
        <v>0</v>
      </c>
      <c r="AC100">
        <f>+DE_results!AE100</f>
        <v>0</v>
      </c>
      <c r="AD100">
        <f>+DE_results!AF100</f>
        <v>0</v>
      </c>
      <c r="AE100">
        <f>+MTS_results!AB100</f>
        <v>0</v>
      </c>
      <c r="AF100">
        <f>+MTS_results!AC100</f>
        <v>0</v>
      </c>
      <c r="AG100">
        <f>+MTS_results!AD100</f>
        <v>0</v>
      </c>
      <c r="AH100">
        <f>+MTS_results!AE100</f>
        <v>0</v>
      </c>
      <c r="AI100">
        <f>+MTS_results!AF100</f>
        <v>0</v>
      </c>
      <c r="AJ100" t="e">
        <f>+#REF!</f>
        <v>#REF!</v>
      </c>
      <c r="AK100" s="84" t="e">
        <f t="shared" si="141"/>
        <v>#REF!</v>
      </c>
    </row>
    <row r="101" spans="1:37">
      <c r="A101">
        <v>48</v>
      </c>
      <c r="B101">
        <v>2</v>
      </c>
      <c r="C101">
        <f>+PSO_results!V101</f>
        <v>0</v>
      </c>
      <c r="D101" s="127" t="e">
        <f t="shared" si="202"/>
        <v>#REF!</v>
      </c>
      <c r="E101">
        <f>+GA_results!V101</f>
        <v>0</v>
      </c>
      <c r="F101" s="127" t="e">
        <f t="shared" si="203"/>
        <v>#REF!</v>
      </c>
      <c r="G101">
        <f>+DE_results!V101</f>
        <v>0</v>
      </c>
      <c r="H101" s="127" t="e">
        <f t="shared" ref="H101" si="206">+((G101-$M101)/$M101)*100</f>
        <v>#REF!</v>
      </c>
      <c r="I101">
        <f>+MTS_results!V101</f>
        <v>0</v>
      </c>
      <c r="J101" s="127" t="e">
        <f t="shared" ref="J101:L101" si="207">+((I101-$M101)/$M101)*100</f>
        <v>#REF!</v>
      </c>
      <c r="K101" t="e">
        <f>+#REF!</f>
        <v>#REF!</v>
      </c>
      <c r="L101" s="127" t="e">
        <f t="shared" si="207"/>
        <v>#REF!</v>
      </c>
      <c r="M101" s="128" t="e">
        <f t="shared" si="139"/>
        <v>#REF!</v>
      </c>
      <c r="N101" t="e">
        <f t="shared" si="140"/>
        <v>#REF!</v>
      </c>
      <c r="P101" s="40">
        <f>+PSO_results!AB101</f>
        <v>0</v>
      </c>
      <c r="Q101" s="40">
        <f>+PSO_results!AC101</f>
        <v>0</v>
      </c>
      <c r="R101" s="40">
        <f>+PSO_results!AD101</f>
        <v>0</v>
      </c>
      <c r="S101" s="40">
        <f>+PSO_results!AE101</f>
        <v>0</v>
      </c>
      <c r="T101" s="40">
        <f>+PSO_results!AF101</f>
        <v>0</v>
      </c>
      <c r="U101">
        <f>+GA_results!AB101</f>
        <v>0</v>
      </c>
      <c r="V101">
        <f>+GA_results!AC101</f>
        <v>0</v>
      </c>
      <c r="W101">
        <f>+GA_results!AD101</f>
        <v>0</v>
      </c>
      <c r="X101">
        <f>+GA_results!AE101</f>
        <v>0</v>
      </c>
      <c r="Y101">
        <f>+GA_results!AF101</f>
        <v>0</v>
      </c>
      <c r="Z101">
        <f>+DE_results!AB101</f>
        <v>0</v>
      </c>
      <c r="AA101">
        <f>+DE_results!AC101</f>
        <v>0</v>
      </c>
      <c r="AB101">
        <f>+DE_results!AD101</f>
        <v>0</v>
      </c>
      <c r="AC101">
        <f>+DE_results!AE101</f>
        <v>0</v>
      </c>
      <c r="AD101">
        <f>+DE_results!AF101</f>
        <v>0</v>
      </c>
      <c r="AE101">
        <f>+MTS_results!AB101</f>
        <v>0</v>
      </c>
      <c r="AF101">
        <f>+MTS_results!AC101</f>
        <v>0</v>
      </c>
      <c r="AG101">
        <f>+MTS_results!AD101</f>
        <v>0</v>
      </c>
      <c r="AH101">
        <f>+MTS_results!AE101</f>
        <v>0</v>
      </c>
      <c r="AI101">
        <f>+MTS_results!AF101</f>
        <v>0</v>
      </c>
      <c r="AJ101" t="e">
        <f>+#REF!</f>
        <v>#REF!</v>
      </c>
      <c r="AK101" s="84" t="e">
        <f t="shared" si="141"/>
        <v>#REF!</v>
      </c>
    </row>
    <row r="102" spans="1:37">
      <c r="A102">
        <v>49</v>
      </c>
      <c r="B102">
        <v>2</v>
      </c>
      <c r="C102">
        <f>+PSO_results!V102</f>
        <v>0</v>
      </c>
      <c r="D102" s="127" t="e">
        <f t="shared" si="202"/>
        <v>#REF!</v>
      </c>
      <c r="E102">
        <f>+GA_results!V102</f>
        <v>0</v>
      </c>
      <c r="F102" s="127" t="e">
        <f t="shared" si="203"/>
        <v>#REF!</v>
      </c>
      <c r="G102">
        <f>+DE_results!V102</f>
        <v>0</v>
      </c>
      <c r="H102" s="127" t="e">
        <f t="shared" ref="H102" si="208">+((G102-$M102)/$M102)*100</f>
        <v>#REF!</v>
      </c>
      <c r="I102">
        <f>+MTS_results!V102</f>
        <v>0</v>
      </c>
      <c r="J102" s="127" t="e">
        <f t="shared" ref="J102:L102" si="209">+((I102-$M102)/$M102)*100</f>
        <v>#REF!</v>
      </c>
      <c r="K102" t="e">
        <f>+#REF!</f>
        <v>#REF!</v>
      </c>
      <c r="L102" s="127" t="e">
        <f t="shared" si="209"/>
        <v>#REF!</v>
      </c>
      <c r="M102" s="128" t="e">
        <f t="shared" si="139"/>
        <v>#REF!</v>
      </c>
      <c r="N102" t="e">
        <f t="shared" si="140"/>
        <v>#REF!</v>
      </c>
      <c r="P102" s="40">
        <f>+PSO_results!AB102</f>
        <v>0</v>
      </c>
      <c r="Q102" s="40">
        <f>+PSO_results!AC102</f>
        <v>0</v>
      </c>
      <c r="R102" s="40">
        <f>+PSO_results!AD102</f>
        <v>0</v>
      </c>
      <c r="S102" s="40">
        <f>+PSO_results!AE102</f>
        <v>0</v>
      </c>
      <c r="T102" s="40">
        <f>+PSO_results!AF102</f>
        <v>0</v>
      </c>
      <c r="U102">
        <f>+GA_results!AB102</f>
        <v>0</v>
      </c>
      <c r="V102">
        <f>+GA_results!AC102</f>
        <v>0</v>
      </c>
      <c r="W102">
        <f>+GA_results!AD102</f>
        <v>0</v>
      </c>
      <c r="X102">
        <f>+GA_results!AE102</f>
        <v>0</v>
      </c>
      <c r="Y102">
        <f>+GA_results!AF102</f>
        <v>0</v>
      </c>
      <c r="Z102">
        <f>+DE_results!AB102</f>
        <v>0</v>
      </c>
      <c r="AA102">
        <f>+DE_results!AC102</f>
        <v>0</v>
      </c>
      <c r="AB102">
        <f>+DE_results!AD102</f>
        <v>0</v>
      </c>
      <c r="AC102">
        <f>+DE_results!AE102</f>
        <v>0</v>
      </c>
      <c r="AD102">
        <f>+DE_results!AF102</f>
        <v>0</v>
      </c>
      <c r="AE102">
        <f>+MTS_results!AB102</f>
        <v>0</v>
      </c>
      <c r="AF102">
        <f>+MTS_results!AC102</f>
        <v>0</v>
      </c>
      <c r="AG102">
        <f>+MTS_results!AD102</f>
        <v>0</v>
      </c>
      <c r="AH102">
        <f>+MTS_results!AE102</f>
        <v>0</v>
      </c>
      <c r="AI102">
        <f>+MTS_results!AF102</f>
        <v>0</v>
      </c>
      <c r="AJ102" t="e">
        <f>+#REF!</f>
        <v>#REF!</v>
      </c>
      <c r="AK102" s="84" t="e">
        <f t="shared" si="141"/>
        <v>#REF!</v>
      </c>
    </row>
    <row r="103" spans="1:37">
      <c r="A103">
        <v>50</v>
      </c>
      <c r="B103">
        <v>2</v>
      </c>
      <c r="C103">
        <f>+PSO_results!V103</f>
        <v>0</v>
      </c>
      <c r="D103" s="127" t="e">
        <f t="shared" si="202"/>
        <v>#REF!</v>
      </c>
      <c r="E103">
        <f>+GA_results!V103</f>
        <v>0</v>
      </c>
      <c r="F103" s="127" t="e">
        <f t="shared" si="203"/>
        <v>#REF!</v>
      </c>
      <c r="G103">
        <f>+DE_results!V103</f>
        <v>0</v>
      </c>
      <c r="H103" s="127" t="e">
        <f t="shared" ref="H103" si="210">+((G103-$M103)/$M103)*100</f>
        <v>#REF!</v>
      </c>
      <c r="I103">
        <f>+MTS_results!V103</f>
        <v>0</v>
      </c>
      <c r="J103" s="127" t="e">
        <f t="shared" ref="J103:L103" si="211">+((I103-$M103)/$M103)*100</f>
        <v>#REF!</v>
      </c>
      <c r="K103" t="e">
        <f>+#REF!</f>
        <v>#REF!</v>
      </c>
      <c r="L103" s="127" t="e">
        <f t="shared" si="211"/>
        <v>#REF!</v>
      </c>
      <c r="M103" s="128" t="e">
        <f t="shared" si="139"/>
        <v>#REF!</v>
      </c>
      <c r="N103" t="e">
        <f t="shared" si="140"/>
        <v>#REF!</v>
      </c>
      <c r="P103" s="40">
        <f>+PSO_results!AB103</f>
        <v>0</v>
      </c>
      <c r="Q103" s="40">
        <f>+PSO_results!AC103</f>
        <v>0</v>
      </c>
      <c r="R103" s="40">
        <f>+PSO_results!AD103</f>
        <v>0</v>
      </c>
      <c r="S103" s="40">
        <f>+PSO_results!AE103</f>
        <v>0</v>
      </c>
      <c r="T103" s="40">
        <f>+PSO_results!AF103</f>
        <v>0</v>
      </c>
      <c r="U103">
        <f>+GA_results!AB103</f>
        <v>0</v>
      </c>
      <c r="V103">
        <f>+GA_results!AC103</f>
        <v>0</v>
      </c>
      <c r="W103">
        <f>+GA_results!AD103</f>
        <v>0</v>
      </c>
      <c r="X103">
        <f>+GA_results!AE103</f>
        <v>0</v>
      </c>
      <c r="Y103">
        <f>+GA_results!AF103</f>
        <v>0</v>
      </c>
      <c r="Z103">
        <f>+DE_results!AB103</f>
        <v>0</v>
      </c>
      <c r="AA103">
        <f>+DE_results!AC103</f>
        <v>0</v>
      </c>
      <c r="AB103">
        <f>+DE_results!AD103</f>
        <v>0</v>
      </c>
      <c r="AC103">
        <f>+DE_results!AE103</f>
        <v>0</v>
      </c>
      <c r="AD103">
        <f>+DE_results!AF103</f>
        <v>0</v>
      </c>
      <c r="AE103">
        <f>+MTS_results!AB103</f>
        <v>0</v>
      </c>
      <c r="AF103">
        <f>+MTS_results!AC103</f>
        <v>0</v>
      </c>
      <c r="AG103">
        <f>+MTS_results!AD103</f>
        <v>0</v>
      </c>
      <c r="AH103">
        <f>+MTS_results!AE103</f>
        <v>0</v>
      </c>
      <c r="AI103">
        <f>+MTS_results!AF103</f>
        <v>0</v>
      </c>
      <c r="AJ103" t="e">
        <f>+#REF!</f>
        <v>#REF!</v>
      </c>
      <c r="AK103" s="84" t="e">
        <f t="shared" si="141"/>
        <v>#REF!</v>
      </c>
    </row>
    <row r="104" spans="1:37">
      <c r="A104">
        <v>51</v>
      </c>
      <c r="B104">
        <v>1</v>
      </c>
      <c r="C104">
        <f>+PSO_results!V104</f>
        <v>0</v>
      </c>
      <c r="D104" s="127" t="e">
        <f t="shared" si="202"/>
        <v>#REF!</v>
      </c>
      <c r="E104">
        <f>+GA_results!V104</f>
        <v>0</v>
      </c>
      <c r="F104" s="127" t="e">
        <f t="shared" si="203"/>
        <v>#REF!</v>
      </c>
      <c r="G104">
        <f>+DE_results!V104</f>
        <v>0</v>
      </c>
      <c r="H104" s="127" t="e">
        <f t="shared" ref="H104" si="212">+((G104-$M104)/$M104)*100</f>
        <v>#REF!</v>
      </c>
      <c r="I104">
        <f>+MTS_results!V104</f>
        <v>0</v>
      </c>
      <c r="J104" s="127" t="e">
        <f t="shared" ref="J104:L104" si="213">+((I104-$M104)/$M104)*100</f>
        <v>#REF!</v>
      </c>
      <c r="K104" t="e">
        <f>+#REF!</f>
        <v>#REF!</v>
      </c>
      <c r="L104" s="127" t="e">
        <f t="shared" si="213"/>
        <v>#REF!</v>
      </c>
      <c r="M104" s="128" t="e">
        <f t="shared" si="139"/>
        <v>#REF!</v>
      </c>
      <c r="N104" t="e">
        <f t="shared" si="140"/>
        <v>#REF!</v>
      </c>
      <c r="P104" s="40">
        <f>+PSO_results!AB104</f>
        <v>0</v>
      </c>
      <c r="Q104" s="40">
        <f>+PSO_results!AC104</f>
        <v>0</v>
      </c>
      <c r="R104" s="40">
        <f>+PSO_results!AD104</f>
        <v>0</v>
      </c>
      <c r="S104" s="40">
        <f>+PSO_results!AE104</f>
        <v>0</v>
      </c>
      <c r="T104" s="40">
        <f>+PSO_results!AF104</f>
        <v>0</v>
      </c>
      <c r="U104">
        <f>+GA_results!AB104</f>
        <v>0</v>
      </c>
      <c r="V104">
        <f>+GA_results!AC104</f>
        <v>0</v>
      </c>
      <c r="W104">
        <f>+GA_results!AD104</f>
        <v>0</v>
      </c>
      <c r="X104">
        <f>+GA_results!AE104</f>
        <v>0</v>
      </c>
      <c r="Y104">
        <f>+GA_results!AF104</f>
        <v>0</v>
      </c>
      <c r="Z104">
        <f>+DE_results!AB104</f>
        <v>0</v>
      </c>
      <c r="AA104">
        <f>+DE_results!AC104</f>
        <v>0</v>
      </c>
      <c r="AB104">
        <f>+DE_results!AD104</f>
        <v>0</v>
      </c>
      <c r="AC104">
        <f>+DE_results!AE104</f>
        <v>0</v>
      </c>
      <c r="AD104">
        <f>+DE_results!AF104</f>
        <v>0</v>
      </c>
      <c r="AE104">
        <f>+MTS_results!AB104</f>
        <v>0</v>
      </c>
      <c r="AF104">
        <f>+MTS_results!AC104</f>
        <v>0</v>
      </c>
      <c r="AG104">
        <f>+MTS_results!AD104</f>
        <v>0</v>
      </c>
      <c r="AH104">
        <f>+MTS_results!AE104</f>
        <v>0</v>
      </c>
      <c r="AI104">
        <f>+MTS_results!AF104</f>
        <v>0</v>
      </c>
      <c r="AJ104" t="e">
        <f>+#REF!</f>
        <v>#REF!</v>
      </c>
      <c r="AK104" s="84" t="e">
        <f t="shared" si="141"/>
        <v>#REF!</v>
      </c>
    </row>
    <row r="105" spans="1:37">
      <c r="A105">
        <v>52</v>
      </c>
      <c r="B105">
        <v>1</v>
      </c>
      <c r="C105">
        <f>+PSO_results!V105</f>
        <v>0</v>
      </c>
      <c r="D105" s="127" t="e">
        <f t="shared" si="202"/>
        <v>#REF!</v>
      </c>
      <c r="E105">
        <f>+GA_results!V105</f>
        <v>0</v>
      </c>
      <c r="F105" s="127" t="e">
        <f t="shared" si="203"/>
        <v>#REF!</v>
      </c>
      <c r="G105">
        <f>+DE_results!V105</f>
        <v>0</v>
      </c>
      <c r="H105" s="127" t="e">
        <f t="shared" ref="H105" si="214">+((G105-$M105)/$M105)*100</f>
        <v>#REF!</v>
      </c>
      <c r="I105">
        <f>+MTS_results!V105</f>
        <v>0</v>
      </c>
      <c r="J105" s="127" t="e">
        <f t="shared" ref="J105:L105" si="215">+((I105-$M105)/$M105)*100</f>
        <v>#REF!</v>
      </c>
      <c r="K105" t="e">
        <f>+#REF!</f>
        <v>#REF!</v>
      </c>
      <c r="L105" s="127" t="e">
        <f t="shared" si="215"/>
        <v>#REF!</v>
      </c>
      <c r="M105" s="128" t="e">
        <f t="shared" si="139"/>
        <v>#REF!</v>
      </c>
      <c r="N105" t="e">
        <f t="shared" si="140"/>
        <v>#REF!</v>
      </c>
      <c r="P105" s="40">
        <f>+PSO_results!AB105</f>
        <v>0</v>
      </c>
      <c r="Q105" s="40">
        <f>+PSO_results!AC105</f>
        <v>0</v>
      </c>
      <c r="R105" s="40">
        <f>+PSO_results!AD105</f>
        <v>0</v>
      </c>
      <c r="S105" s="40">
        <f>+PSO_results!AE105</f>
        <v>0</v>
      </c>
      <c r="T105" s="40">
        <f>+PSO_results!AF105</f>
        <v>0</v>
      </c>
      <c r="U105">
        <f>+GA_results!AB105</f>
        <v>0</v>
      </c>
      <c r="V105">
        <f>+GA_results!AC105</f>
        <v>0</v>
      </c>
      <c r="W105">
        <f>+GA_results!AD105</f>
        <v>0</v>
      </c>
      <c r="X105">
        <f>+GA_results!AE105</f>
        <v>0</v>
      </c>
      <c r="Y105">
        <f>+GA_results!AF105</f>
        <v>0</v>
      </c>
      <c r="Z105">
        <f>+DE_results!AB105</f>
        <v>0</v>
      </c>
      <c r="AA105">
        <f>+DE_results!AC105</f>
        <v>0</v>
      </c>
      <c r="AB105">
        <f>+DE_results!AD105</f>
        <v>0</v>
      </c>
      <c r="AC105">
        <f>+DE_results!AE105</f>
        <v>0</v>
      </c>
      <c r="AD105">
        <f>+DE_results!AF105</f>
        <v>0</v>
      </c>
      <c r="AE105">
        <f>+MTS_results!AB105</f>
        <v>0</v>
      </c>
      <c r="AF105">
        <f>+MTS_results!AC105</f>
        <v>0</v>
      </c>
      <c r="AG105">
        <f>+MTS_results!AD105</f>
        <v>0</v>
      </c>
      <c r="AH105">
        <f>+MTS_results!AE105</f>
        <v>0</v>
      </c>
      <c r="AI105">
        <f>+MTS_results!AF105</f>
        <v>0</v>
      </c>
      <c r="AJ105" t="e">
        <f>+#REF!</f>
        <v>#REF!</v>
      </c>
      <c r="AK105" s="84" t="e">
        <f t="shared" si="141"/>
        <v>#REF!</v>
      </c>
    </row>
    <row r="106" spans="1:37">
      <c r="A106">
        <v>53</v>
      </c>
      <c r="B106">
        <v>1</v>
      </c>
      <c r="C106">
        <f>+PSO_results!V106</f>
        <v>0</v>
      </c>
      <c r="D106" s="127" t="e">
        <f t="shared" si="202"/>
        <v>#REF!</v>
      </c>
      <c r="E106">
        <f>+GA_results!V106</f>
        <v>0</v>
      </c>
      <c r="F106" s="127" t="e">
        <f t="shared" si="203"/>
        <v>#REF!</v>
      </c>
      <c r="G106">
        <f>+DE_results!V106</f>
        <v>0</v>
      </c>
      <c r="H106" s="127" t="e">
        <f t="shared" ref="H106" si="216">+((G106-$M106)/$M106)*100</f>
        <v>#REF!</v>
      </c>
      <c r="I106">
        <f>+MTS_results!V106</f>
        <v>0</v>
      </c>
      <c r="J106" s="127" t="e">
        <f t="shared" ref="J106:L106" si="217">+((I106-$M106)/$M106)*100</f>
        <v>#REF!</v>
      </c>
      <c r="K106" t="e">
        <f>+#REF!</f>
        <v>#REF!</v>
      </c>
      <c r="L106" s="127" t="e">
        <f t="shared" si="217"/>
        <v>#REF!</v>
      </c>
      <c r="M106" s="128" t="e">
        <f t="shared" si="139"/>
        <v>#REF!</v>
      </c>
      <c r="N106" t="e">
        <f t="shared" si="140"/>
        <v>#REF!</v>
      </c>
      <c r="P106" s="40">
        <f>+PSO_results!AB106</f>
        <v>0</v>
      </c>
      <c r="Q106" s="40">
        <f>+PSO_results!AC106</f>
        <v>0</v>
      </c>
      <c r="R106" s="40">
        <f>+PSO_results!AD106</f>
        <v>0</v>
      </c>
      <c r="S106" s="40">
        <f>+PSO_results!AE106</f>
        <v>0</v>
      </c>
      <c r="T106" s="40">
        <f>+PSO_results!AF106</f>
        <v>0</v>
      </c>
      <c r="U106">
        <f>+GA_results!AB106</f>
        <v>0</v>
      </c>
      <c r="V106">
        <f>+GA_results!AC106</f>
        <v>0</v>
      </c>
      <c r="W106">
        <f>+GA_results!AD106</f>
        <v>0</v>
      </c>
      <c r="X106">
        <f>+GA_results!AE106</f>
        <v>0</v>
      </c>
      <c r="Y106">
        <f>+GA_results!AF106</f>
        <v>0</v>
      </c>
      <c r="Z106">
        <f>+DE_results!AB106</f>
        <v>0</v>
      </c>
      <c r="AA106">
        <f>+DE_results!AC106</f>
        <v>0</v>
      </c>
      <c r="AB106">
        <f>+DE_results!AD106</f>
        <v>0</v>
      </c>
      <c r="AC106">
        <f>+DE_results!AE106</f>
        <v>0</v>
      </c>
      <c r="AD106">
        <f>+DE_results!AF106</f>
        <v>0</v>
      </c>
      <c r="AE106">
        <f>+MTS_results!AB106</f>
        <v>0</v>
      </c>
      <c r="AF106">
        <f>+MTS_results!AC106</f>
        <v>0</v>
      </c>
      <c r="AG106">
        <f>+MTS_results!AD106</f>
        <v>0</v>
      </c>
      <c r="AH106">
        <f>+MTS_results!AE106</f>
        <v>0</v>
      </c>
      <c r="AI106">
        <f>+MTS_results!AF106</f>
        <v>0</v>
      </c>
      <c r="AJ106" t="e">
        <f>+#REF!</f>
        <v>#REF!</v>
      </c>
      <c r="AK106" s="84" t="e">
        <f t="shared" si="141"/>
        <v>#REF!</v>
      </c>
    </row>
    <row r="107" spans="1:37">
      <c r="A107">
        <v>54</v>
      </c>
      <c r="B107">
        <v>1</v>
      </c>
      <c r="C107">
        <f>+PSO_results!V107</f>
        <v>0</v>
      </c>
      <c r="D107" s="127" t="e">
        <f t="shared" si="202"/>
        <v>#REF!</v>
      </c>
      <c r="E107">
        <f>+GA_results!V107</f>
        <v>0</v>
      </c>
      <c r="F107" s="127" t="e">
        <f t="shared" si="203"/>
        <v>#REF!</v>
      </c>
      <c r="G107">
        <f>+DE_results!V107</f>
        <v>0</v>
      </c>
      <c r="H107" s="127" t="e">
        <f t="shared" ref="H107" si="218">+((G107-$M107)/$M107)*100</f>
        <v>#REF!</v>
      </c>
      <c r="I107">
        <f>+MTS_results!V107</f>
        <v>0</v>
      </c>
      <c r="J107" s="127" t="e">
        <f t="shared" ref="J107:L107" si="219">+((I107-$M107)/$M107)*100</f>
        <v>#REF!</v>
      </c>
      <c r="K107" t="e">
        <f>+#REF!</f>
        <v>#REF!</v>
      </c>
      <c r="L107" s="127" t="e">
        <f t="shared" si="219"/>
        <v>#REF!</v>
      </c>
      <c r="M107" s="128" t="e">
        <f t="shared" si="139"/>
        <v>#REF!</v>
      </c>
      <c r="N107" t="e">
        <f t="shared" si="140"/>
        <v>#REF!</v>
      </c>
      <c r="P107" s="40">
        <f>+PSO_results!AB107</f>
        <v>0</v>
      </c>
      <c r="Q107" s="40">
        <f>+PSO_results!AC107</f>
        <v>0</v>
      </c>
      <c r="R107" s="40">
        <f>+PSO_results!AD107</f>
        <v>0</v>
      </c>
      <c r="S107" s="40">
        <f>+PSO_results!AE107</f>
        <v>0</v>
      </c>
      <c r="T107" s="40">
        <f>+PSO_results!AF107</f>
        <v>0</v>
      </c>
      <c r="U107">
        <f>+GA_results!AB107</f>
        <v>0</v>
      </c>
      <c r="V107">
        <f>+GA_results!AC107</f>
        <v>0</v>
      </c>
      <c r="W107">
        <f>+GA_results!AD107</f>
        <v>0</v>
      </c>
      <c r="X107">
        <f>+GA_results!AE107</f>
        <v>0</v>
      </c>
      <c r="Y107">
        <f>+GA_results!AF107</f>
        <v>0</v>
      </c>
      <c r="Z107">
        <f>+DE_results!AB107</f>
        <v>0</v>
      </c>
      <c r="AA107">
        <f>+DE_results!AC107</f>
        <v>0</v>
      </c>
      <c r="AB107">
        <f>+DE_results!AD107</f>
        <v>0</v>
      </c>
      <c r="AC107">
        <f>+DE_results!AE107</f>
        <v>0</v>
      </c>
      <c r="AD107">
        <f>+DE_results!AF107</f>
        <v>0</v>
      </c>
      <c r="AE107">
        <f>+MTS_results!AB107</f>
        <v>0</v>
      </c>
      <c r="AF107">
        <f>+MTS_results!AC107</f>
        <v>0</v>
      </c>
      <c r="AG107">
        <f>+MTS_results!AD107</f>
        <v>0</v>
      </c>
      <c r="AH107">
        <f>+MTS_results!AE107</f>
        <v>0</v>
      </c>
      <c r="AI107">
        <f>+MTS_results!AF107</f>
        <v>0</v>
      </c>
      <c r="AJ107" t="e">
        <f>+#REF!</f>
        <v>#REF!</v>
      </c>
      <c r="AK107" s="84" t="e">
        <f t="shared" si="141"/>
        <v>#REF!</v>
      </c>
    </row>
    <row r="108" spans="1:37">
      <c r="A108">
        <v>55</v>
      </c>
      <c r="B108">
        <v>1</v>
      </c>
      <c r="C108">
        <f>+PSO_results!V108</f>
        <v>0</v>
      </c>
      <c r="D108" s="127" t="e">
        <f t="shared" si="202"/>
        <v>#REF!</v>
      </c>
      <c r="E108">
        <f>+GA_results!V108</f>
        <v>0</v>
      </c>
      <c r="F108" s="127" t="e">
        <f t="shared" si="203"/>
        <v>#REF!</v>
      </c>
      <c r="G108">
        <f>+DE_results!V108</f>
        <v>0</v>
      </c>
      <c r="H108" s="127" t="e">
        <f t="shared" ref="H108" si="220">+((G108-$M108)/$M108)*100</f>
        <v>#REF!</v>
      </c>
      <c r="I108">
        <f>+MTS_results!V108</f>
        <v>0</v>
      </c>
      <c r="J108" s="127" t="e">
        <f t="shared" ref="J108:L108" si="221">+((I108-$M108)/$M108)*100</f>
        <v>#REF!</v>
      </c>
      <c r="K108" t="e">
        <f>+#REF!</f>
        <v>#REF!</v>
      </c>
      <c r="L108" s="127" t="e">
        <f t="shared" si="221"/>
        <v>#REF!</v>
      </c>
      <c r="M108" s="128" t="e">
        <f t="shared" si="139"/>
        <v>#REF!</v>
      </c>
      <c r="N108" t="e">
        <f t="shared" si="140"/>
        <v>#REF!</v>
      </c>
      <c r="P108" s="40">
        <f>+PSO_results!AB108</f>
        <v>0</v>
      </c>
      <c r="Q108" s="40">
        <f>+PSO_results!AC108</f>
        <v>0</v>
      </c>
      <c r="R108" s="40">
        <f>+PSO_results!AD108</f>
        <v>0</v>
      </c>
      <c r="S108" s="40">
        <f>+PSO_results!AE108</f>
        <v>0</v>
      </c>
      <c r="T108" s="40">
        <f>+PSO_results!AF108</f>
        <v>0</v>
      </c>
      <c r="U108">
        <f>+GA_results!AB108</f>
        <v>0</v>
      </c>
      <c r="V108">
        <f>+GA_results!AC108</f>
        <v>0</v>
      </c>
      <c r="W108">
        <f>+GA_results!AD108</f>
        <v>0</v>
      </c>
      <c r="X108">
        <f>+GA_results!AE108</f>
        <v>0</v>
      </c>
      <c r="Y108">
        <f>+GA_results!AF108</f>
        <v>0</v>
      </c>
      <c r="Z108">
        <f>+DE_results!AB108</f>
        <v>0</v>
      </c>
      <c r="AA108">
        <f>+DE_results!AC108</f>
        <v>0</v>
      </c>
      <c r="AB108">
        <f>+DE_results!AD108</f>
        <v>0</v>
      </c>
      <c r="AC108">
        <f>+DE_results!AE108</f>
        <v>0</v>
      </c>
      <c r="AD108">
        <f>+DE_results!AF108</f>
        <v>0</v>
      </c>
      <c r="AE108">
        <f>+MTS_results!AB108</f>
        <v>0</v>
      </c>
      <c r="AF108">
        <f>+MTS_results!AC108</f>
        <v>0</v>
      </c>
      <c r="AG108">
        <f>+MTS_results!AD108</f>
        <v>0</v>
      </c>
      <c r="AH108">
        <f>+MTS_results!AE108</f>
        <v>0</v>
      </c>
      <c r="AI108">
        <f>+MTS_results!AF108</f>
        <v>0</v>
      </c>
      <c r="AJ108" t="e">
        <f>+#REF!</f>
        <v>#REF!</v>
      </c>
      <c r="AK108" s="84" t="e">
        <f t="shared" si="141"/>
        <v>#REF!</v>
      </c>
    </row>
    <row r="109" spans="1:37">
      <c r="A109">
        <v>56</v>
      </c>
      <c r="B109">
        <v>1</v>
      </c>
      <c r="C109">
        <f>+PSO_results!V109</f>
        <v>0</v>
      </c>
      <c r="D109" s="127" t="e">
        <f t="shared" si="202"/>
        <v>#REF!</v>
      </c>
      <c r="E109">
        <f>+GA_results!V109</f>
        <v>0</v>
      </c>
      <c r="F109" s="127" t="e">
        <f t="shared" si="203"/>
        <v>#REF!</v>
      </c>
      <c r="G109">
        <f>+DE_results!V109</f>
        <v>0</v>
      </c>
      <c r="H109" s="127" t="e">
        <f t="shared" ref="H109" si="222">+((G109-$M109)/$M109)*100</f>
        <v>#REF!</v>
      </c>
      <c r="I109">
        <f>+MTS_results!V109</f>
        <v>0</v>
      </c>
      <c r="J109" s="127" t="e">
        <f t="shared" ref="J109:L109" si="223">+((I109-$M109)/$M109)*100</f>
        <v>#REF!</v>
      </c>
      <c r="K109" t="e">
        <f>+#REF!</f>
        <v>#REF!</v>
      </c>
      <c r="L109" s="127" t="e">
        <f t="shared" si="223"/>
        <v>#REF!</v>
      </c>
      <c r="M109" s="128" t="e">
        <f t="shared" si="139"/>
        <v>#REF!</v>
      </c>
      <c r="N109" t="e">
        <f t="shared" si="140"/>
        <v>#REF!</v>
      </c>
      <c r="P109" s="40">
        <f>+PSO_results!AB109</f>
        <v>0</v>
      </c>
      <c r="Q109" s="40">
        <f>+PSO_results!AC109</f>
        <v>0</v>
      </c>
      <c r="R109" s="40">
        <f>+PSO_results!AD109</f>
        <v>0</v>
      </c>
      <c r="S109" s="40">
        <f>+PSO_results!AE109</f>
        <v>0</v>
      </c>
      <c r="T109" s="40">
        <f>+PSO_results!AF109</f>
        <v>0</v>
      </c>
      <c r="U109">
        <f>+GA_results!AB109</f>
        <v>0</v>
      </c>
      <c r="V109">
        <f>+GA_results!AC109</f>
        <v>0</v>
      </c>
      <c r="W109">
        <f>+GA_results!AD109</f>
        <v>0</v>
      </c>
      <c r="X109">
        <f>+GA_results!AE109</f>
        <v>0</v>
      </c>
      <c r="Y109">
        <f>+GA_results!AF109</f>
        <v>0</v>
      </c>
      <c r="Z109">
        <f>+DE_results!AB109</f>
        <v>0</v>
      </c>
      <c r="AA109">
        <f>+DE_results!AC109</f>
        <v>0</v>
      </c>
      <c r="AB109">
        <f>+DE_results!AD109</f>
        <v>0</v>
      </c>
      <c r="AC109">
        <f>+DE_results!AE109</f>
        <v>0</v>
      </c>
      <c r="AD109">
        <f>+DE_results!AF109</f>
        <v>0</v>
      </c>
      <c r="AE109">
        <f>+MTS_results!AB109</f>
        <v>0</v>
      </c>
      <c r="AF109">
        <f>+MTS_results!AC109</f>
        <v>0</v>
      </c>
      <c r="AG109">
        <f>+MTS_results!AD109</f>
        <v>0</v>
      </c>
      <c r="AH109">
        <f>+MTS_results!AE109</f>
        <v>0</v>
      </c>
      <c r="AI109">
        <f>+MTS_results!AF109</f>
        <v>0</v>
      </c>
      <c r="AJ109" t="e">
        <f>+#REF!</f>
        <v>#REF!</v>
      </c>
      <c r="AK109" s="84" t="e">
        <f t="shared" si="141"/>
        <v>#REF!</v>
      </c>
    </row>
    <row r="110" spans="1:37">
      <c r="A110">
        <v>57</v>
      </c>
      <c r="B110">
        <v>1</v>
      </c>
      <c r="C110">
        <f>+PSO_results!V110</f>
        <v>0</v>
      </c>
      <c r="D110" s="127" t="e">
        <f t="shared" si="202"/>
        <v>#REF!</v>
      </c>
      <c r="E110">
        <f>+GA_results!V110</f>
        <v>0</v>
      </c>
      <c r="F110" s="127" t="e">
        <f t="shared" si="203"/>
        <v>#REF!</v>
      </c>
      <c r="G110">
        <f>+DE_results!V110</f>
        <v>0</v>
      </c>
      <c r="H110" s="127" t="e">
        <f t="shared" ref="H110" si="224">+((G110-$M110)/$M110)*100</f>
        <v>#REF!</v>
      </c>
      <c r="I110">
        <f>+MTS_results!V110</f>
        <v>0</v>
      </c>
      <c r="J110" s="127" t="e">
        <f t="shared" ref="J110:L110" si="225">+((I110-$M110)/$M110)*100</f>
        <v>#REF!</v>
      </c>
      <c r="K110" t="e">
        <f>+#REF!</f>
        <v>#REF!</v>
      </c>
      <c r="L110" s="127" t="e">
        <f t="shared" si="225"/>
        <v>#REF!</v>
      </c>
      <c r="M110" s="128" t="e">
        <f t="shared" si="139"/>
        <v>#REF!</v>
      </c>
      <c r="N110" t="e">
        <f t="shared" si="140"/>
        <v>#REF!</v>
      </c>
      <c r="P110" s="40">
        <f>+PSO_results!AB110</f>
        <v>0</v>
      </c>
      <c r="Q110" s="40">
        <f>+PSO_results!AC110</f>
        <v>0</v>
      </c>
      <c r="R110" s="40">
        <f>+PSO_results!AD110</f>
        <v>0</v>
      </c>
      <c r="S110" s="40">
        <f>+PSO_results!AE110</f>
        <v>0</v>
      </c>
      <c r="T110" s="40">
        <f>+PSO_results!AF110</f>
        <v>0</v>
      </c>
      <c r="U110">
        <f>+GA_results!AB110</f>
        <v>0</v>
      </c>
      <c r="V110">
        <f>+GA_results!AC110</f>
        <v>0</v>
      </c>
      <c r="W110">
        <f>+GA_results!AD110</f>
        <v>0</v>
      </c>
      <c r="X110">
        <f>+GA_results!AE110</f>
        <v>0</v>
      </c>
      <c r="Y110">
        <f>+GA_results!AF110</f>
        <v>0</v>
      </c>
      <c r="Z110">
        <f>+DE_results!AB110</f>
        <v>0</v>
      </c>
      <c r="AA110">
        <f>+DE_results!AC110</f>
        <v>0</v>
      </c>
      <c r="AB110">
        <f>+DE_results!AD110</f>
        <v>0</v>
      </c>
      <c r="AC110">
        <f>+DE_results!AE110</f>
        <v>0</v>
      </c>
      <c r="AD110">
        <f>+DE_results!AF110</f>
        <v>0</v>
      </c>
      <c r="AE110">
        <f>+MTS_results!AB110</f>
        <v>0</v>
      </c>
      <c r="AF110">
        <f>+MTS_results!AC110</f>
        <v>0</v>
      </c>
      <c r="AG110">
        <f>+MTS_results!AD110</f>
        <v>0</v>
      </c>
      <c r="AH110">
        <f>+MTS_results!AE110</f>
        <v>0</v>
      </c>
      <c r="AI110">
        <f>+MTS_results!AF110</f>
        <v>0</v>
      </c>
      <c r="AJ110" t="e">
        <f>+#REF!</f>
        <v>#REF!</v>
      </c>
      <c r="AK110" s="84" t="e">
        <f t="shared" si="141"/>
        <v>#REF!</v>
      </c>
    </row>
    <row r="111" spans="1:37">
      <c r="A111">
        <v>58</v>
      </c>
      <c r="B111">
        <v>1</v>
      </c>
      <c r="C111">
        <f>+PSO_results!V111</f>
        <v>0</v>
      </c>
      <c r="D111" s="127" t="e">
        <f t="shared" si="202"/>
        <v>#REF!</v>
      </c>
      <c r="E111">
        <f>+GA_results!V111</f>
        <v>0</v>
      </c>
      <c r="F111" s="127" t="e">
        <f t="shared" si="203"/>
        <v>#REF!</v>
      </c>
      <c r="G111">
        <f>+DE_results!V111</f>
        <v>0</v>
      </c>
      <c r="H111" s="127" t="e">
        <f t="shared" ref="H111" si="226">+((G111-$M111)/$M111)*100</f>
        <v>#REF!</v>
      </c>
      <c r="I111">
        <f>+MTS_results!V111</f>
        <v>0</v>
      </c>
      <c r="J111" s="127" t="e">
        <f t="shared" ref="J111:L111" si="227">+((I111-$M111)/$M111)*100</f>
        <v>#REF!</v>
      </c>
      <c r="K111" t="e">
        <f>+#REF!</f>
        <v>#REF!</v>
      </c>
      <c r="L111" s="127" t="e">
        <f t="shared" si="227"/>
        <v>#REF!</v>
      </c>
      <c r="M111" s="128" t="e">
        <f t="shared" si="139"/>
        <v>#REF!</v>
      </c>
      <c r="N111" t="e">
        <f t="shared" si="140"/>
        <v>#REF!</v>
      </c>
      <c r="P111" s="40">
        <f>+PSO_results!AB111</f>
        <v>0</v>
      </c>
      <c r="Q111" s="40">
        <f>+PSO_results!AC111</f>
        <v>0</v>
      </c>
      <c r="R111" s="40">
        <f>+PSO_results!AD111</f>
        <v>0</v>
      </c>
      <c r="S111" s="40">
        <f>+PSO_results!AE111</f>
        <v>0</v>
      </c>
      <c r="T111" s="40">
        <f>+PSO_results!AF111</f>
        <v>0</v>
      </c>
      <c r="U111">
        <f>+GA_results!AB111</f>
        <v>0</v>
      </c>
      <c r="V111">
        <f>+GA_results!AC111</f>
        <v>0</v>
      </c>
      <c r="W111">
        <f>+GA_results!AD111</f>
        <v>0</v>
      </c>
      <c r="X111">
        <f>+GA_results!AE111</f>
        <v>0</v>
      </c>
      <c r="Y111">
        <f>+GA_results!AF111</f>
        <v>0</v>
      </c>
      <c r="Z111">
        <f>+DE_results!AB111</f>
        <v>0</v>
      </c>
      <c r="AA111">
        <f>+DE_results!AC111</f>
        <v>0</v>
      </c>
      <c r="AB111">
        <f>+DE_results!AD111</f>
        <v>0</v>
      </c>
      <c r="AC111">
        <f>+DE_results!AE111</f>
        <v>0</v>
      </c>
      <c r="AD111">
        <f>+DE_results!AF111</f>
        <v>0</v>
      </c>
      <c r="AE111">
        <f>+MTS_results!AB111</f>
        <v>0</v>
      </c>
      <c r="AF111">
        <f>+MTS_results!AC111</f>
        <v>0</v>
      </c>
      <c r="AG111">
        <f>+MTS_results!AD111</f>
        <v>0</v>
      </c>
      <c r="AH111">
        <f>+MTS_results!AE111</f>
        <v>0</v>
      </c>
      <c r="AI111">
        <f>+MTS_results!AF111</f>
        <v>0</v>
      </c>
      <c r="AJ111" t="e">
        <f>+#REF!</f>
        <v>#REF!</v>
      </c>
      <c r="AK111" s="84" t="e">
        <f t="shared" si="141"/>
        <v>#REF!</v>
      </c>
    </row>
    <row r="112" spans="1:37">
      <c r="A112">
        <v>59</v>
      </c>
      <c r="B112">
        <v>1</v>
      </c>
      <c r="C112">
        <f>+PSO_results!V112</f>
        <v>0</v>
      </c>
      <c r="D112" s="127" t="e">
        <f t="shared" si="202"/>
        <v>#REF!</v>
      </c>
      <c r="E112">
        <f>+GA_results!V112</f>
        <v>0</v>
      </c>
      <c r="F112" s="127" t="e">
        <f t="shared" si="203"/>
        <v>#REF!</v>
      </c>
      <c r="G112">
        <f>+DE_results!V112</f>
        <v>0</v>
      </c>
      <c r="H112" s="127" t="e">
        <f t="shared" ref="H112" si="228">+((G112-$M112)/$M112)*100</f>
        <v>#REF!</v>
      </c>
      <c r="I112">
        <f>+MTS_results!V112</f>
        <v>0</v>
      </c>
      <c r="J112" s="127" t="e">
        <f t="shared" ref="J112:L112" si="229">+((I112-$M112)/$M112)*100</f>
        <v>#REF!</v>
      </c>
      <c r="K112" t="e">
        <f>+#REF!</f>
        <v>#REF!</v>
      </c>
      <c r="L112" s="127" t="e">
        <f t="shared" si="229"/>
        <v>#REF!</v>
      </c>
      <c r="M112" s="128" t="e">
        <f t="shared" si="139"/>
        <v>#REF!</v>
      </c>
      <c r="N112" t="e">
        <f t="shared" si="140"/>
        <v>#REF!</v>
      </c>
      <c r="P112" s="40">
        <f>+PSO_results!AB112</f>
        <v>0</v>
      </c>
      <c r="Q112" s="40">
        <f>+PSO_results!AC112</f>
        <v>0</v>
      </c>
      <c r="R112" s="40">
        <f>+PSO_results!AD112</f>
        <v>0</v>
      </c>
      <c r="S112" s="40">
        <f>+PSO_results!AE112</f>
        <v>0</v>
      </c>
      <c r="T112" s="40">
        <f>+PSO_results!AF112</f>
        <v>0</v>
      </c>
      <c r="U112">
        <f>+GA_results!AB112</f>
        <v>0</v>
      </c>
      <c r="V112">
        <f>+GA_results!AC112</f>
        <v>0</v>
      </c>
      <c r="W112">
        <f>+GA_results!AD112</f>
        <v>0</v>
      </c>
      <c r="X112">
        <f>+GA_results!AE112</f>
        <v>0</v>
      </c>
      <c r="Y112">
        <f>+GA_results!AF112</f>
        <v>0</v>
      </c>
      <c r="Z112">
        <f>+DE_results!AB112</f>
        <v>0</v>
      </c>
      <c r="AA112">
        <f>+DE_results!AC112</f>
        <v>0</v>
      </c>
      <c r="AB112">
        <f>+DE_results!AD112</f>
        <v>0</v>
      </c>
      <c r="AC112">
        <f>+DE_results!AE112</f>
        <v>0</v>
      </c>
      <c r="AD112">
        <f>+DE_results!AF112</f>
        <v>0</v>
      </c>
      <c r="AE112">
        <f>+MTS_results!AB112</f>
        <v>0</v>
      </c>
      <c r="AF112">
        <f>+MTS_results!AC112</f>
        <v>0</v>
      </c>
      <c r="AG112">
        <f>+MTS_results!AD112</f>
        <v>0</v>
      </c>
      <c r="AH112">
        <f>+MTS_results!AE112</f>
        <v>0</v>
      </c>
      <c r="AI112">
        <f>+MTS_results!AF112</f>
        <v>0</v>
      </c>
      <c r="AJ112" t="e">
        <f>+#REF!</f>
        <v>#REF!</v>
      </c>
      <c r="AK112" s="84" t="e">
        <f t="shared" si="141"/>
        <v>#REF!</v>
      </c>
    </row>
    <row r="113" spans="1:37">
      <c r="A113">
        <v>60</v>
      </c>
      <c r="B113">
        <v>1</v>
      </c>
      <c r="C113">
        <f>+PSO_results!V113</f>
        <v>0</v>
      </c>
      <c r="D113" s="127" t="e">
        <f t="shared" si="202"/>
        <v>#REF!</v>
      </c>
      <c r="E113">
        <f>+GA_results!V113</f>
        <v>0</v>
      </c>
      <c r="F113" s="127" t="e">
        <f t="shared" si="203"/>
        <v>#REF!</v>
      </c>
      <c r="G113">
        <f>+DE_results!V113</f>
        <v>0</v>
      </c>
      <c r="H113" s="127" t="e">
        <f t="shared" ref="H113" si="230">+((G113-$M113)/$M113)*100</f>
        <v>#REF!</v>
      </c>
      <c r="I113">
        <f>+MTS_results!V113</f>
        <v>0</v>
      </c>
      <c r="J113" s="127" t="e">
        <f t="shared" ref="J113:L113" si="231">+((I113-$M113)/$M113)*100</f>
        <v>#REF!</v>
      </c>
      <c r="K113" t="e">
        <f>+#REF!</f>
        <v>#REF!</v>
      </c>
      <c r="L113" s="127" t="e">
        <f t="shared" si="231"/>
        <v>#REF!</v>
      </c>
      <c r="M113" s="128" t="e">
        <f t="shared" si="139"/>
        <v>#REF!</v>
      </c>
      <c r="N113" t="e">
        <f t="shared" si="140"/>
        <v>#REF!</v>
      </c>
      <c r="P113" s="40">
        <f>+PSO_results!AB113</f>
        <v>0</v>
      </c>
      <c r="Q113" s="40">
        <f>+PSO_results!AC113</f>
        <v>0</v>
      </c>
      <c r="R113" s="40">
        <f>+PSO_results!AD113</f>
        <v>0</v>
      </c>
      <c r="S113" s="40">
        <f>+PSO_results!AE113</f>
        <v>0</v>
      </c>
      <c r="T113" s="40">
        <f>+PSO_results!AF113</f>
        <v>0</v>
      </c>
      <c r="U113">
        <f>+GA_results!AB113</f>
        <v>0</v>
      </c>
      <c r="V113">
        <f>+GA_results!AC113</f>
        <v>0</v>
      </c>
      <c r="W113">
        <f>+GA_results!AD113</f>
        <v>0</v>
      </c>
      <c r="X113">
        <f>+GA_results!AE113</f>
        <v>0</v>
      </c>
      <c r="Y113">
        <f>+GA_results!AF113</f>
        <v>0</v>
      </c>
      <c r="Z113">
        <f>+DE_results!AB113</f>
        <v>0</v>
      </c>
      <c r="AA113">
        <f>+DE_results!AC113</f>
        <v>0</v>
      </c>
      <c r="AB113">
        <f>+DE_results!AD113</f>
        <v>0</v>
      </c>
      <c r="AC113">
        <f>+DE_results!AE113</f>
        <v>0</v>
      </c>
      <c r="AD113">
        <f>+DE_results!AF113</f>
        <v>0</v>
      </c>
      <c r="AE113">
        <f>+MTS_results!AB113</f>
        <v>0</v>
      </c>
      <c r="AF113">
        <f>+MTS_results!AC113</f>
        <v>0</v>
      </c>
      <c r="AG113">
        <f>+MTS_results!AD113</f>
        <v>0</v>
      </c>
      <c r="AH113">
        <f>+MTS_results!AE113</f>
        <v>0</v>
      </c>
      <c r="AI113">
        <f>+MTS_results!AF113</f>
        <v>0</v>
      </c>
      <c r="AJ113" t="e">
        <f>+#REF!</f>
        <v>#REF!</v>
      </c>
      <c r="AK113" s="84" t="e">
        <f t="shared" si="141"/>
        <v>#REF!</v>
      </c>
    </row>
    <row r="114" spans="1:37">
      <c r="A114">
        <v>51</v>
      </c>
      <c r="B114">
        <v>2</v>
      </c>
      <c r="C114">
        <f>+PSO_results!V114</f>
        <v>0</v>
      </c>
      <c r="D114" s="127" t="e">
        <f t="shared" si="202"/>
        <v>#REF!</v>
      </c>
      <c r="E114">
        <f>+GA_results!V114</f>
        <v>0</v>
      </c>
      <c r="F114" s="127" t="e">
        <f t="shared" si="203"/>
        <v>#REF!</v>
      </c>
      <c r="G114">
        <f>+DE_results!V114</f>
        <v>0</v>
      </c>
      <c r="H114" s="127" t="e">
        <f t="shared" ref="H114" si="232">+((G114-$M114)/$M114)*100</f>
        <v>#REF!</v>
      </c>
      <c r="I114">
        <f>+MTS_results!V114</f>
        <v>0</v>
      </c>
      <c r="J114" s="127" t="e">
        <f t="shared" ref="J114:L114" si="233">+((I114-$M114)/$M114)*100</f>
        <v>#REF!</v>
      </c>
      <c r="K114" t="e">
        <f>+#REF!</f>
        <v>#REF!</v>
      </c>
      <c r="L114" s="127" t="e">
        <f t="shared" si="233"/>
        <v>#REF!</v>
      </c>
      <c r="M114" s="128" t="e">
        <f t="shared" si="139"/>
        <v>#REF!</v>
      </c>
      <c r="N114" t="e">
        <f t="shared" si="140"/>
        <v>#REF!</v>
      </c>
      <c r="P114" s="40">
        <f>+PSO_results!AB114</f>
        <v>0</v>
      </c>
      <c r="Q114" s="40">
        <f>+PSO_results!AC114</f>
        <v>0</v>
      </c>
      <c r="R114" s="40">
        <f>+PSO_results!AD114</f>
        <v>0</v>
      </c>
      <c r="S114" s="40">
        <f>+PSO_results!AE114</f>
        <v>0</v>
      </c>
      <c r="T114" s="40">
        <f>+PSO_results!AF114</f>
        <v>0</v>
      </c>
      <c r="U114">
        <f>+GA_results!AB114</f>
        <v>0</v>
      </c>
      <c r="V114">
        <f>+GA_results!AC114</f>
        <v>0</v>
      </c>
      <c r="W114">
        <f>+GA_results!AD114</f>
        <v>0</v>
      </c>
      <c r="X114">
        <f>+GA_results!AE114</f>
        <v>0</v>
      </c>
      <c r="Y114">
        <f>+GA_results!AF114</f>
        <v>0</v>
      </c>
      <c r="Z114">
        <f>+DE_results!AB114</f>
        <v>0</v>
      </c>
      <c r="AA114">
        <f>+DE_results!AC114</f>
        <v>0</v>
      </c>
      <c r="AB114">
        <f>+DE_results!AD114</f>
        <v>0</v>
      </c>
      <c r="AC114">
        <f>+DE_results!AE114</f>
        <v>0</v>
      </c>
      <c r="AD114">
        <f>+DE_results!AF114</f>
        <v>0</v>
      </c>
      <c r="AE114">
        <f>+MTS_results!AB114</f>
        <v>0</v>
      </c>
      <c r="AF114">
        <f>+MTS_results!AC114</f>
        <v>0</v>
      </c>
      <c r="AG114">
        <f>+MTS_results!AD114</f>
        <v>0</v>
      </c>
      <c r="AH114">
        <f>+MTS_results!AE114</f>
        <v>0</v>
      </c>
      <c r="AI114">
        <f>+MTS_results!AF114</f>
        <v>0</v>
      </c>
      <c r="AJ114" t="e">
        <f>+#REF!</f>
        <v>#REF!</v>
      </c>
      <c r="AK114" s="84" t="e">
        <f t="shared" si="141"/>
        <v>#REF!</v>
      </c>
    </row>
    <row r="115" spans="1:37">
      <c r="A115">
        <v>52</v>
      </c>
      <c r="B115">
        <v>2</v>
      </c>
      <c r="C115">
        <f>+PSO_results!V115</f>
        <v>0</v>
      </c>
      <c r="D115" s="127" t="e">
        <f t="shared" si="202"/>
        <v>#REF!</v>
      </c>
      <c r="E115">
        <f>+GA_results!V115</f>
        <v>0</v>
      </c>
      <c r="F115" s="127" t="e">
        <f t="shared" si="203"/>
        <v>#REF!</v>
      </c>
      <c r="G115">
        <f>+DE_results!V115</f>
        <v>0</v>
      </c>
      <c r="H115" s="127" t="e">
        <f t="shared" ref="H115" si="234">+((G115-$M115)/$M115)*100</f>
        <v>#REF!</v>
      </c>
      <c r="I115">
        <f>+MTS_results!V115</f>
        <v>0</v>
      </c>
      <c r="J115" s="127" t="e">
        <f t="shared" ref="J115:L115" si="235">+((I115-$M115)/$M115)*100</f>
        <v>#REF!</v>
      </c>
      <c r="K115" t="e">
        <f>+#REF!</f>
        <v>#REF!</v>
      </c>
      <c r="L115" s="127" t="e">
        <f t="shared" si="235"/>
        <v>#REF!</v>
      </c>
      <c r="M115" s="128" t="e">
        <f t="shared" si="139"/>
        <v>#REF!</v>
      </c>
      <c r="N115" t="e">
        <f t="shared" si="140"/>
        <v>#REF!</v>
      </c>
      <c r="P115" s="40">
        <f>+PSO_results!AB115</f>
        <v>0</v>
      </c>
      <c r="Q115" s="40">
        <f>+PSO_results!AC115</f>
        <v>0</v>
      </c>
      <c r="R115" s="40">
        <f>+PSO_results!AD115</f>
        <v>0</v>
      </c>
      <c r="S115" s="40">
        <f>+PSO_results!AE115</f>
        <v>0</v>
      </c>
      <c r="T115" s="40">
        <f>+PSO_results!AF115</f>
        <v>0</v>
      </c>
      <c r="U115">
        <f>+GA_results!AB115</f>
        <v>0</v>
      </c>
      <c r="V115">
        <f>+GA_results!AC115</f>
        <v>0</v>
      </c>
      <c r="W115">
        <f>+GA_results!AD115</f>
        <v>0</v>
      </c>
      <c r="X115">
        <f>+GA_results!AE115</f>
        <v>0</v>
      </c>
      <c r="Y115">
        <f>+GA_results!AF115</f>
        <v>0</v>
      </c>
      <c r="Z115">
        <f>+DE_results!AB115</f>
        <v>0</v>
      </c>
      <c r="AA115">
        <f>+DE_results!AC115</f>
        <v>0</v>
      </c>
      <c r="AB115">
        <f>+DE_results!AD115</f>
        <v>0</v>
      </c>
      <c r="AC115">
        <f>+DE_results!AE115</f>
        <v>0</v>
      </c>
      <c r="AD115">
        <f>+DE_results!AF115</f>
        <v>0</v>
      </c>
      <c r="AE115">
        <f>+MTS_results!AB115</f>
        <v>0</v>
      </c>
      <c r="AF115">
        <f>+MTS_results!AC115</f>
        <v>0</v>
      </c>
      <c r="AG115">
        <f>+MTS_results!AD115</f>
        <v>0</v>
      </c>
      <c r="AH115">
        <f>+MTS_results!AE115</f>
        <v>0</v>
      </c>
      <c r="AI115">
        <f>+MTS_results!AF115</f>
        <v>0</v>
      </c>
      <c r="AJ115" t="e">
        <f>+#REF!</f>
        <v>#REF!</v>
      </c>
      <c r="AK115" s="84" t="e">
        <f t="shared" si="141"/>
        <v>#REF!</v>
      </c>
    </row>
    <row r="116" spans="1:37">
      <c r="A116">
        <v>53</v>
      </c>
      <c r="B116">
        <v>2</v>
      </c>
      <c r="C116">
        <f>+PSO_results!V116</f>
        <v>0</v>
      </c>
      <c r="D116" s="127" t="e">
        <f t="shared" si="202"/>
        <v>#REF!</v>
      </c>
      <c r="E116">
        <f>+GA_results!V116</f>
        <v>0</v>
      </c>
      <c r="F116" s="127" t="e">
        <f t="shared" si="203"/>
        <v>#REF!</v>
      </c>
      <c r="G116">
        <f>+DE_results!V116</f>
        <v>0</v>
      </c>
      <c r="H116" s="127" t="e">
        <f t="shared" ref="H116" si="236">+((G116-$M116)/$M116)*100</f>
        <v>#REF!</v>
      </c>
      <c r="I116">
        <f>+MTS_results!V116</f>
        <v>0</v>
      </c>
      <c r="J116" s="127" t="e">
        <f t="shared" ref="J116:L116" si="237">+((I116-$M116)/$M116)*100</f>
        <v>#REF!</v>
      </c>
      <c r="K116" t="e">
        <f>+#REF!</f>
        <v>#REF!</v>
      </c>
      <c r="L116" s="127" t="e">
        <f t="shared" si="237"/>
        <v>#REF!</v>
      </c>
      <c r="M116" s="128" t="e">
        <f t="shared" si="139"/>
        <v>#REF!</v>
      </c>
      <c r="N116" t="e">
        <f t="shared" si="140"/>
        <v>#REF!</v>
      </c>
      <c r="P116" s="40">
        <f>+PSO_results!AB116</f>
        <v>0</v>
      </c>
      <c r="Q116" s="40">
        <f>+PSO_results!AC116</f>
        <v>0</v>
      </c>
      <c r="R116" s="40">
        <f>+PSO_results!AD116</f>
        <v>0</v>
      </c>
      <c r="S116" s="40">
        <f>+PSO_results!AE116</f>
        <v>0</v>
      </c>
      <c r="T116" s="40">
        <f>+PSO_results!AF116</f>
        <v>0</v>
      </c>
      <c r="U116">
        <f>+GA_results!AB116</f>
        <v>0</v>
      </c>
      <c r="V116">
        <f>+GA_results!AC116</f>
        <v>0</v>
      </c>
      <c r="W116">
        <f>+GA_results!AD116</f>
        <v>0</v>
      </c>
      <c r="X116">
        <f>+GA_results!AE116</f>
        <v>0</v>
      </c>
      <c r="Y116">
        <f>+GA_results!AF116</f>
        <v>0</v>
      </c>
      <c r="Z116">
        <f>+DE_results!AB116</f>
        <v>0</v>
      </c>
      <c r="AA116">
        <f>+DE_results!AC116</f>
        <v>0</v>
      </c>
      <c r="AB116">
        <f>+DE_results!AD116</f>
        <v>0</v>
      </c>
      <c r="AC116">
        <f>+DE_results!AE116</f>
        <v>0</v>
      </c>
      <c r="AD116">
        <f>+DE_results!AF116</f>
        <v>0</v>
      </c>
      <c r="AE116">
        <f>+MTS_results!AB116</f>
        <v>0</v>
      </c>
      <c r="AF116">
        <f>+MTS_results!AC116</f>
        <v>0</v>
      </c>
      <c r="AG116">
        <f>+MTS_results!AD116</f>
        <v>0</v>
      </c>
      <c r="AH116">
        <f>+MTS_results!AE116</f>
        <v>0</v>
      </c>
      <c r="AI116">
        <f>+MTS_results!AF116</f>
        <v>0</v>
      </c>
      <c r="AJ116" t="e">
        <f>+#REF!</f>
        <v>#REF!</v>
      </c>
      <c r="AK116" s="84" t="e">
        <f t="shared" si="141"/>
        <v>#REF!</v>
      </c>
    </row>
    <row r="117" spans="1:37">
      <c r="A117">
        <v>54</v>
      </c>
      <c r="B117">
        <v>2</v>
      </c>
      <c r="C117">
        <f>+PSO_results!V117</f>
        <v>0</v>
      </c>
      <c r="D117" s="127" t="e">
        <f t="shared" si="202"/>
        <v>#REF!</v>
      </c>
      <c r="E117">
        <f>+GA_results!V117</f>
        <v>0</v>
      </c>
      <c r="F117" s="127" t="e">
        <f t="shared" si="203"/>
        <v>#REF!</v>
      </c>
      <c r="G117">
        <f>+DE_results!V117</f>
        <v>0</v>
      </c>
      <c r="H117" s="127" t="e">
        <f t="shared" ref="H117" si="238">+((G117-$M117)/$M117)*100</f>
        <v>#REF!</v>
      </c>
      <c r="I117">
        <f>+MTS_results!V117</f>
        <v>0</v>
      </c>
      <c r="J117" s="127" t="e">
        <f t="shared" ref="J117:L117" si="239">+((I117-$M117)/$M117)*100</f>
        <v>#REF!</v>
      </c>
      <c r="K117" t="e">
        <f>+#REF!</f>
        <v>#REF!</v>
      </c>
      <c r="L117" s="127" t="e">
        <f t="shared" si="239"/>
        <v>#REF!</v>
      </c>
      <c r="M117" s="128" t="e">
        <f t="shared" si="139"/>
        <v>#REF!</v>
      </c>
      <c r="N117" t="e">
        <f t="shared" si="140"/>
        <v>#REF!</v>
      </c>
      <c r="P117" s="40">
        <f>+PSO_results!AB117</f>
        <v>0</v>
      </c>
      <c r="Q117" s="40">
        <f>+PSO_results!AC117</f>
        <v>0</v>
      </c>
      <c r="R117" s="40">
        <f>+PSO_results!AD117</f>
        <v>0</v>
      </c>
      <c r="S117" s="40">
        <f>+PSO_results!AE117</f>
        <v>0</v>
      </c>
      <c r="T117" s="40">
        <f>+PSO_results!AF117</f>
        <v>0</v>
      </c>
      <c r="U117">
        <f>+GA_results!AB117</f>
        <v>0</v>
      </c>
      <c r="V117">
        <f>+GA_results!AC117</f>
        <v>0</v>
      </c>
      <c r="W117">
        <f>+GA_results!AD117</f>
        <v>0</v>
      </c>
      <c r="X117">
        <f>+GA_results!AE117</f>
        <v>0</v>
      </c>
      <c r="Y117">
        <f>+GA_results!AF117</f>
        <v>0</v>
      </c>
      <c r="Z117">
        <f>+DE_results!AB117</f>
        <v>0</v>
      </c>
      <c r="AA117">
        <f>+DE_results!AC117</f>
        <v>0</v>
      </c>
      <c r="AB117">
        <f>+DE_results!AD117</f>
        <v>0</v>
      </c>
      <c r="AC117">
        <f>+DE_results!AE117</f>
        <v>0</v>
      </c>
      <c r="AD117">
        <f>+DE_results!AF117</f>
        <v>0</v>
      </c>
      <c r="AE117">
        <f>+MTS_results!AB117</f>
        <v>0</v>
      </c>
      <c r="AF117">
        <f>+MTS_results!AC117</f>
        <v>0</v>
      </c>
      <c r="AG117">
        <f>+MTS_results!AD117</f>
        <v>0</v>
      </c>
      <c r="AH117">
        <f>+MTS_results!AE117</f>
        <v>0</v>
      </c>
      <c r="AI117">
        <f>+MTS_results!AF117</f>
        <v>0</v>
      </c>
      <c r="AJ117" t="e">
        <f>+#REF!</f>
        <v>#REF!</v>
      </c>
      <c r="AK117" s="84" t="e">
        <f t="shared" si="141"/>
        <v>#REF!</v>
      </c>
    </row>
    <row r="118" spans="1:37">
      <c r="A118">
        <v>55</v>
      </c>
      <c r="B118">
        <v>2</v>
      </c>
      <c r="C118">
        <f>+PSO_results!V118</f>
        <v>0</v>
      </c>
      <c r="D118" s="127" t="e">
        <f t="shared" si="202"/>
        <v>#REF!</v>
      </c>
      <c r="E118">
        <f>+GA_results!V118</f>
        <v>0</v>
      </c>
      <c r="F118" s="127" t="e">
        <f t="shared" si="203"/>
        <v>#REF!</v>
      </c>
      <c r="G118">
        <f>+DE_results!V118</f>
        <v>0</v>
      </c>
      <c r="H118" s="127" t="e">
        <f t="shared" ref="H118" si="240">+((G118-$M118)/$M118)*100</f>
        <v>#REF!</v>
      </c>
      <c r="I118">
        <f>+MTS_results!V118</f>
        <v>0</v>
      </c>
      <c r="J118" s="127" t="e">
        <f t="shared" ref="J118:L118" si="241">+((I118-$M118)/$M118)*100</f>
        <v>#REF!</v>
      </c>
      <c r="K118" t="e">
        <f>+#REF!</f>
        <v>#REF!</v>
      </c>
      <c r="L118" s="127" t="e">
        <f t="shared" si="241"/>
        <v>#REF!</v>
      </c>
      <c r="M118" s="128" t="e">
        <f t="shared" si="139"/>
        <v>#REF!</v>
      </c>
      <c r="N118" t="e">
        <f t="shared" si="140"/>
        <v>#REF!</v>
      </c>
      <c r="P118" s="40">
        <f>+PSO_results!AB118</f>
        <v>0</v>
      </c>
      <c r="Q118" s="40">
        <f>+PSO_results!AC118</f>
        <v>0</v>
      </c>
      <c r="R118" s="40">
        <f>+PSO_results!AD118</f>
        <v>0</v>
      </c>
      <c r="S118" s="40">
        <f>+PSO_results!AE118</f>
        <v>0</v>
      </c>
      <c r="T118" s="40">
        <f>+PSO_results!AF118</f>
        <v>0</v>
      </c>
      <c r="U118">
        <f>+GA_results!AB118</f>
        <v>0</v>
      </c>
      <c r="V118">
        <f>+GA_results!AC118</f>
        <v>0</v>
      </c>
      <c r="W118">
        <f>+GA_results!AD118</f>
        <v>0</v>
      </c>
      <c r="X118">
        <f>+GA_results!AE118</f>
        <v>0</v>
      </c>
      <c r="Y118">
        <f>+GA_results!AF118</f>
        <v>0</v>
      </c>
      <c r="Z118">
        <f>+DE_results!AB118</f>
        <v>0</v>
      </c>
      <c r="AA118">
        <f>+DE_results!AC118</f>
        <v>0</v>
      </c>
      <c r="AB118">
        <f>+DE_results!AD118</f>
        <v>0</v>
      </c>
      <c r="AC118">
        <f>+DE_results!AE118</f>
        <v>0</v>
      </c>
      <c r="AD118">
        <f>+DE_results!AF118</f>
        <v>0</v>
      </c>
      <c r="AE118">
        <f>+MTS_results!AB118</f>
        <v>0</v>
      </c>
      <c r="AF118">
        <f>+MTS_results!AC118</f>
        <v>0</v>
      </c>
      <c r="AG118">
        <f>+MTS_results!AD118</f>
        <v>0</v>
      </c>
      <c r="AH118">
        <f>+MTS_results!AE118</f>
        <v>0</v>
      </c>
      <c r="AI118">
        <f>+MTS_results!AF118</f>
        <v>0</v>
      </c>
      <c r="AJ118" t="e">
        <f>+#REF!</f>
        <v>#REF!</v>
      </c>
      <c r="AK118" s="84" t="e">
        <f t="shared" si="141"/>
        <v>#REF!</v>
      </c>
    </row>
    <row r="119" spans="1:37">
      <c r="A119">
        <v>56</v>
      </c>
      <c r="B119">
        <v>2</v>
      </c>
      <c r="C119">
        <f>+PSO_results!V119</f>
        <v>0</v>
      </c>
      <c r="D119" s="127" t="e">
        <f t="shared" si="202"/>
        <v>#REF!</v>
      </c>
      <c r="E119">
        <f>+GA_results!V119</f>
        <v>0</v>
      </c>
      <c r="F119" s="127" t="e">
        <f t="shared" si="203"/>
        <v>#REF!</v>
      </c>
      <c r="G119">
        <f>+DE_results!V119</f>
        <v>0</v>
      </c>
      <c r="H119" s="127" t="e">
        <f t="shared" ref="H119" si="242">+((G119-$M119)/$M119)*100</f>
        <v>#REF!</v>
      </c>
      <c r="I119">
        <f>+MTS_results!V119</f>
        <v>0</v>
      </c>
      <c r="J119" s="127" t="e">
        <f t="shared" ref="J119:L119" si="243">+((I119-$M119)/$M119)*100</f>
        <v>#REF!</v>
      </c>
      <c r="K119" t="e">
        <f>+#REF!</f>
        <v>#REF!</v>
      </c>
      <c r="L119" s="127" t="e">
        <f t="shared" si="243"/>
        <v>#REF!</v>
      </c>
      <c r="M119" s="128" t="e">
        <f t="shared" si="139"/>
        <v>#REF!</v>
      </c>
      <c r="N119" t="e">
        <f t="shared" si="140"/>
        <v>#REF!</v>
      </c>
      <c r="P119" s="40">
        <f>+PSO_results!AB119</f>
        <v>0</v>
      </c>
      <c r="Q119" s="40">
        <f>+PSO_results!AC119</f>
        <v>0</v>
      </c>
      <c r="R119" s="40">
        <f>+PSO_results!AD119</f>
        <v>0</v>
      </c>
      <c r="S119" s="40">
        <f>+PSO_results!AE119</f>
        <v>0</v>
      </c>
      <c r="T119" s="40">
        <f>+PSO_results!AF119</f>
        <v>0</v>
      </c>
      <c r="U119">
        <f>+GA_results!AB119</f>
        <v>0</v>
      </c>
      <c r="V119">
        <f>+GA_results!AC119</f>
        <v>0</v>
      </c>
      <c r="W119">
        <f>+GA_results!AD119</f>
        <v>0</v>
      </c>
      <c r="X119">
        <f>+GA_results!AE119</f>
        <v>0</v>
      </c>
      <c r="Y119">
        <f>+GA_results!AF119</f>
        <v>0</v>
      </c>
      <c r="Z119">
        <f>+DE_results!AB119</f>
        <v>0</v>
      </c>
      <c r="AA119">
        <f>+DE_results!AC119</f>
        <v>0</v>
      </c>
      <c r="AB119">
        <f>+DE_results!AD119</f>
        <v>0</v>
      </c>
      <c r="AC119">
        <f>+DE_results!AE119</f>
        <v>0</v>
      </c>
      <c r="AD119">
        <f>+DE_results!AF119</f>
        <v>0</v>
      </c>
      <c r="AE119">
        <f>+MTS_results!AB119</f>
        <v>0</v>
      </c>
      <c r="AF119">
        <f>+MTS_results!AC119</f>
        <v>0</v>
      </c>
      <c r="AG119">
        <f>+MTS_results!AD119</f>
        <v>0</v>
      </c>
      <c r="AH119">
        <f>+MTS_results!AE119</f>
        <v>0</v>
      </c>
      <c r="AI119">
        <f>+MTS_results!AF119</f>
        <v>0</v>
      </c>
      <c r="AJ119" t="e">
        <f>+#REF!</f>
        <v>#REF!</v>
      </c>
      <c r="AK119" s="84" t="e">
        <f t="shared" si="141"/>
        <v>#REF!</v>
      </c>
    </row>
    <row r="120" spans="1:37">
      <c r="A120">
        <v>57</v>
      </c>
      <c r="B120">
        <v>2</v>
      </c>
      <c r="C120">
        <f>+PSO_results!V120</f>
        <v>0</v>
      </c>
      <c r="D120" s="127" t="e">
        <f t="shared" si="202"/>
        <v>#REF!</v>
      </c>
      <c r="E120">
        <f>+GA_results!V120</f>
        <v>0</v>
      </c>
      <c r="F120" s="127" t="e">
        <f t="shared" si="203"/>
        <v>#REF!</v>
      </c>
      <c r="G120">
        <f>+DE_results!V120</f>
        <v>0</v>
      </c>
      <c r="H120" s="127" t="e">
        <f t="shared" ref="H120" si="244">+((G120-$M120)/$M120)*100</f>
        <v>#REF!</v>
      </c>
      <c r="I120">
        <f>+MTS_results!V120</f>
        <v>0</v>
      </c>
      <c r="J120" s="127" t="e">
        <f t="shared" ref="J120:L120" si="245">+((I120-$M120)/$M120)*100</f>
        <v>#REF!</v>
      </c>
      <c r="K120" t="e">
        <f>+#REF!</f>
        <v>#REF!</v>
      </c>
      <c r="L120" s="127" t="e">
        <f t="shared" si="245"/>
        <v>#REF!</v>
      </c>
      <c r="M120" s="128" t="e">
        <f t="shared" si="139"/>
        <v>#REF!</v>
      </c>
      <c r="N120" t="e">
        <f t="shared" si="140"/>
        <v>#REF!</v>
      </c>
      <c r="P120" s="40">
        <f>+PSO_results!AB120</f>
        <v>0</v>
      </c>
      <c r="Q120" s="40">
        <f>+PSO_results!AC120</f>
        <v>0</v>
      </c>
      <c r="R120" s="40">
        <f>+PSO_results!AD120</f>
        <v>0</v>
      </c>
      <c r="S120" s="40">
        <f>+PSO_results!AE120</f>
        <v>0</v>
      </c>
      <c r="T120" s="40">
        <f>+PSO_results!AF120</f>
        <v>0</v>
      </c>
      <c r="U120">
        <f>+GA_results!AB120</f>
        <v>0</v>
      </c>
      <c r="V120">
        <f>+GA_results!AC120</f>
        <v>0</v>
      </c>
      <c r="W120">
        <f>+GA_results!AD120</f>
        <v>0</v>
      </c>
      <c r="X120">
        <f>+GA_results!AE120</f>
        <v>0</v>
      </c>
      <c r="Y120">
        <f>+GA_results!AF120</f>
        <v>0</v>
      </c>
      <c r="Z120">
        <f>+DE_results!AB120</f>
        <v>0</v>
      </c>
      <c r="AA120">
        <f>+DE_results!AC120</f>
        <v>0</v>
      </c>
      <c r="AB120">
        <f>+DE_results!AD120</f>
        <v>0</v>
      </c>
      <c r="AC120">
        <f>+DE_results!AE120</f>
        <v>0</v>
      </c>
      <c r="AD120">
        <f>+DE_results!AF120</f>
        <v>0</v>
      </c>
      <c r="AE120">
        <f>+MTS_results!AB120</f>
        <v>0</v>
      </c>
      <c r="AF120">
        <f>+MTS_results!AC120</f>
        <v>0</v>
      </c>
      <c r="AG120">
        <f>+MTS_results!AD120</f>
        <v>0</v>
      </c>
      <c r="AH120">
        <f>+MTS_results!AE120</f>
        <v>0</v>
      </c>
      <c r="AI120">
        <f>+MTS_results!AF120</f>
        <v>0</v>
      </c>
      <c r="AJ120" t="e">
        <f>+#REF!</f>
        <v>#REF!</v>
      </c>
      <c r="AK120" s="84" t="e">
        <f t="shared" si="141"/>
        <v>#REF!</v>
      </c>
    </row>
    <row r="121" spans="1:37">
      <c r="A121">
        <v>58</v>
      </c>
      <c r="B121">
        <v>2</v>
      </c>
      <c r="C121">
        <f>+PSO_results!V121</f>
        <v>0</v>
      </c>
      <c r="D121" s="127" t="e">
        <f t="shared" si="202"/>
        <v>#REF!</v>
      </c>
      <c r="E121">
        <f>+GA_results!V121</f>
        <v>0</v>
      </c>
      <c r="F121" s="127" t="e">
        <f t="shared" si="203"/>
        <v>#REF!</v>
      </c>
      <c r="G121">
        <f>+DE_results!V121</f>
        <v>0</v>
      </c>
      <c r="H121" s="127" t="e">
        <f t="shared" ref="H121" si="246">+((G121-$M121)/$M121)*100</f>
        <v>#REF!</v>
      </c>
      <c r="I121">
        <f>+MTS_results!V121</f>
        <v>0</v>
      </c>
      <c r="J121" s="127" t="e">
        <f t="shared" ref="J121:L121" si="247">+((I121-$M121)/$M121)*100</f>
        <v>#REF!</v>
      </c>
      <c r="K121" t="e">
        <f>+#REF!</f>
        <v>#REF!</v>
      </c>
      <c r="L121" s="127" t="e">
        <f t="shared" si="247"/>
        <v>#REF!</v>
      </c>
      <c r="M121" s="128" t="e">
        <f t="shared" si="139"/>
        <v>#REF!</v>
      </c>
      <c r="N121" t="e">
        <f t="shared" si="140"/>
        <v>#REF!</v>
      </c>
      <c r="P121" s="40">
        <f>+PSO_results!AB121</f>
        <v>0</v>
      </c>
      <c r="Q121" s="40">
        <f>+PSO_results!AC121</f>
        <v>0</v>
      </c>
      <c r="R121" s="40">
        <f>+PSO_results!AD121</f>
        <v>0</v>
      </c>
      <c r="S121" s="40">
        <f>+PSO_results!AE121</f>
        <v>0</v>
      </c>
      <c r="T121" s="40">
        <f>+PSO_results!AF121</f>
        <v>0</v>
      </c>
      <c r="U121">
        <f>+GA_results!AB121</f>
        <v>0</v>
      </c>
      <c r="V121">
        <f>+GA_results!AC121</f>
        <v>0</v>
      </c>
      <c r="W121">
        <f>+GA_results!AD121</f>
        <v>0</v>
      </c>
      <c r="X121">
        <f>+GA_results!AE121</f>
        <v>0</v>
      </c>
      <c r="Y121">
        <f>+GA_results!AF121</f>
        <v>0</v>
      </c>
      <c r="Z121">
        <f>+DE_results!AB121</f>
        <v>0</v>
      </c>
      <c r="AA121">
        <f>+DE_results!AC121</f>
        <v>0</v>
      </c>
      <c r="AB121">
        <f>+DE_results!AD121</f>
        <v>0</v>
      </c>
      <c r="AC121">
        <f>+DE_results!AE121</f>
        <v>0</v>
      </c>
      <c r="AD121">
        <f>+DE_results!AF121</f>
        <v>0</v>
      </c>
      <c r="AE121">
        <f>+MTS_results!AB121</f>
        <v>0</v>
      </c>
      <c r="AF121">
        <f>+MTS_results!AC121</f>
        <v>0</v>
      </c>
      <c r="AG121">
        <f>+MTS_results!AD121</f>
        <v>0</v>
      </c>
      <c r="AH121">
        <f>+MTS_results!AE121</f>
        <v>0</v>
      </c>
      <c r="AI121">
        <f>+MTS_results!AF121</f>
        <v>0</v>
      </c>
      <c r="AJ121" t="e">
        <f>+#REF!</f>
        <v>#REF!</v>
      </c>
      <c r="AK121" s="84" t="e">
        <f t="shared" si="141"/>
        <v>#REF!</v>
      </c>
    </row>
    <row r="122" spans="1:37">
      <c r="A122">
        <v>59</v>
      </c>
      <c r="B122">
        <v>2</v>
      </c>
      <c r="C122">
        <f>+PSO_results!V122</f>
        <v>0</v>
      </c>
      <c r="D122" s="127" t="e">
        <f t="shared" si="202"/>
        <v>#REF!</v>
      </c>
      <c r="E122">
        <f>+GA_results!V122</f>
        <v>0</v>
      </c>
      <c r="F122" s="127" t="e">
        <f t="shared" si="203"/>
        <v>#REF!</v>
      </c>
      <c r="G122">
        <f>+DE_results!V122</f>
        <v>0</v>
      </c>
      <c r="H122" s="127" t="e">
        <f t="shared" ref="H122" si="248">+((G122-$M122)/$M122)*100</f>
        <v>#REF!</v>
      </c>
      <c r="I122">
        <f>+MTS_results!V122</f>
        <v>0</v>
      </c>
      <c r="J122" s="127" t="e">
        <f t="shared" ref="J122:L122" si="249">+((I122-$M122)/$M122)*100</f>
        <v>#REF!</v>
      </c>
      <c r="K122" t="e">
        <f>+#REF!</f>
        <v>#REF!</v>
      </c>
      <c r="L122" s="127" t="e">
        <f t="shared" si="249"/>
        <v>#REF!</v>
      </c>
      <c r="M122" s="128" t="e">
        <f t="shared" si="139"/>
        <v>#REF!</v>
      </c>
      <c r="N122" t="e">
        <f t="shared" si="140"/>
        <v>#REF!</v>
      </c>
      <c r="P122" s="40">
        <f>+PSO_results!AB122</f>
        <v>0</v>
      </c>
      <c r="Q122" s="40">
        <f>+PSO_results!AC122</f>
        <v>0</v>
      </c>
      <c r="R122" s="40">
        <f>+PSO_results!AD122</f>
        <v>0</v>
      </c>
      <c r="S122" s="40">
        <f>+PSO_results!AE122</f>
        <v>0</v>
      </c>
      <c r="T122" s="40">
        <f>+PSO_results!AF122</f>
        <v>0</v>
      </c>
      <c r="U122">
        <f>+GA_results!AB122</f>
        <v>0</v>
      </c>
      <c r="V122">
        <f>+GA_results!AC122</f>
        <v>0</v>
      </c>
      <c r="W122">
        <f>+GA_results!AD122</f>
        <v>0</v>
      </c>
      <c r="X122">
        <f>+GA_results!AE122</f>
        <v>0</v>
      </c>
      <c r="Y122">
        <f>+GA_results!AF122</f>
        <v>0</v>
      </c>
      <c r="Z122">
        <f>+DE_results!AB122</f>
        <v>0</v>
      </c>
      <c r="AA122">
        <f>+DE_results!AC122</f>
        <v>0</v>
      </c>
      <c r="AB122">
        <f>+DE_results!AD122</f>
        <v>0</v>
      </c>
      <c r="AC122">
        <f>+DE_results!AE122</f>
        <v>0</v>
      </c>
      <c r="AD122">
        <f>+DE_results!AF122</f>
        <v>0</v>
      </c>
      <c r="AE122">
        <f>+MTS_results!AB122</f>
        <v>0</v>
      </c>
      <c r="AF122">
        <f>+MTS_results!AC122</f>
        <v>0</v>
      </c>
      <c r="AG122">
        <f>+MTS_results!AD122</f>
        <v>0</v>
      </c>
      <c r="AH122">
        <f>+MTS_results!AE122</f>
        <v>0</v>
      </c>
      <c r="AI122">
        <f>+MTS_results!AF122</f>
        <v>0</v>
      </c>
      <c r="AJ122" t="e">
        <f>+#REF!</f>
        <v>#REF!</v>
      </c>
      <c r="AK122" s="84" t="e">
        <f t="shared" si="141"/>
        <v>#REF!</v>
      </c>
    </row>
    <row r="123" spans="1:37">
      <c r="A123">
        <v>60</v>
      </c>
      <c r="B123">
        <v>2</v>
      </c>
      <c r="C123">
        <f>+PSO_results!V123</f>
        <v>0</v>
      </c>
      <c r="D123" s="127" t="e">
        <f t="shared" si="202"/>
        <v>#REF!</v>
      </c>
      <c r="E123">
        <f>+GA_results!V123</f>
        <v>0</v>
      </c>
      <c r="F123" s="127" t="e">
        <f t="shared" si="203"/>
        <v>#REF!</v>
      </c>
      <c r="G123">
        <f>+DE_results!V123</f>
        <v>0</v>
      </c>
      <c r="H123" s="127" t="e">
        <f t="shared" ref="H123" si="250">+((G123-$M123)/$M123)*100</f>
        <v>#REF!</v>
      </c>
      <c r="I123">
        <f>+MTS_results!V123</f>
        <v>0</v>
      </c>
      <c r="J123" s="127" t="e">
        <f t="shared" ref="J123:L123" si="251">+((I123-$M123)/$M123)*100</f>
        <v>#REF!</v>
      </c>
      <c r="K123" t="e">
        <f>+#REF!</f>
        <v>#REF!</v>
      </c>
      <c r="L123" s="127" t="e">
        <f t="shared" si="251"/>
        <v>#REF!</v>
      </c>
      <c r="M123" s="128" t="e">
        <f t="shared" si="139"/>
        <v>#REF!</v>
      </c>
      <c r="N123" t="e">
        <f t="shared" si="140"/>
        <v>#REF!</v>
      </c>
      <c r="P123" s="40">
        <f>+PSO_results!AB123</f>
        <v>0</v>
      </c>
      <c r="Q123" s="40">
        <f>+PSO_results!AC123</f>
        <v>0</v>
      </c>
      <c r="R123" s="40">
        <f>+PSO_results!AD123</f>
        <v>0</v>
      </c>
      <c r="S123" s="40">
        <f>+PSO_results!AE123</f>
        <v>0</v>
      </c>
      <c r="T123" s="40">
        <f>+PSO_results!AF123</f>
        <v>0</v>
      </c>
      <c r="U123">
        <f>+GA_results!AB123</f>
        <v>0</v>
      </c>
      <c r="V123">
        <f>+GA_results!AC123</f>
        <v>0</v>
      </c>
      <c r="W123">
        <f>+GA_results!AD123</f>
        <v>0</v>
      </c>
      <c r="X123">
        <f>+GA_results!AE123</f>
        <v>0</v>
      </c>
      <c r="Y123">
        <f>+GA_results!AF123</f>
        <v>0</v>
      </c>
      <c r="Z123">
        <f>+DE_results!AB123</f>
        <v>0</v>
      </c>
      <c r="AA123">
        <f>+DE_results!AC123</f>
        <v>0</v>
      </c>
      <c r="AB123">
        <f>+DE_results!AD123</f>
        <v>0</v>
      </c>
      <c r="AC123">
        <f>+DE_results!AE123</f>
        <v>0</v>
      </c>
      <c r="AD123">
        <f>+DE_results!AF123</f>
        <v>0</v>
      </c>
      <c r="AE123">
        <f>+MTS_results!AB123</f>
        <v>0</v>
      </c>
      <c r="AF123">
        <f>+MTS_results!AC123</f>
        <v>0</v>
      </c>
      <c r="AG123">
        <f>+MTS_results!AD123</f>
        <v>0</v>
      </c>
      <c r="AH123">
        <f>+MTS_results!AE123</f>
        <v>0</v>
      </c>
      <c r="AI123">
        <f>+MTS_results!AF123</f>
        <v>0</v>
      </c>
      <c r="AJ123" t="e">
        <f>+#REF!</f>
        <v>#REF!</v>
      </c>
      <c r="AK123" s="84" t="e">
        <f t="shared" si="141"/>
        <v>#REF!</v>
      </c>
    </row>
    <row r="124" spans="1:37">
      <c r="A124">
        <v>61</v>
      </c>
      <c r="B124">
        <v>1</v>
      </c>
      <c r="C124">
        <f>+PSO_results!V124</f>
        <v>0</v>
      </c>
      <c r="D124" s="127" t="e">
        <f t="shared" si="202"/>
        <v>#REF!</v>
      </c>
      <c r="E124">
        <f>+GA_results!V124</f>
        <v>0</v>
      </c>
      <c r="F124" s="127" t="e">
        <f t="shared" si="203"/>
        <v>#REF!</v>
      </c>
      <c r="G124">
        <f>+DE_results!V124</f>
        <v>0</v>
      </c>
      <c r="H124" s="127" t="e">
        <f t="shared" ref="H124" si="252">+((G124-$M124)/$M124)*100</f>
        <v>#REF!</v>
      </c>
      <c r="I124">
        <f>+MTS_results!V124</f>
        <v>0</v>
      </c>
      <c r="J124" s="127" t="e">
        <f t="shared" ref="J124:L124" si="253">+((I124-$M124)/$M124)*100</f>
        <v>#REF!</v>
      </c>
      <c r="K124" t="e">
        <f>+#REF!</f>
        <v>#REF!</v>
      </c>
      <c r="L124" s="127" t="e">
        <f t="shared" si="253"/>
        <v>#REF!</v>
      </c>
      <c r="M124" s="128" t="e">
        <f t="shared" si="139"/>
        <v>#REF!</v>
      </c>
      <c r="N124" t="e">
        <f t="shared" si="140"/>
        <v>#REF!</v>
      </c>
      <c r="P124" s="40">
        <f>+PSO_results!AB124</f>
        <v>0</v>
      </c>
      <c r="Q124" s="40">
        <f>+PSO_results!AC124</f>
        <v>0</v>
      </c>
      <c r="R124" s="40">
        <f>+PSO_results!AD124</f>
        <v>0</v>
      </c>
      <c r="S124" s="40">
        <f>+PSO_results!AE124</f>
        <v>0</v>
      </c>
      <c r="T124" s="40">
        <f>+PSO_results!AF124</f>
        <v>0</v>
      </c>
      <c r="U124">
        <f>+GA_results!AB124</f>
        <v>0</v>
      </c>
      <c r="V124">
        <f>+GA_results!AC124</f>
        <v>0</v>
      </c>
      <c r="W124">
        <f>+GA_results!AD124</f>
        <v>0</v>
      </c>
      <c r="X124">
        <f>+GA_results!AE124</f>
        <v>0</v>
      </c>
      <c r="Y124">
        <f>+GA_results!AF124</f>
        <v>0</v>
      </c>
      <c r="Z124">
        <f>+DE_results!AB124</f>
        <v>0</v>
      </c>
      <c r="AA124">
        <f>+DE_results!AC124</f>
        <v>0</v>
      </c>
      <c r="AB124">
        <f>+DE_results!AD124</f>
        <v>0</v>
      </c>
      <c r="AC124">
        <f>+DE_results!AE124</f>
        <v>0</v>
      </c>
      <c r="AD124">
        <f>+DE_results!AF124</f>
        <v>0</v>
      </c>
      <c r="AE124">
        <f>+MTS_results!AB124</f>
        <v>0</v>
      </c>
      <c r="AF124">
        <f>+MTS_results!AC124</f>
        <v>0</v>
      </c>
      <c r="AG124">
        <f>+MTS_results!AD124</f>
        <v>0</v>
      </c>
      <c r="AH124">
        <f>+MTS_results!AE124</f>
        <v>0</v>
      </c>
      <c r="AI124">
        <f>+MTS_results!AF124</f>
        <v>0</v>
      </c>
      <c r="AJ124" t="e">
        <f>+#REF!</f>
        <v>#REF!</v>
      </c>
      <c r="AK124" s="84" t="e">
        <f t="shared" si="141"/>
        <v>#REF!</v>
      </c>
    </row>
    <row r="125" spans="1:37">
      <c r="A125">
        <v>62</v>
      </c>
      <c r="B125">
        <v>1</v>
      </c>
      <c r="C125">
        <f>+PSO_results!V125</f>
        <v>0</v>
      </c>
      <c r="D125" s="127" t="e">
        <f t="shared" si="202"/>
        <v>#REF!</v>
      </c>
      <c r="E125">
        <f>+GA_results!V125</f>
        <v>0</v>
      </c>
      <c r="F125" s="127" t="e">
        <f t="shared" si="203"/>
        <v>#REF!</v>
      </c>
      <c r="G125">
        <f>+DE_results!V125</f>
        <v>0</v>
      </c>
      <c r="H125" s="127" t="e">
        <f t="shared" ref="H125" si="254">+((G125-$M125)/$M125)*100</f>
        <v>#REF!</v>
      </c>
      <c r="I125">
        <f>+MTS_results!V125</f>
        <v>0</v>
      </c>
      <c r="J125" s="127" t="e">
        <f t="shared" ref="J125:L125" si="255">+((I125-$M125)/$M125)*100</f>
        <v>#REF!</v>
      </c>
      <c r="K125" t="e">
        <f>+#REF!</f>
        <v>#REF!</v>
      </c>
      <c r="L125" s="127" t="e">
        <f t="shared" si="255"/>
        <v>#REF!</v>
      </c>
      <c r="M125" s="128" t="e">
        <f t="shared" si="139"/>
        <v>#REF!</v>
      </c>
      <c r="N125" t="e">
        <f t="shared" si="140"/>
        <v>#REF!</v>
      </c>
      <c r="P125" s="40">
        <f>+PSO_results!AB125</f>
        <v>0</v>
      </c>
      <c r="Q125" s="40">
        <f>+PSO_results!AC125</f>
        <v>0</v>
      </c>
      <c r="R125" s="40">
        <f>+PSO_results!AD125</f>
        <v>0</v>
      </c>
      <c r="S125" s="40">
        <f>+PSO_results!AE125</f>
        <v>0</v>
      </c>
      <c r="T125" s="40">
        <f>+PSO_results!AF125</f>
        <v>0</v>
      </c>
      <c r="U125">
        <f>+GA_results!AB125</f>
        <v>0</v>
      </c>
      <c r="V125">
        <f>+GA_results!AC125</f>
        <v>0</v>
      </c>
      <c r="W125">
        <f>+GA_results!AD125</f>
        <v>0</v>
      </c>
      <c r="X125">
        <f>+GA_results!AE125</f>
        <v>0</v>
      </c>
      <c r="Y125">
        <f>+GA_results!AF125</f>
        <v>0</v>
      </c>
      <c r="Z125">
        <f>+DE_results!AB125</f>
        <v>0</v>
      </c>
      <c r="AA125">
        <f>+DE_results!AC125</f>
        <v>0</v>
      </c>
      <c r="AB125">
        <f>+DE_results!AD125</f>
        <v>0</v>
      </c>
      <c r="AC125">
        <f>+DE_results!AE125</f>
        <v>0</v>
      </c>
      <c r="AD125">
        <f>+DE_results!AF125</f>
        <v>0</v>
      </c>
      <c r="AE125">
        <f>+MTS_results!AB125</f>
        <v>0</v>
      </c>
      <c r="AF125">
        <f>+MTS_results!AC125</f>
        <v>0</v>
      </c>
      <c r="AG125">
        <f>+MTS_results!AD125</f>
        <v>0</v>
      </c>
      <c r="AH125">
        <f>+MTS_results!AE125</f>
        <v>0</v>
      </c>
      <c r="AI125">
        <f>+MTS_results!AF125</f>
        <v>0</v>
      </c>
      <c r="AJ125" t="e">
        <f>+#REF!</f>
        <v>#REF!</v>
      </c>
      <c r="AK125" s="84" t="e">
        <f t="shared" si="141"/>
        <v>#REF!</v>
      </c>
    </row>
    <row r="126" spans="1:37">
      <c r="A126">
        <v>63</v>
      </c>
      <c r="B126">
        <v>1</v>
      </c>
      <c r="C126">
        <f>+PSO_results!V126</f>
        <v>0</v>
      </c>
      <c r="D126" s="127" t="e">
        <f t="shared" si="202"/>
        <v>#REF!</v>
      </c>
      <c r="E126">
        <f>+GA_results!V126</f>
        <v>0</v>
      </c>
      <c r="F126" s="127" t="e">
        <f t="shared" si="203"/>
        <v>#REF!</v>
      </c>
      <c r="G126">
        <f>+DE_results!V126</f>
        <v>0</v>
      </c>
      <c r="H126" s="127" t="e">
        <f t="shared" ref="H126" si="256">+((G126-$M126)/$M126)*100</f>
        <v>#REF!</v>
      </c>
      <c r="I126">
        <f>+MTS_results!V126</f>
        <v>0</v>
      </c>
      <c r="J126" s="127" t="e">
        <f t="shared" ref="J126:L126" si="257">+((I126-$M126)/$M126)*100</f>
        <v>#REF!</v>
      </c>
      <c r="K126" t="e">
        <f>+#REF!</f>
        <v>#REF!</v>
      </c>
      <c r="L126" s="127" t="e">
        <f t="shared" si="257"/>
        <v>#REF!</v>
      </c>
      <c r="M126" s="128" t="e">
        <f t="shared" si="139"/>
        <v>#REF!</v>
      </c>
      <c r="N126" t="e">
        <f t="shared" si="140"/>
        <v>#REF!</v>
      </c>
      <c r="P126" s="40">
        <f>+PSO_results!AB126</f>
        <v>0</v>
      </c>
      <c r="Q126" s="40">
        <f>+PSO_results!AC126</f>
        <v>0</v>
      </c>
      <c r="R126" s="40">
        <f>+PSO_results!AD126</f>
        <v>0</v>
      </c>
      <c r="S126" s="40">
        <f>+PSO_results!AE126</f>
        <v>0</v>
      </c>
      <c r="T126" s="40">
        <f>+PSO_results!AF126</f>
        <v>0</v>
      </c>
      <c r="U126">
        <f>+GA_results!AB126</f>
        <v>0</v>
      </c>
      <c r="V126">
        <f>+GA_results!AC126</f>
        <v>0</v>
      </c>
      <c r="W126">
        <f>+GA_results!AD126</f>
        <v>0</v>
      </c>
      <c r="X126">
        <f>+GA_results!AE126</f>
        <v>0</v>
      </c>
      <c r="Y126">
        <f>+GA_results!AF126</f>
        <v>0</v>
      </c>
      <c r="Z126">
        <f>+DE_results!AB126</f>
        <v>0</v>
      </c>
      <c r="AA126">
        <f>+DE_results!AC126</f>
        <v>0</v>
      </c>
      <c r="AB126">
        <f>+DE_results!AD126</f>
        <v>0</v>
      </c>
      <c r="AC126">
        <f>+DE_results!AE126</f>
        <v>0</v>
      </c>
      <c r="AD126">
        <f>+DE_results!AF126</f>
        <v>0</v>
      </c>
      <c r="AE126">
        <f>+MTS_results!AB126</f>
        <v>0</v>
      </c>
      <c r="AF126">
        <f>+MTS_results!AC126</f>
        <v>0</v>
      </c>
      <c r="AG126">
        <f>+MTS_results!AD126</f>
        <v>0</v>
      </c>
      <c r="AH126">
        <f>+MTS_results!AE126</f>
        <v>0</v>
      </c>
      <c r="AI126">
        <f>+MTS_results!AF126</f>
        <v>0</v>
      </c>
      <c r="AJ126" t="e">
        <f>+#REF!</f>
        <v>#REF!</v>
      </c>
      <c r="AK126" s="84" t="e">
        <f t="shared" si="141"/>
        <v>#REF!</v>
      </c>
    </row>
    <row r="127" spans="1:37">
      <c r="A127">
        <v>64</v>
      </c>
      <c r="B127">
        <v>1</v>
      </c>
      <c r="C127">
        <f>+PSO_results!V127</f>
        <v>0</v>
      </c>
      <c r="D127" s="127" t="e">
        <f t="shared" si="202"/>
        <v>#REF!</v>
      </c>
      <c r="E127">
        <f>+GA_results!V127</f>
        <v>0</v>
      </c>
      <c r="F127" s="127" t="e">
        <f t="shared" si="203"/>
        <v>#REF!</v>
      </c>
      <c r="G127">
        <f>+DE_results!V127</f>
        <v>0</v>
      </c>
      <c r="H127" s="127" t="e">
        <f t="shared" ref="H127" si="258">+((G127-$M127)/$M127)*100</f>
        <v>#REF!</v>
      </c>
      <c r="I127">
        <f>+MTS_results!V127</f>
        <v>0</v>
      </c>
      <c r="J127" s="127" t="e">
        <f t="shared" ref="J127:L127" si="259">+((I127-$M127)/$M127)*100</f>
        <v>#REF!</v>
      </c>
      <c r="K127" t="e">
        <f>+#REF!</f>
        <v>#REF!</v>
      </c>
      <c r="L127" s="127" t="e">
        <f t="shared" si="259"/>
        <v>#REF!</v>
      </c>
      <c r="M127" s="128" t="e">
        <f t="shared" si="139"/>
        <v>#REF!</v>
      </c>
      <c r="N127" t="e">
        <f t="shared" si="140"/>
        <v>#REF!</v>
      </c>
      <c r="P127" s="40">
        <f>+PSO_results!AB127</f>
        <v>0</v>
      </c>
      <c r="Q127" s="40">
        <f>+PSO_results!AC127</f>
        <v>0</v>
      </c>
      <c r="R127" s="40">
        <f>+PSO_results!AD127</f>
        <v>0</v>
      </c>
      <c r="S127" s="40">
        <f>+PSO_results!AE127</f>
        <v>0</v>
      </c>
      <c r="T127" s="40">
        <f>+PSO_results!AF127</f>
        <v>0</v>
      </c>
      <c r="U127">
        <f>+GA_results!AB127</f>
        <v>0</v>
      </c>
      <c r="V127">
        <f>+GA_results!AC127</f>
        <v>0</v>
      </c>
      <c r="W127">
        <f>+GA_results!AD127</f>
        <v>0</v>
      </c>
      <c r="X127">
        <f>+GA_results!AE127</f>
        <v>0</v>
      </c>
      <c r="Y127">
        <f>+GA_results!AF127</f>
        <v>0</v>
      </c>
      <c r="Z127">
        <f>+DE_results!AB127</f>
        <v>0</v>
      </c>
      <c r="AA127">
        <f>+DE_results!AC127</f>
        <v>0</v>
      </c>
      <c r="AB127">
        <f>+DE_results!AD127</f>
        <v>0</v>
      </c>
      <c r="AC127">
        <f>+DE_results!AE127</f>
        <v>0</v>
      </c>
      <c r="AD127">
        <f>+DE_results!AF127</f>
        <v>0</v>
      </c>
      <c r="AE127">
        <f>+MTS_results!AB127</f>
        <v>0</v>
      </c>
      <c r="AF127">
        <f>+MTS_results!AC127</f>
        <v>0</v>
      </c>
      <c r="AG127">
        <f>+MTS_results!AD127</f>
        <v>0</v>
      </c>
      <c r="AH127">
        <f>+MTS_results!AE127</f>
        <v>0</v>
      </c>
      <c r="AI127">
        <f>+MTS_results!AF127</f>
        <v>0</v>
      </c>
      <c r="AJ127" t="e">
        <f>+#REF!</f>
        <v>#REF!</v>
      </c>
      <c r="AK127" s="84" t="e">
        <f t="shared" si="141"/>
        <v>#REF!</v>
      </c>
    </row>
    <row r="128" spans="1:37">
      <c r="A128">
        <v>65</v>
      </c>
      <c r="B128">
        <v>1</v>
      </c>
      <c r="C128">
        <f>+PSO_results!V128</f>
        <v>0</v>
      </c>
      <c r="D128" s="127" t="e">
        <f t="shared" si="202"/>
        <v>#REF!</v>
      </c>
      <c r="E128">
        <f>+GA_results!V128</f>
        <v>0</v>
      </c>
      <c r="F128" s="127" t="e">
        <f t="shared" si="203"/>
        <v>#REF!</v>
      </c>
      <c r="G128">
        <f>+DE_results!V128</f>
        <v>0</v>
      </c>
      <c r="H128" s="127" t="e">
        <f t="shared" ref="H128" si="260">+((G128-$M128)/$M128)*100</f>
        <v>#REF!</v>
      </c>
      <c r="I128">
        <f>+MTS_results!V128</f>
        <v>0</v>
      </c>
      <c r="J128" s="127" t="e">
        <f t="shared" ref="J128:L128" si="261">+((I128-$M128)/$M128)*100</f>
        <v>#REF!</v>
      </c>
      <c r="K128" t="e">
        <f>+#REF!</f>
        <v>#REF!</v>
      </c>
      <c r="L128" s="127" t="e">
        <f t="shared" si="261"/>
        <v>#REF!</v>
      </c>
      <c r="M128" s="128" t="e">
        <f t="shared" si="139"/>
        <v>#REF!</v>
      </c>
      <c r="N128" t="e">
        <f t="shared" si="140"/>
        <v>#REF!</v>
      </c>
      <c r="P128" s="40">
        <f>+PSO_results!AB128</f>
        <v>0</v>
      </c>
      <c r="Q128" s="40">
        <f>+PSO_results!AC128</f>
        <v>0</v>
      </c>
      <c r="R128" s="40">
        <f>+PSO_results!AD128</f>
        <v>0</v>
      </c>
      <c r="S128" s="40">
        <f>+PSO_results!AE128</f>
        <v>0</v>
      </c>
      <c r="T128" s="40">
        <f>+PSO_results!AF128</f>
        <v>0</v>
      </c>
      <c r="U128">
        <f>+GA_results!AB128</f>
        <v>0</v>
      </c>
      <c r="V128">
        <f>+GA_results!AC128</f>
        <v>0</v>
      </c>
      <c r="W128">
        <f>+GA_results!AD128</f>
        <v>0</v>
      </c>
      <c r="X128">
        <f>+GA_results!AE128</f>
        <v>0</v>
      </c>
      <c r="Y128">
        <f>+GA_results!AF128</f>
        <v>0</v>
      </c>
      <c r="Z128">
        <f>+DE_results!AB128</f>
        <v>0</v>
      </c>
      <c r="AA128">
        <f>+DE_results!AC128</f>
        <v>0</v>
      </c>
      <c r="AB128">
        <f>+DE_results!AD128</f>
        <v>0</v>
      </c>
      <c r="AC128">
        <f>+DE_results!AE128</f>
        <v>0</v>
      </c>
      <c r="AD128">
        <f>+DE_results!AF128</f>
        <v>0</v>
      </c>
      <c r="AE128">
        <f>+MTS_results!AB128</f>
        <v>0</v>
      </c>
      <c r="AF128">
        <f>+MTS_results!AC128</f>
        <v>0</v>
      </c>
      <c r="AG128">
        <f>+MTS_results!AD128</f>
        <v>0</v>
      </c>
      <c r="AH128">
        <f>+MTS_results!AE128</f>
        <v>0</v>
      </c>
      <c r="AI128">
        <f>+MTS_results!AF128</f>
        <v>0</v>
      </c>
      <c r="AJ128" t="e">
        <f>+#REF!</f>
        <v>#REF!</v>
      </c>
      <c r="AK128" s="84" t="e">
        <f t="shared" si="141"/>
        <v>#REF!</v>
      </c>
    </row>
    <row r="129" spans="1:37">
      <c r="A129">
        <v>66</v>
      </c>
      <c r="B129">
        <v>1</v>
      </c>
      <c r="C129">
        <f>+PSO_results!V129</f>
        <v>0</v>
      </c>
      <c r="D129" s="127" t="e">
        <f t="shared" si="202"/>
        <v>#REF!</v>
      </c>
      <c r="E129">
        <f>+GA_results!V129</f>
        <v>0</v>
      </c>
      <c r="F129" s="127" t="e">
        <f t="shared" si="203"/>
        <v>#REF!</v>
      </c>
      <c r="G129">
        <f>+DE_results!V129</f>
        <v>0</v>
      </c>
      <c r="H129" s="127" t="e">
        <f t="shared" ref="H129" si="262">+((G129-$M129)/$M129)*100</f>
        <v>#REF!</v>
      </c>
      <c r="I129">
        <f>+MTS_results!V129</f>
        <v>0</v>
      </c>
      <c r="J129" s="127" t="e">
        <f t="shared" ref="J129:L129" si="263">+((I129-$M129)/$M129)*100</f>
        <v>#REF!</v>
      </c>
      <c r="K129" t="e">
        <f>+#REF!</f>
        <v>#REF!</v>
      </c>
      <c r="L129" s="127" t="e">
        <f t="shared" si="263"/>
        <v>#REF!</v>
      </c>
      <c r="M129" s="128" t="e">
        <f t="shared" si="139"/>
        <v>#REF!</v>
      </c>
      <c r="N129" t="e">
        <f t="shared" si="140"/>
        <v>#REF!</v>
      </c>
      <c r="P129" s="40">
        <f>+PSO_results!AB129</f>
        <v>0</v>
      </c>
      <c r="Q129" s="40">
        <f>+PSO_results!AC129</f>
        <v>0</v>
      </c>
      <c r="R129" s="40">
        <f>+PSO_results!AD129</f>
        <v>0</v>
      </c>
      <c r="S129" s="40">
        <f>+PSO_results!AE129</f>
        <v>0</v>
      </c>
      <c r="T129" s="40">
        <f>+PSO_results!AF129</f>
        <v>0</v>
      </c>
      <c r="U129">
        <f>+GA_results!AB129</f>
        <v>0</v>
      </c>
      <c r="V129">
        <f>+GA_results!AC129</f>
        <v>0</v>
      </c>
      <c r="W129">
        <f>+GA_results!AD129</f>
        <v>0</v>
      </c>
      <c r="X129">
        <f>+GA_results!AE129</f>
        <v>0</v>
      </c>
      <c r="Y129">
        <f>+GA_results!AF129</f>
        <v>0</v>
      </c>
      <c r="Z129">
        <f>+DE_results!AB129</f>
        <v>0</v>
      </c>
      <c r="AA129">
        <f>+DE_results!AC129</f>
        <v>0</v>
      </c>
      <c r="AB129">
        <f>+DE_results!AD129</f>
        <v>0</v>
      </c>
      <c r="AC129">
        <f>+DE_results!AE129</f>
        <v>0</v>
      </c>
      <c r="AD129">
        <f>+DE_results!AF129</f>
        <v>0</v>
      </c>
      <c r="AE129">
        <f>+MTS_results!AB129</f>
        <v>0</v>
      </c>
      <c r="AF129">
        <f>+MTS_results!AC129</f>
        <v>0</v>
      </c>
      <c r="AG129">
        <f>+MTS_results!AD129</f>
        <v>0</v>
      </c>
      <c r="AH129">
        <f>+MTS_results!AE129</f>
        <v>0</v>
      </c>
      <c r="AI129">
        <f>+MTS_results!AF129</f>
        <v>0</v>
      </c>
      <c r="AJ129" t="e">
        <f>+#REF!</f>
        <v>#REF!</v>
      </c>
      <c r="AK129" s="84" t="e">
        <f t="shared" si="141"/>
        <v>#REF!</v>
      </c>
    </row>
    <row r="130" spans="1:37">
      <c r="A130">
        <v>67</v>
      </c>
      <c r="B130">
        <v>1</v>
      </c>
      <c r="C130">
        <f>+PSO_results!V130</f>
        <v>0</v>
      </c>
      <c r="D130" s="127" t="e">
        <f t="shared" si="202"/>
        <v>#REF!</v>
      </c>
      <c r="E130">
        <f>+GA_results!V130</f>
        <v>0</v>
      </c>
      <c r="F130" s="127" t="e">
        <f t="shared" si="203"/>
        <v>#REF!</v>
      </c>
      <c r="G130">
        <f>+DE_results!V130</f>
        <v>0</v>
      </c>
      <c r="H130" s="127" t="e">
        <f t="shared" ref="H130" si="264">+((G130-$M130)/$M130)*100</f>
        <v>#REF!</v>
      </c>
      <c r="I130">
        <f>+MTS_results!V130</f>
        <v>0</v>
      </c>
      <c r="J130" s="127" t="e">
        <f t="shared" ref="J130:L130" si="265">+((I130-$M130)/$M130)*100</f>
        <v>#REF!</v>
      </c>
      <c r="K130" t="e">
        <f>+#REF!</f>
        <v>#REF!</v>
      </c>
      <c r="L130" s="127" t="e">
        <f t="shared" si="265"/>
        <v>#REF!</v>
      </c>
      <c r="M130" s="128" t="e">
        <f t="shared" si="139"/>
        <v>#REF!</v>
      </c>
      <c r="N130" t="e">
        <f t="shared" si="140"/>
        <v>#REF!</v>
      </c>
      <c r="P130" s="40">
        <f>+PSO_results!AB130</f>
        <v>0</v>
      </c>
      <c r="Q130" s="40">
        <f>+PSO_results!AC130</f>
        <v>0</v>
      </c>
      <c r="R130" s="40">
        <f>+PSO_results!AD130</f>
        <v>0</v>
      </c>
      <c r="S130" s="40">
        <f>+PSO_results!AE130</f>
        <v>0</v>
      </c>
      <c r="T130" s="40">
        <f>+PSO_results!AF130</f>
        <v>0</v>
      </c>
      <c r="U130">
        <f>+GA_results!AB130</f>
        <v>0</v>
      </c>
      <c r="V130">
        <f>+GA_results!AC130</f>
        <v>0</v>
      </c>
      <c r="W130">
        <f>+GA_results!AD130</f>
        <v>0</v>
      </c>
      <c r="X130">
        <f>+GA_results!AE130</f>
        <v>0</v>
      </c>
      <c r="Y130">
        <f>+GA_results!AF130</f>
        <v>0</v>
      </c>
      <c r="Z130">
        <f>+DE_results!AB130</f>
        <v>0</v>
      </c>
      <c r="AA130">
        <f>+DE_results!AC130</f>
        <v>0</v>
      </c>
      <c r="AB130">
        <f>+DE_results!AD130</f>
        <v>0</v>
      </c>
      <c r="AC130">
        <f>+DE_results!AE130</f>
        <v>0</v>
      </c>
      <c r="AD130">
        <f>+DE_results!AF130</f>
        <v>0</v>
      </c>
      <c r="AE130">
        <f>+MTS_results!AB130</f>
        <v>0</v>
      </c>
      <c r="AF130">
        <f>+MTS_results!AC130</f>
        <v>0</v>
      </c>
      <c r="AG130">
        <f>+MTS_results!AD130</f>
        <v>0</v>
      </c>
      <c r="AH130">
        <f>+MTS_results!AE130</f>
        <v>0</v>
      </c>
      <c r="AI130">
        <f>+MTS_results!AF130</f>
        <v>0</v>
      </c>
      <c r="AJ130" t="e">
        <f>+#REF!</f>
        <v>#REF!</v>
      </c>
      <c r="AK130" s="84" t="e">
        <f t="shared" si="141"/>
        <v>#REF!</v>
      </c>
    </row>
    <row r="131" spans="1:37">
      <c r="A131">
        <v>68</v>
      </c>
      <c r="B131">
        <v>1</v>
      </c>
      <c r="C131">
        <f>+PSO_results!V131</f>
        <v>0</v>
      </c>
      <c r="D131" s="127" t="e">
        <f t="shared" si="202"/>
        <v>#REF!</v>
      </c>
      <c r="E131">
        <f>+GA_results!V131</f>
        <v>0</v>
      </c>
      <c r="F131" s="127" t="e">
        <f t="shared" si="203"/>
        <v>#REF!</v>
      </c>
      <c r="G131">
        <f>+DE_results!V131</f>
        <v>0</v>
      </c>
      <c r="H131" s="127" t="e">
        <f t="shared" ref="H131" si="266">+((G131-$M131)/$M131)*100</f>
        <v>#REF!</v>
      </c>
      <c r="I131">
        <f>+MTS_results!V131</f>
        <v>0</v>
      </c>
      <c r="J131" s="127" t="e">
        <f t="shared" ref="J131:L131" si="267">+((I131-$M131)/$M131)*100</f>
        <v>#REF!</v>
      </c>
      <c r="K131" t="e">
        <f>+#REF!</f>
        <v>#REF!</v>
      </c>
      <c r="L131" s="127" t="e">
        <f t="shared" si="267"/>
        <v>#REF!</v>
      </c>
      <c r="M131" s="128" t="e">
        <f t="shared" si="139"/>
        <v>#REF!</v>
      </c>
      <c r="N131" t="e">
        <f t="shared" si="140"/>
        <v>#REF!</v>
      </c>
      <c r="P131" s="40">
        <f>+PSO_results!AB131</f>
        <v>0</v>
      </c>
      <c r="Q131" s="40">
        <f>+PSO_results!AC131</f>
        <v>0</v>
      </c>
      <c r="R131" s="40">
        <f>+PSO_results!AD131</f>
        <v>0</v>
      </c>
      <c r="S131" s="40">
        <f>+PSO_results!AE131</f>
        <v>0</v>
      </c>
      <c r="T131" s="40">
        <f>+PSO_results!AF131</f>
        <v>0</v>
      </c>
      <c r="U131">
        <f>+GA_results!AB131</f>
        <v>0</v>
      </c>
      <c r="V131">
        <f>+GA_results!AC131</f>
        <v>0</v>
      </c>
      <c r="W131">
        <f>+GA_results!AD131</f>
        <v>0</v>
      </c>
      <c r="X131">
        <f>+GA_results!AE131</f>
        <v>0</v>
      </c>
      <c r="Y131">
        <f>+GA_results!AF131</f>
        <v>0</v>
      </c>
      <c r="Z131">
        <f>+DE_results!AB131</f>
        <v>0</v>
      </c>
      <c r="AA131">
        <f>+DE_results!AC131</f>
        <v>0</v>
      </c>
      <c r="AB131">
        <f>+DE_results!AD131</f>
        <v>0</v>
      </c>
      <c r="AC131">
        <f>+DE_results!AE131</f>
        <v>0</v>
      </c>
      <c r="AD131">
        <f>+DE_results!AF131</f>
        <v>0</v>
      </c>
      <c r="AE131">
        <f>+MTS_results!AB131</f>
        <v>0</v>
      </c>
      <c r="AF131">
        <f>+MTS_results!AC131</f>
        <v>0</v>
      </c>
      <c r="AG131">
        <f>+MTS_results!AD131</f>
        <v>0</v>
      </c>
      <c r="AH131">
        <f>+MTS_results!AE131</f>
        <v>0</v>
      </c>
      <c r="AI131">
        <f>+MTS_results!AF131</f>
        <v>0</v>
      </c>
      <c r="AJ131" t="e">
        <f>+#REF!</f>
        <v>#REF!</v>
      </c>
      <c r="AK131" s="84" t="e">
        <f t="shared" si="141"/>
        <v>#REF!</v>
      </c>
    </row>
    <row r="132" spans="1:37">
      <c r="A132">
        <v>69</v>
      </c>
      <c r="B132">
        <v>1</v>
      </c>
      <c r="C132">
        <f>+PSO_results!V132</f>
        <v>0</v>
      </c>
      <c r="D132" s="127" t="e">
        <f t="shared" ref="D132:D163" si="268">+((C132-$M132)/$M132)*100</f>
        <v>#REF!</v>
      </c>
      <c r="E132">
        <f>+GA_results!V132</f>
        <v>0</v>
      </c>
      <c r="F132" s="127" t="e">
        <f t="shared" ref="F132:F163" si="269">+((E132-$M132)/$M132)*100</f>
        <v>#REF!</v>
      </c>
      <c r="G132">
        <f>+DE_results!V132</f>
        <v>0</v>
      </c>
      <c r="H132" s="127" t="e">
        <f t="shared" ref="H132" si="270">+((G132-$M132)/$M132)*100</f>
        <v>#REF!</v>
      </c>
      <c r="I132">
        <f>+MTS_results!V132</f>
        <v>0</v>
      </c>
      <c r="J132" s="127" t="e">
        <f t="shared" ref="J132:L132" si="271">+((I132-$M132)/$M132)*100</f>
        <v>#REF!</v>
      </c>
      <c r="K132" t="e">
        <f>+#REF!</f>
        <v>#REF!</v>
      </c>
      <c r="L132" s="127" t="e">
        <f t="shared" si="271"/>
        <v>#REF!</v>
      </c>
      <c r="M132" s="128" t="e">
        <f t="shared" si="139"/>
        <v>#REF!</v>
      </c>
      <c r="N132" t="e">
        <f t="shared" si="140"/>
        <v>#REF!</v>
      </c>
      <c r="P132" s="40">
        <f>+PSO_results!AB132</f>
        <v>0</v>
      </c>
      <c r="Q132" s="40">
        <f>+PSO_results!AC132</f>
        <v>0</v>
      </c>
      <c r="R132" s="40">
        <f>+PSO_results!AD132</f>
        <v>0</v>
      </c>
      <c r="S132" s="40">
        <f>+PSO_results!AE132</f>
        <v>0</v>
      </c>
      <c r="T132" s="40">
        <f>+PSO_results!AF132</f>
        <v>0</v>
      </c>
      <c r="U132">
        <f>+GA_results!AB132</f>
        <v>0</v>
      </c>
      <c r="V132">
        <f>+GA_results!AC132</f>
        <v>0</v>
      </c>
      <c r="W132">
        <f>+GA_results!AD132</f>
        <v>0</v>
      </c>
      <c r="X132">
        <f>+GA_results!AE132</f>
        <v>0</v>
      </c>
      <c r="Y132">
        <f>+GA_results!AF132</f>
        <v>0</v>
      </c>
      <c r="Z132">
        <f>+DE_results!AB132</f>
        <v>0</v>
      </c>
      <c r="AA132">
        <f>+DE_results!AC132</f>
        <v>0</v>
      </c>
      <c r="AB132">
        <f>+DE_results!AD132</f>
        <v>0</v>
      </c>
      <c r="AC132">
        <f>+DE_results!AE132</f>
        <v>0</v>
      </c>
      <c r="AD132">
        <f>+DE_results!AF132</f>
        <v>0</v>
      </c>
      <c r="AE132">
        <f>+MTS_results!AB132</f>
        <v>0</v>
      </c>
      <c r="AF132">
        <f>+MTS_results!AC132</f>
        <v>0</v>
      </c>
      <c r="AG132">
        <f>+MTS_results!AD132</f>
        <v>0</v>
      </c>
      <c r="AH132">
        <f>+MTS_results!AE132</f>
        <v>0</v>
      </c>
      <c r="AI132">
        <f>+MTS_results!AF132</f>
        <v>0</v>
      </c>
      <c r="AJ132" t="e">
        <f>+#REF!</f>
        <v>#REF!</v>
      </c>
      <c r="AK132" s="84" t="e">
        <f t="shared" si="141"/>
        <v>#REF!</v>
      </c>
    </row>
    <row r="133" spans="1:37">
      <c r="A133">
        <v>70</v>
      </c>
      <c r="B133">
        <v>1</v>
      </c>
      <c r="C133">
        <f>+PSO_results!V133</f>
        <v>0</v>
      </c>
      <c r="D133" s="127" t="e">
        <f t="shared" si="268"/>
        <v>#REF!</v>
      </c>
      <c r="E133">
        <f>+GA_results!V133</f>
        <v>0</v>
      </c>
      <c r="F133" s="127" t="e">
        <f t="shared" si="269"/>
        <v>#REF!</v>
      </c>
      <c r="G133">
        <f>+DE_results!V133</f>
        <v>0</v>
      </c>
      <c r="H133" s="127" t="e">
        <f t="shared" ref="H133" si="272">+((G133-$M133)/$M133)*100</f>
        <v>#REF!</v>
      </c>
      <c r="I133">
        <f>+MTS_results!V133</f>
        <v>0</v>
      </c>
      <c r="J133" s="127" t="e">
        <f t="shared" ref="J133:L133" si="273">+((I133-$M133)/$M133)*100</f>
        <v>#REF!</v>
      </c>
      <c r="K133" t="e">
        <f>+#REF!</f>
        <v>#REF!</v>
      </c>
      <c r="L133" s="127" t="e">
        <f t="shared" si="273"/>
        <v>#REF!</v>
      </c>
      <c r="M133" s="128" t="e">
        <f t="shared" ref="M133:M163" si="274">+AK133</f>
        <v>#REF!</v>
      </c>
      <c r="N133" t="e">
        <f t="shared" ref="N133:N163" si="275">+MIN(C133,E133,G133,I133,K133)</f>
        <v>#REF!</v>
      </c>
      <c r="P133" s="40">
        <f>+PSO_results!AB133</f>
        <v>0</v>
      </c>
      <c r="Q133" s="40">
        <f>+PSO_results!AC133</f>
        <v>0</v>
      </c>
      <c r="R133" s="40">
        <f>+PSO_results!AD133</f>
        <v>0</v>
      </c>
      <c r="S133" s="40">
        <f>+PSO_results!AE133</f>
        <v>0</v>
      </c>
      <c r="T133" s="40">
        <f>+PSO_results!AF133</f>
        <v>0</v>
      </c>
      <c r="U133">
        <f>+GA_results!AB133</f>
        <v>0</v>
      </c>
      <c r="V133">
        <f>+GA_results!AC133</f>
        <v>0</v>
      </c>
      <c r="W133">
        <f>+GA_results!AD133</f>
        <v>0</v>
      </c>
      <c r="X133">
        <f>+GA_results!AE133</f>
        <v>0</v>
      </c>
      <c r="Y133">
        <f>+GA_results!AF133</f>
        <v>0</v>
      </c>
      <c r="Z133">
        <f>+DE_results!AB133</f>
        <v>0</v>
      </c>
      <c r="AA133">
        <f>+DE_results!AC133</f>
        <v>0</v>
      </c>
      <c r="AB133">
        <f>+DE_results!AD133</f>
        <v>0</v>
      </c>
      <c r="AC133">
        <f>+DE_results!AE133</f>
        <v>0</v>
      </c>
      <c r="AD133">
        <f>+DE_results!AF133</f>
        <v>0</v>
      </c>
      <c r="AE133">
        <f>+MTS_results!AB133</f>
        <v>0</v>
      </c>
      <c r="AF133">
        <f>+MTS_results!AC133</f>
        <v>0</v>
      </c>
      <c r="AG133">
        <f>+MTS_results!AD133</f>
        <v>0</v>
      </c>
      <c r="AH133">
        <f>+MTS_results!AE133</f>
        <v>0</v>
      </c>
      <c r="AI133">
        <f>+MTS_results!AF133</f>
        <v>0</v>
      </c>
      <c r="AJ133" t="e">
        <f>+#REF!</f>
        <v>#REF!</v>
      </c>
      <c r="AK133" s="84" t="e">
        <f t="shared" ref="AK133:AK163" si="276">+MIN(P133:AJ133)</f>
        <v>#REF!</v>
      </c>
    </row>
    <row r="134" spans="1:37">
      <c r="A134">
        <v>61</v>
      </c>
      <c r="B134">
        <v>2</v>
      </c>
      <c r="C134">
        <f>+PSO_results!V134</f>
        <v>0</v>
      </c>
      <c r="D134" s="127" t="e">
        <f t="shared" si="268"/>
        <v>#REF!</v>
      </c>
      <c r="E134">
        <f>+GA_results!V134</f>
        <v>0</v>
      </c>
      <c r="F134" s="127" t="e">
        <f t="shared" si="269"/>
        <v>#REF!</v>
      </c>
      <c r="G134">
        <f>+DE_results!V134</f>
        <v>0</v>
      </c>
      <c r="H134" s="127" t="e">
        <f t="shared" ref="H134" si="277">+((G134-$M134)/$M134)*100</f>
        <v>#REF!</v>
      </c>
      <c r="I134">
        <f>+MTS_results!V134</f>
        <v>0</v>
      </c>
      <c r="J134" s="127" t="e">
        <f t="shared" ref="J134:L134" si="278">+((I134-$M134)/$M134)*100</f>
        <v>#REF!</v>
      </c>
      <c r="K134" t="e">
        <f>+#REF!</f>
        <v>#REF!</v>
      </c>
      <c r="L134" s="127" t="e">
        <f t="shared" si="278"/>
        <v>#REF!</v>
      </c>
      <c r="M134" s="128" t="e">
        <f t="shared" si="274"/>
        <v>#REF!</v>
      </c>
      <c r="N134" t="e">
        <f t="shared" si="275"/>
        <v>#REF!</v>
      </c>
      <c r="P134" s="40">
        <f>+PSO_results!AB134</f>
        <v>0</v>
      </c>
      <c r="Q134" s="40">
        <f>+PSO_results!AC134</f>
        <v>0</v>
      </c>
      <c r="R134" s="40">
        <f>+PSO_results!AD134</f>
        <v>0</v>
      </c>
      <c r="S134" s="40">
        <f>+PSO_results!AE134</f>
        <v>0</v>
      </c>
      <c r="T134" s="40">
        <f>+PSO_results!AF134</f>
        <v>0</v>
      </c>
      <c r="U134">
        <f>+GA_results!AB134</f>
        <v>0</v>
      </c>
      <c r="V134">
        <f>+GA_results!AC134</f>
        <v>0</v>
      </c>
      <c r="W134">
        <f>+GA_results!AD134</f>
        <v>0</v>
      </c>
      <c r="X134">
        <f>+GA_results!AE134</f>
        <v>0</v>
      </c>
      <c r="Y134">
        <f>+GA_results!AF134</f>
        <v>0</v>
      </c>
      <c r="Z134">
        <f>+DE_results!AB134</f>
        <v>0</v>
      </c>
      <c r="AA134">
        <f>+DE_results!AC134</f>
        <v>0</v>
      </c>
      <c r="AB134">
        <f>+DE_results!AD134</f>
        <v>0</v>
      </c>
      <c r="AC134">
        <f>+DE_results!AE134</f>
        <v>0</v>
      </c>
      <c r="AD134">
        <f>+DE_results!AF134</f>
        <v>0</v>
      </c>
      <c r="AE134">
        <f>+MTS_results!AB134</f>
        <v>0</v>
      </c>
      <c r="AF134">
        <f>+MTS_results!AC134</f>
        <v>0</v>
      </c>
      <c r="AG134">
        <f>+MTS_results!AD134</f>
        <v>0</v>
      </c>
      <c r="AH134">
        <f>+MTS_results!AE134</f>
        <v>0</v>
      </c>
      <c r="AI134">
        <f>+MTS_results!AF134</f>
        <v>0</v>
      </c>
      <c r="AJ134" t="e">
        <f>+#REF!</f>
        <v>#REF!</v>
      </c>
      <c r="AK134" s="84" t="e">
        <f t="shared" si="276"/>
        <v>#REF!</v>
      </c>
    </row>
    <row r="135" spans="1:37">
      <c r="A135">
        <v>62</v>
      </c>
      <c r="B135">
        <v>2</v>
      </c>
      <c r="C135">
        <f>+PSO_results!V135</f>
        <v>0</v>
      </c>
      <c r="D135" s="127" t="e">
        <f t="shared" si="268"/>
        <v>#REF!</v>
      </c>
      <c r="E135">
        <f>+GA_results!V135</f>
        <v>0</v>
      </c>
      <c r="F135" s="127" t="e">
        <f t="shared" si="269"/>
        <v>#REF!</v>
      </c>
      <c r="G135">
        <f>+DE_results!V135</f>
        <v>0</v>
      </c>
      <c r="H135" s="127" t="e">
        <f t="shared" ref="H135" si="279">+((G135-$M135)/$M135)*100</f>
        <v>#REF!</v>
      </c>
      <c r="I135">
        <f>+MTS_results!V135</f>
        <v>0</v>
      </c>
      <c r="J135" s="127" t="e">
        <f t="shared" ref="J135:L135" si="280">+((I135-$M135)/$M135)*100</f>
        <v>#REF!</v>
      </c>
      <c r="K135" t="e">
        <f>+#REF!</f>
        <v>#REF!</v>
      </c>
      <c r="L135" s="127" t="e">
        <f t="shared" si="280"/>
        <v>#REF!</v>
      </c>
      <c r="M135" s="128" t="e">
        <f t="shared" si="274"/>
        <v>#REF!</v>
      </c>
      <c r="N135" t="e">
        <f t="shared" si="275"/>
        <v>#REF!</v>
      </c>
      <c r="P135" s="40">
        <f>+PSO_results!AB135</f>
        <v>0</v>
      </c>
      <c r="Q135" s="40">
        <f>+PSO_results!AC135</f>
        <v>0</v>
      </c>
      <c r="R135" s="40">
        <f>+PSO_results!AD135</f>
        <v>0</v>
      </c>
      <c r="S135" s="40">
        <f>+PSO_results!AE135</f>
        <v>0</v>
      </c>
      <c r="T135" s="40">
        <f>+PSO_results!AF135</f>
        <v>0</v>
      </c>
      <c r="U135">
        <f>+GA_results!AB135</f>
        <v>0</v>
      </c>
      <c r="V135">
        <f>+GA_results!AC135</f>
        <v>0</v>
      </c>
      <c r="W135">
        <f>+GA_results!AD135</f>
        <v>0</v>
      </c>
      <c r="X135">
        <f>+GA_results!AE135</f>
        <v>0</v>
      </c>
      <c r="Y135">
        <f>+GA_results!AF135</f>
        <v>0</v>
      </c>
      <c r="Z135">
        <f>+DE_results!AB135</f>
        <v>0</v>
      </c>
      <c r="AA135">
        <f>+DE_results!AC135</f>
        <v>0</v>
      </c>
      <c r="AB135">
        <f>+DE_results!AD135</f>
        <v>0</v>
      </c>
      <c r="AC135">
        <f>+DE_results!AE135</f>
        <v>0</v>
      </c>
      <c r="AD135">
        <f>+DE_results!AF135</f>
        <v>0</v>
      </c>
      <c r="AE135">
        <f>+MTS_results!AB135</f>
        <v>0</v>
      </c>
      <c r="AF135">
        <f>+MTS_results!AC135</f>
        <v>0</v>
      </c>
      <c r="AG135">
        <f>+MTS_results!AD135</f>
        <v>0</v>
      </c>
      <c r="AH135">
        <f>+MTS_results!AE135</f>
        <v>0</v>
      </c>
      <c r="AI135">
        <f>+MTS_results!AF135</f>
        <v>0</v>
      </c>
      <c r="AJ135" t="e">
        <f>+#REF!</f>
        <v>#REF!</v>
      </c>
      <c r="AK135" s="84" t="e">
        <f t="shared" si="276"/>
        <v>#REF!</v>
      </c>
    </row>
    <row r="136" spans="1:37">
      <c r="A136">
        <v>63</v>
      </c>
      <c r="B136">
        <v>2</v>
      </c>
      <c r="C136">
        <f>+PSO_results!V136</f>
        <v>0</v>
      </c>
      <c r="D136" s="127" t="e">
        <f t="shared" si="268"/>
        <v>#REF!</v>
      </c>
      <c r="E136">
        <f>+GA_results!V136</f>
        <v>0</v>
      </c>
      <c r="F136" s="127" t="e">
        <f t="shared" si="269"/>
        <v>#REF!</v>
      </c>
      <c r="G136">
        <f>+DE_results!V136</f>
        <v>0</v>
      </c>
      <c r="H136" s="127" t="e">
        <f t="shared" ref="H136" si="281">+((G136-$M136)/$M136)*100</f>
        <v>#REF!</v>
      </c>
      <c r="I136">
        <f>+MTS_results!V136</f>
        <v>0</v>
      </c>
      <c r="J136" s="127" t="e">
        <f t="shared" ref="J136:L136" si="282">+((I136-$M136)/$M136)*100</f>
        <v>#REF!</v>
      </c>
      <c r="K136" t="e">
        <f>+#REF!</f>
        <v>#REF!</v>
      </c>
      <c r="L136" s="127" t="e">
        <f t="shared" si="282"/>
        <v>#REF!</v>
      </c>
      <c r="M136" s="128" t="e">
        <f t="shared" si="274"/>
        <v>#REF!</v>
      </c>
      <c r="N136" t="e">
        <f t="shared" si="275"/>
        <v>#REF!</v>
      </c>
      <c r="P136" s="40">
        <f>+PSO_results!AB136</f>
        <v>0</v>
      </c>
      <c r="Q136" s="40">
        <f>+PSO_results!AC136</f>
        <v>0</v>
      </c>
      <c r="R136" s="40">
        <f>+PSO_results!AD136</f>
        <v>0</v>
      </c>
      <c r="S136" s="40">
        <f>+PSO_results!AE136</f>
        <v>0</v>
      </c>
      <c r="T136" s="40">
        <f>+PSO_results!AF136</f>
        <v>0</v>
      </c>
      <c r="U136">
        <f>+GA_results!AB136</f>
        <v>0</v>
      </c>
      <c r="V136">
        <f>+GA_results!AC136</f>
        <v>0</v>
      </c>
      <c r="W136">
        <f>+GA_results!AD136</f>
        <v>0</v>
      </c>
      <c r="X136">
        <f>+GA_results!AE136</f>
        <v>0</v>
      </c>
      <c r="Y136">
        <f>+GA_results!AF136</f>
        <v>0</v>
      </c>
      <c r="Z136">
        <f>+DE_results!AB136</f>
        <v>0</v>
      </c>
      <c r="AA136">
        <f>+DE_results!AC136</f>
        <v>0</v>
      </c>
      <c r="AB136">
        <f>+DE_results!AD136</f>
        <v>0</v>
      </c>
      <c r="AC136">
        <f>+DE_results!AE136</f>
        <v>0</v>
      </c>
      <c r="AD136">
        <f>+DE_results!AF136</f>
        <v>0</v>
      </c>
      <c r="AE136">
        <f>+MTS_results!AB136</f>
        <v>0</v>
      </c>
      <c r="AF136">
        <f>+MTS_results!AC136</f>
        <v>0</v>
      </c>
      <c r="AG136">
        <f>+MTS_results!AD136</f>
        <v>0</v>
      </c>
      <c r="AH136">
        <f>+MTS_results!AE136</f>
        <v>0</v>
      </c>
      <c r="AI136">
        <f>+MTS_results!AF136</f>
        <v>0</v>
      </c>
      <c r="AJ136" t="e">
        <f>+#REF!</f>
        <v>#REF!</v>
      </c>
      <c r="AK136" s="84" t="e">
        <f t="shared" si="276"/>
        <v>#REF!</v>
      </c>
    </row>
    <row r="137" spans="1:37">
      <c r="A137">
        <v>64</v>
      </c>
      <c r="B137">
        <v>2</v>
      </c>
      <c r="C137">
        <f>+PSO_results!V137</f>
        <v>0</v>
      </c>
      <c r="D137" s="127" t="e">
        <f t="shared" si="268"/>
        <v>#REF!</v>
      </c>
      <c r="E137">
        <f>+GA_results!V137</f>
        <v>0</v>
      </c>
      <c r="F137" s="127" t="e">
        <f t="shared" si="269"/>
        <v>#REF!</v>
      </c>
      <c r="G137">
        <f>+DE_results!V137</f>
        <v>0</v>
      </c>
      <c r="H137" s="127" t="e">
        <f t="shared" ref="H137" si="283">+((G137-$M137)/$M137)*100</f>
        <v>#REF!</v>
      </c>
      <c r="I137">
        <f>+MTS_results!V137</f>
        <v>0</v>
      </c>
      <c r="J137" s="127" t="e">
        <f t="shared" ref="J137:L137" si="284">+((I137-$M137)/$M137)*100</f>
        <v>#REF!</v>
      </c>
      <c r="K137" t="e">
        <f>+#REF!</f>
        <v>#REF!</v>
      </c>
      <c r="L137" s="127" t="e">
        <f t="shared" si="284"/>
        <v>#REF!</v>
      </c>
      <c r="M137" s="128" t="e">
        <f t="shared" si="274"/>
        <v>#REF!</v>
      </c>
      <c r="N137" t="e">
        <f t="shared" si="275"/>
        <v>#REF!</v>
      </c>
      <c r="P137" s="40">
        <f>+PSO_results!AB137</f>
        <v>0</v>
      </c>
      <c r="Q137" s="40">
        <f>+PSO_results!AC137</f>
        <v>0</v>
      </c>
      <c r="R137" s="40">
        <f>+PSO_results!AD137</f>
        <v>0</v>
      </c>
      <c r="S137" s="40">
        <f>+PSO_results!AE137</f>
        <v>0</v>
      </c>
      <c r="T137" s="40">
        <f>+PSO_results!AF137</f>
        <v>0</v>
      </c>
      <c r="U137">
        <f>+GA_results!AB137</f>
        <v>0</v>
      </c>
      <c r="V137">
        <f>+GA_results!AC137</f>
        <v>0</v>
      </c>
      <c r="W137">
        <f>+GA_results!AD137</f>
        <v>0</v>
      </c>
      <c r="X137">
        <f>+GA_results!AE137</f>
        <v>0</v>
      </c>
      <c r="Y137">
        <f>+GA_results!AF137</f>
        <v>0</v>
      </c>
      <c r="Z137">
        <f>+DE_results!AB137</f>
        <v>0</v>
      </c>
      <c r="AA137">
        <f>+DE_results!AC137</f>
        <v>0</v>
      </c>
      <c r="AB137">
        <f>+DE_results!AD137</f>
        <v>0</v>
      </c>
      <c r="AC137">
        <f>+DE_results!AE137</f>
        <v>0</v>
      </c>
      <c r="AD137">
        <f>+DE_results!AF137</f>
        <v>0</v>
      </c>
      <c r="AE137">
        <f>+MTS_results!AB137</f>
        <v>0</v>
      </c>
      <c r="AF137">
        <f>+MTS_results!AC137</f>
        <v>0</v>
      </c>
      <c r="AG137">
        <f>+MTS_results!AD137</f>
        <v>0</v>
      </c>
      <c r="AH137">
        <f>+MTS_results!AE137</f>
        <v>0</v>
      </c>
      <c r="AI137">
        <f>+MTS_results!AF137</f>
        <v>0</v>
      </c>
      <c r="AJ137" t="e">
        <f>+#REF!</f>
        <v>#REF!</v>
      </c>
      <c r="AK137" s="84" t="e">
        <f t="shared" si="276"/>
        <v>#REF!</v>
      </c>
    </row>
    <row r="138" spans="1:37">
      <c r="A138">
        <v>65</v>
      </c>
      <c r="B138">
        <v>2</v>
      </c>
      <c r="C138">
        <f>+PSO_results!V138</f>
        <v>0</v>
      </c>
      <c r="D138" s="127" t="e">
        <f t="shared" si="268"/>
        <v>#REF!</v>
      </c>
      <c r="E138">
        <f>+GA_results!V138</f>
        <v>0</v>
      </c>
      <c r="F138" s="127" t="e">
        <f t="shared" si="269"/>
        <v>#REF!</v>
      </c>
      <c r="G138">
        <f>+DE_results!V138</f>
        <v>0</v>
      </c>
      <c r="H138" s="127" t="e">
        <f t="shared" ref="H138" si="285">+((G138-$M138)/$M138)*100</f>
        <v>#REF!</v>
      </c>
      <c r="I138">
        <f>+MTS_results!V138</f>
        <v>0</v>
      </c>
      <c r="J138" s="127" t="e">
        <f t="shared" ref="J138:L138" si="286">+((I138-$M138)/$M138)*100</f>
        <v>#REF!</v>
      </c>
      <c r="K138" t="e">
        <f>+#REF!</f>
        <v>#REF!</v>
      </c>
      <c r="L138" s="127" t="e">
        <f t="shared" si="286"/>
        <v>#REF!</v>
      </c>
      <c r="M138" s="128" t="e">
        <f t="shared" si="274"/>
        <v>#REF!</v>
      </c>
      <c r="N138" t="e">
        <f t="shared" si="275"/>
        <v>#REF!</v>
      </c>
      <c r="P138" s="40">
        <f>+PSO_results!AB138</f>
        <v>0</v>
      </c>
      <c r="Q138" s="40">
        <f>+PSO_results!AC138</f>
        <v>0</v>
      </c>
      <c r="R138" s="40">
        <f>+PSO_results!AD138</f>
        <v>0</v>
      </c>
      <c r="S138" s="40">
        <f>+PSO_results!AE138</f>
        <v>0</v>
      </c>
      <c r="T138" s="40">
        <f>+PSO_results!AF138</f>
        <v>0</v>
      </c>
      <c r="U138">
        <f>+GA_results!AB138</f>
        <v>0</v>
      </c>
      <c r="V138">
        <f>+GA_results!AC138</f>
        <v>0</v>
      </c>
      <c r="W138">
        <f>+GA_results!AD138</f>
        <v>0</v>
      </c>
      <c r="X138">
        <f>+GA_results!AE138</f>
        <v>0</v>
      </c>
      <c r="Y138">
        <f>+GA_results!AF138</f>
        <v>0</v>
      </c>
      <c r="Z138">
        <f>+DE_results!AB138</f>
        <v>0</v>
      </c>
      <c r="AA138">
        <f>+DE_results!AC138</f>
        <v>0</v>
      </c>
      <c r="AB138">
        <f>+DE_results!AD138</f>
        <v>0</v>
      </c>
      <c r="AC138">
        <f>+DE_results!AE138</f>
        <v>0</v>
      </c>
      <c r="AD138">
        <f>+DE_results!AF138</f>
        <v>0</v>
      </c>
      <c r="AE138">
        <f>+MTS_results!AB138</f>
        <v>0</v>
      </c>
      <c r="AF138">
        <f>+MTS_results!AC138</f>
        <v>0</v>
      </c>
      <c r="AG138">
        <f>+MTS_results!AD138</f>
        <v>0</v>
      </c>
      <c r="AH138">
        <f>+MTS_results!AE138</f>
        <v>0</v>
      </c>
      <c r="AI138">
        <f>+MTS_results!AF138</f>
        <v>0</v>
      </c>
      <c r="AJ138" t="e">
        <f>+#REF!</f>
        <v>#REF!</v>
      </c>
      <c r="AK138" s="84" t="e">
        <f t="shared" si="276"/>
        <v>#REF!</v>
      </c>
    </row>
    <row r="139" spans="1:37">
      <c r="A139">
        <v>66</v>
      </c>
      <c r="B139">
        <v>2</v>
      </c>
      <c r="C139">
        <f>+PSO_results!V139</f>
        <v>0</v>
      </c>
      <c r="D139" s="127" t="e">
        <f t="shared" si="268"/>
        <v>#REF!</v>
      </c>
      <c r="E139">
        <f>+GA_results!V139</f>
        <v>0</v>
      </c>
      <c r="F139" s="127" t="e">
        <f t="shared" si="269"/>
        <v>#REF!</v>
      </c>
      <c r="G139">
        <f>+DE_results!V139</f>
        <v>0</v>
      </c>
      <c r="H139" s="127" t="e">
        <f t="shared" ref="H139" si="287">+((G139-$M139)/$M139)*100</f>
        <v>#REF!</v>
      </c>
      <c r="I139">
        <f>+MTS_results!V139</f>
        <v>0</v>
      </c>
      <c r="J139" s="127" t="e">
        <f t="shared" ref="J139:L139" si="288">+((I139-$M139)/$M139)*100</f>
        <v>#REF!</v>
      </c>
      <c r="K139" t="e">
        <f>+#REF!</f>
        <v>#REF!</v>
      </c>
      <c r="L139" s="127" t="e">
        <f t="shared" si="288"/>
        <v>#REF!</v>
      </c>
      <c r="M139" s="128" t="e">
        <f t="shared" si="274"/>
        <v>#REF!</v>
      </c>
      <c r="N139" t="e">
        <f t="shared" si="275"/>
        <v>#REF!</v>
      </c>
      <c r="P139" s="40">
        <f>+PSO_results!AB139</f>
        <v>0</v>
      </c>
      <c r="Q139" s="40">
        <f>+PSO_results!AC139</f>
        <v>0</v>
      </c>
      <c r="R139" s="40">
        <f>+PSO_results!AD139</f>
        <v>0</v>
      </c>
      <c r="S139" s="40">
        <f>+PSO_results!AE139</f>
        <v>0</v>
      </c>
      <c r="T139" s="40">
        <f>+PSO_results!AF139</f>
        <v>0</v>
      </c>
      <c r="U139">
        <f>+GA_results!AB139</f>
        <v>0</v>
      </c>
      <c r="V139">
        <f>+GA_results!AC139</f>
        <v>0</v>
      </c>
      <c r="W139">
        <f>+GA_results!AD139</f>
        <v>0</v>
      </c>
      <c r="X139">
        <f>+GA_results!AE139</f>
        <v>0</v>
      </c>
      <c r="Y139">
        <f>+GA_results!AF139</f>
        <v>0</v>
      </c>
      <c r="Z139">
        <f>+DE_results!AB139</f>
        <v>0</v>
      </c>
      <c r="AA139">
        <f>+DE_results!AC139</f>
        <v>0</v>
      </c>
      <c r="AB139">
        <f>+DE_results!AD139</f>
        <v>0</v>
      </c>
      <c r="AC139">
        <f>+DE_results!AE139</f>
        <v>0</v>
      </c>
      <c r="AD139">
        <f>+DE_results!AF139</f>
        <v>0</v>
      </c>
      <c r="AE139">
        <f>+MTS_results!AB139</f>
        <v>0</v>
      </c>
      <c r="AF139">
        <f>+MTS_results!AC139</f>
        <v>0</v>
      </c>
      <c r="AG139">
        <f>+MTS_results!AD139</f>
        <v>0</v>
      </c>
      <c r="AH139">
        <f>+MTS_results!AE139</f>
        <v>0</v>
      </c>
      <c r="AI139">
        <f>+MTS_results!AF139</f>
        <v>0</v>
      </c>
      <c r="AJ139" t="e">
        <f>+#REF!</f>
        <v>#REF!</v>
      </c>
      <c r="AK139" s="84" t="e">
        <f t="shared" si="276"/>
        <v>#REF!</v>
      </c>
    </row>
    <row r="140" spans="1:37">
      <c r="A140">
        <v>67</v>
      </c>
      <c r="B140">
        <v>2</v>
      </c>
      <c r="C140">
        <f>+PSO_results!V140</f>
        <v>0</v>
      </c>
      <c r="D140" s="127" t="e">
        <f t="shared" si="268"/>
        <v>#REF!</v>
      </c>
      <c r="E140">
        <f>+GA_results!V140</f>
        <v>0</v>
      </c>
      <c r="F140" s="127" t="e">
        <f t="shared" si="269"/>
        <v>#REF!</v>
      </c>
      <c r="G140">
        <f>+DE_results!V140</f>
        <v>0</v>
      </c>
      <c r="H140" s="127" t="e">
        <f t="shared" ref="H140" si="289">+((G140-$M140)/$M140)*100</f>
        <v>#REF!</v>
      </c>
      <c r="I140">
        <f>+MTS_results!V140</f>
        <v>0</v>
      </c>
      <c r="J140" s="127" t="e">
        <f t="shared" ref="J140:L140" si="290">+((I140-$M140)/$M140)*100</f>
        <v>#REF!</v>
      </c>
      <c r="K140" t="e">
        <f>+#REF!</f>
        <v>#REF!</v>
      </c>
      <c r="L140" s="127" t="e">
        <f t="shared" si="290"/>
        <v>#REF!</v>
      </c>
      <c r="M140" s="128" t="e">
        <f t="shared" si="274"/>
        <v>#REF!</v>
      </c>
      <c r="N140" t="e">
        <f t="shared" si="275"/>
        <v>#REF!</v>
      </c>
      <c r="P140" s="40">
        <f>+PSO_results!AB140</f>
        <v>0</v>
      </c>
      <c r="Q140" s="40">
        <f>+PSO_results!AC140</f>
        <v>0</v>
      </c>
      <c r="R140" s="40">
        <f>+PSO_results!AD140</f>
        <v>0</v>
      </c>
      <c r="S140" s="40">
        <f>+PSO_results!AE140</f>
        <v>0</v>
      </c>
      <c r="T140" s="40">
        <f>+PSO_results!AF140</f>
        <v>0</v>
      </c>
      <c r="U140">
        <f>+GA_results!AB140</f>
        <v>0</v>
      </c>
      <c r="V140">
        <f>+GA_results!AC140</f>
        <v>0</v>
      </c>
      <c r="W140">
        <f>+GA_results!AD140</f>
        <v>0</v>
      </c>
      <c r="X140">
        <f>+GA_results!AE140</f>
        <v>0</v>
      </c>
      <c r="Y140">
        <f>+GA_results!AF140</f>
        <v>0</v>
      </c>
      <c r="Z140">
        <f>+DE_results!AB140</f>
        <v>0</v>
      </c>
      <c r="AA140">
        <f>+DE_results!AC140</f>
        <v>0</v>
      </c>
      <c r="AB140">
        <f>+DE_results!AD140</f>
        <v>0</v>
      </c>
      <c r="AC140">
        <f>+DE_results!AE140</f>
        <v>0</v>
      </c>
      <c r="AD140">
        <f>+DE_results!AF140</f>
        <v>0</v>
      </c>
      <c r="AE140">
        <f>+MTS_results!AB140</f>
        <v>0</v>
      </c>
      <c r="AF140">
        <f>+MTS_results!AC140</f>
        <v>0</v>
      </c>
      <c r="AG140">
        <f>+MTS_results!AD140</f>
        <v>0</v>
      </c>
      <c r="AH140">
        <f>+MTS_results!AE140</f>
        <v>0</v>
      </c>
      <c r="AI140">
        <f>+MTS_results!AF140</f>
        <v>0</v>
      </c>
      <c r="AJ140" t="e">
        <f>+#REF!</f>
        <v>#REF!</v>
      </c>
      <c r="AK140" s="84" t="e">
        <f t="shared" si="276"/>
        <v>#REF!</v>
      </c>
    </row>
    <row r="141" spans="1:37">
      <c r="A141">
        <v>68</v>
      </c>
      <c r="B141">
        <v>2</v>
      </c>
      <c r="C141">
        <f>+PSO_results!V141</f>
        <v>0</v>
      </c>
      <c r="D141" s="127" t="e">
        <f t="shared" si="268"/>
        <v>#REF!</v>
      </c>
      <c r="E141">
        <f>+GA_results!V141</f>
        <v>0</v>
      </c>
      <c r="F141" s="127" t="e">
        <f t="shared" si="269"/>
        <v>#REF!</v>
      </c>
      <c r="G141">
        <f>+DE_results!V141</f>
        <v>0</v>
      </c>
      <c r="H141" s="127" t="e">
        <f t="shared" ref="H141" si="291">+((G141-$M141)/$M141)*100</f>
        <v>#REF!</v>
      </c>
      <c r="I141">
        <f>+MTS_results!V141</f>
        <v>0</v>
      </c>
      <c r="J141" s="127" t="e">
        <f t="shared" ref="J141:L141" si="292">+((I141-$M141)/$M141)*100</f>
        <v>#REF!</v>
      </c>
      <c r="K141" t="e">
        <f>+#REF!</f>
        <v>#REF!</v>
      </c>
      <c r="L141" s="127" t="e">
        <f t="shared" si="292"/>
        <v>#REF!</v>
      </c>
      <c r="M141" s="128" t="e">
        <f t="shared" si="274"/>
        <v>#REF!</v>
      </c>
      <c r="N141" t="e">
        <f t="shared" si="275"/>
        <v>#REF!</v>
      </c>
      <c r="P141" s="40">
        <f>+PSO_results!AB141</f>
        <v>0</v>
      </c>
      <c r="Q141" s="40">
        <f>+PSO_results!AC141</f>
        <v>0</v>
      </c>
      <c r="R141" s="40">
        <f>+PSO_results!AD141</f>
        <v>0</v>
      </c>
      <c r="S141" s="40">
        <f>+PSO_results!AE141</f>
        <v>0</v>
      </c>
      <c r="T141" s="40">
        <f>+PSO_results!AF141</f>
        <v>0</v>
      </c>
      <c r="U141">
        <f>+GA_results!AB141</f>
        <v>0</v>
      </c>
      <c r="V141">
        <f>+GA_results!AC141</f>
        <v>0</v>
      </c>
      <c r="W141">
        <f>+GA_results!AD141</f>
        <v>0</v>
      </c>
      <c r="X141">
        <f>+GA_results!AE141</f>
        <v>0</v>
      </c>
      <c r="Y141">
        <f>+GA_results!AF141</f>
        <v>0</v>
      </c>
      <c r="Z141">
        <f>+DE_results!AB141</f>
        <v>0</v>
      </c>
      <c r="AA141">
        <f>+DE_results!AC141</f>
        <v>0</v>
      </c>
      <c r="AB141">
        <f>+DE_results!AD141</f>
        <v>0</v>
      </c>
      <c r="AC141">
        <f>+DE_results!AE141</f>
        <v>0</v>
      </c>
      <c r="AD141">
        <f>+DE_results!AF141</f>
        <v>0</v>
      </c>
      <c r="AE141">
        <f>+MTS_results!AB141</f>
        <v>0</v>
      </c>
      <c r="AF141">
        <f>+MTS_results!AC141</f>
        <v>0</v>
      </c>
      <c r="AG141">
        <f>+MTS_results!AD141</f>
        <v>0</v>
      </c>
      <c r="AH141">
        <f>+MTS_results!AE141</f>
        <v>0</v>
      </c>
      <c r="AI141">
        <f>+MTS_results!AF141</f>
        <v>0</v>
      </c>
      <c r="AJ141" t="e">
        <f>+#REF!</f>
        <v>#REF!</v>
      </c>
      <c r="AK141" s="84" t="e">
        <f t="shared" si="276"/>
        <v>#REF!</v>
      </c>
    </row>
    <row r="142" spans="1:37">
      <c r="A142">
        <v>69</v>
      </c>
      <c r="B142">
        <v>2</v>
      </c>
      <c r="C142">
        <f>+PSO_results!V142</f>
        <v>0</v>
      </c>
      <c r="D142" s="127" t="e">
        <f t="shared" si="268"/>
        <v>#REF!</v>
      </c>
      <c r="E142">
        <f>+GA_results!V142</f>
        <v>0</v>
      </c>
      <c r="F142" s="127" t="e">
        <f t="shared" si="269"/>
        <v>#REF!</v>
      </c>
      <c r="G142">
        <f>+DE_results!V142</f>
        <v>0</v>
      </c>
      <c r="H142" s="127" t="e">
        <f t="shared" ref="H142" si="293">+((G142-$M142)/$M142)*100</f>
        <v>#REF!</v>
      </c>
      <c r="I142">
        <f>+MTS_results!V142</f>
        <v>0</v>
      </c>
      <c r="J142" s="127" t="e">
        <f t="shared" ref="J142:L142" si="294">+((I142-$M142)/$M142)*100</f>
        <v>#REF!</v>
      </c>
      <c r="K142" t="e">
        <f>+#REF!</f>
        <v>#REF!</v>
      </c>
      <c r="L142" s="127" t="e">
        <f t="shared" si="294"/>
        <v>#REF!</v>
      </c>
      <c r="M142" s="128" t="e">
        <f t="shared" si="274"/>
        <v>#REF!</v>
      </c>
      <c r="N142" t="e">
        <f t="shared" si="275"/>
        <v>#REF!</v>
      </c>
      <c r="P142" s="40">
        <f>+PSO_results!AB142</f>
        <v>0</v>
      </c>
      <c r="Q142" s="40">
        <f>+PSO_results!AC142</f>
        <v>0</v>
      </c>
      <c r="R142" s="40">
        <f>+PSO_results!AD142</f>
        <v>0</v>
      </c>
      <c r="S142" s="40">
        <f>+PSO_results!AE142</f>
        <v>0</v>
      </c>
      <c r="T142" s="40">
        <f>+PSO_results!AF142</f>
        <v>0</v>
      </c>
      <c r="U142">
        <f>+GA_results!AB142</f>
        <v>0</v>
      </c>
      <c r="V142">
        <f>+GA_results!AC142</f>
        <v>0</v>
      </c>
      <c r="W142">
        <f>+GA_results!AD142</f>
        <v>0</v>
      </c>
      <c r="X142">
        <f>+GA_results!AE142</f>
        <v>0</v>
      </c>
      <c r="Y142">
        <f>+GA_results!AF142</f>
        <v>0</v>
      </c>
      <c r="Z142">
        <f>+DE_results!AB142</f>
        <v>0</v>
      </c>
      <c r="AA142">
        <f>+DE_results!AC142</f>
        <v>0</v>
      </c>
      <c r="AB142">
        <f>+DE_results!AD142</f>
        <v>0</v>
      </c>
      <c r="AC142">
        <f>+DE_results!AE142</f>
        <v>0</v>
      </c>
      <c r="AD142">
        <f>+DE_results!AF142</f>
        <v>0</v>
      </c>
      <c r="AE142">
        <f>+MTS_results!AB142</f>
        <v>0</v>
      </c>
      <c r="AF142">
        <f>+MTS_results!AC142</f>
        <v>0</v>
      </c>
      <c r="AG142">
        <f>+MTS_results!AD142</f>
        <v>0</v>
      </c>
      <c r="AH142">
        <f>+MTS_results!AE142</f>
        <v>0</v>
      </c>
      <c r="AI142">
        <f>+MTS_results!AF142</f>
        <v>0</v>
      </c>
      <c r="AJ142" t="e">
        <f>+#REF!</f>
        <v>#REF!</v>
      </c>
      <c r="AK142" s="84" t="e">
        <f t="shared" si="276"/>
        <v>#REF!</v>
      </c>
    </row>
    <row r="143" spans="1:37">
      <c r="A143">
        <v>70</v>
      </c>
      <c r="B143">
        <v>2</v>
      </c>
      <c r="C143">
        <f>+PSO_results!V143</f>
        <v>0</v>
      </c>
      <c r="D143" s="127" t="e">
        <f t="shared" si="268"/>
        <v>#REF!</v>
      </c>
      <c r="E143">
        <f>+GA_results!V143</f>
        <v>0</v>
      </c>
      <c r="F143" s="127" t="e">
        <f t="shared" si="269"/>
        <v>#REF!</v>
      </c>
      <c r="G143">
        <f>+DE_results!V143</f>
        <v>0</v>
      </c>
      <c r="H143" s="127" t="e">
        <f t="shared" ref="H143" si="295">+((G143-$M143)/$M143)*100</f>
        <v>#REF!</v>
      </c>
      <c r="I143">
        <f>+MTS_results!V143</f>
        <v>0</v>
      </c>
      <c r="J143" s="127" t="e">
        <f t="shared" ref="J143:L143" si="296">+((I143-$M143)/$M143)*100</f>
        <v>#REF!</v>
      </c>
      <c r="K143" t="e">
        <f>+#REF!</f>
        <v>#REF!</v>
      </c>
      <c r="L143" s="127" t="e">
        <f t="shared" si="296"/>
        <v>#REF!</v>
      </c>
      <c r="M143" s="128" t="e">
        <f t="shared" si="274"/>
        <v>#REF!</v>
      </c>
      <c r="N143" t="e">
        <f t="shared" si="275"/>
        <v>#REF!</v>
      </c>
      <c r="P143" s="40">
        <f>+PSO_results!AB143</f>
        <v>0</v>
      </c>
      <c r="Q143" s="40">
        <f>+PSO_results!AC143</f>
        <v>0</v>
      </c>
      <c r="R143" s="40">
        <f>+PSO_results!AD143</f>
        <v>0</v>
      </c>
      <c r="S143" s="40">
        <f>+PSO_results!AE143</f>
        <v>0</v>
      </c>
      <c r="T143" s="40">
        <f>+PSO_results!AF143</f>
        <v>0</v>
      </c>
      <c r="U143">
        <f>+GA_results!AB143</f>
        <v>0</v>
      </c>
      <c r="V143">
        <f>+GA_results!AC143</f>
        <v>0</v>
      </c>
      <c r="W143">
        <f>+GA_results!AD143</f>
        <v>0</v>
      </c>
      <c r="X143">
        <f>+GA_results!AE143</f>
        <v>0</v>
      </c>
      <c r="Y143">
        <f>+GA_results!AF143</f>
        <v>0</v>
      </c>
      <c r="Z143">
        <f>+DE_results!AB143</f>
        <v>0</v>
      </c>
      <c r="AA143">
        <f>+DE_results!AC143</f>
        <v>0</v>
      </c>
      <c r="AB143">
        <f>+DE_results!AD143</f>
        <v>0</v>
      </c>
      <c r="AC143">
        <f>+DE_results!AE143</f>
        <v>0</v>
      </c>
      <c r="AD143">
        <f>+DE_results!AF143</f>
        <v>0</v>
      </c>
      <c r="AE143">
        <f>+MTS_results!AB143</f>
        <v>0</v>
      </c>
      <c r="AF143">
        <f>+MTS_results!AC143</f>
        <v>0</v>
      </c>
      <c r="AG143">
        <f>+MTS_results!AD143</f>
        <v>0</v>
      </c>
      <c r="AH143">
        <f>+MTS_results!AE143</f>
        <v>0</v>
      </c>
      <c r="AI143">
        <f>+MTS_results!AF143</f>
        <v>0</v>
      </c>
      <c r="AJ143" t="e">
        <f>+#REF!</f>
        <v>#REF!</v>
      </c>
      <c r="AK143" s="84" t="e">
        <f t="shared" si="276"/>
        <v>#REF!</v>
      </c>
    </row>
    <row r="144" spans="1:37">
      <c r="A144">
        <v>71</v>
      </c>
      <c r="B144">
        <v>1</v>
      </c>
      <c r="C144">
        <f>+PSO_results!V144</f>
        <v>0</v>
      </c>
      <c r="D144" s="127" t="e">
        <f t="shared" si="268"/>
        <v>#REF!</v>
      </c>
      <c r="E144">
        <f>+GA_results!V144</f>
        <v>0</v>
      </c>
      <c r="F144" s="127" t="e">
        <f t="shared" si="269"/>
        <v>#REF!</v>
      </c>
      <c r="G144">
        <f>+DE_results!V144</f>
        <v>0</v>
      </c>
      <c r="H144" s="127" t="e">
        <f t="shared" ref="H144" si="297">+((G144-$M144)/$M144)*100</f>
        <v>#REF!</v>
      </c>
      <c r="I144">
        <f>+MTS_results!V144</f>
        <v>0</v>
      </c>
      <c r="J144" s="127" t="e">
        <f t="shared" ref="J144:L144" si="298">+((I144-$M144)/$M144)*100</f>
        <v>#REF!</v>
      </c>
      <c r="K144" t="e">
        <f>+#REF!</f>
        <v>#REF!</v>
      </c>
      <c r="L144" s="127" t="e">
        <f t="shared" si="298"/>
        <v>#REF!</v>
      </c>
      <c r="M144" s="128" t="e">
        <f t="shared" si="274"/>
        <v>#REF!</v>
      </c>
      <c r="N144" t="e">
        <f t="shared" si="275"/>
        <v>#REF!</v>
      </c>
      <c r="P144" s="40">
        <f>+PSO_results!AB144</f>
        <v>0</v>
      </c>
      <c r="Q144" s="40">
        <f>+PSO_results!AC144</f>
        <v>0</v>
      </c>
      <c r="R144" s="40">
        <f>+PSO_results!AD144</f>
        <v>0</v>
      </c>
      <c r="S144" s="40">
        <f>+PSO_results!AE144</f>
        <v>0</v>
      </c>
      <c r="T144" s="40">
        <f>+PSO_results!AF144</f>
        <v>0</v>
      </c>
      <c r="U144">
        <f>+GA_results!AB144</f>
        <v>0</v>
      </c>
      <c r="V144">
        <f>+GA_results!AC144</f>
        <v>0</v>
      </c>
      <c r="W144">
        <f>+GA_results!AD144</f>
        <v>0</v>
      </c>
      <c r="X144">
        <f>+GA_results!AE144</f>
        <v>0</v>
      </c>
      <c r="Y144">
        <f>+GA_results!AF144</f>
        <v>0</v>
      </c>
      <c r="Z144">
        <f>+DE_results!AB144</f>
        <v>0</v>
      </c>
      <c r="AA144">
        <f>+DE_results!AC144</f>
        <v>0</v>
      </c>
      <c r="AB144">
        <f>+DE_results!AD144</f>
        <v>0</v>
      </c>
      <c r="AC144">
        <f>+DE_results!AE144</f>
        <v>0</v>
      </c>
      <c r="AD144">
        <f>+DE_results!AF144</f>
        <v>0</v>
      </c>
      <c r="AE144">
        <f>+MTS_results!AB144</f>
        <v>0</v>
      </c>
      <c r="AF144">
        <f>+MTS_results!AC144</f>
        <v>0</v>
      </c>
      <c r="AG144">
        <f>+MTS_results!AD144</f>
        <v>0</v>
      </c>
      <c r="AH144">
        <f>+MTS_results!AE144</f>
        <v>0</v>
      </c>
      <c r="AI144">
        <f>+MTS_results!AF144</f>
        <v>0</v>
      </c>
      <c r="AJ144" t="e">
        <f>+#REF!</f>
        <v>#REF!</v>
      </c>
      <c r="AK144" s="84" t="e">
        <f t="shared" si="276"/>
        <v>#REF!</v>
      </c>
    </row>
    <row r="145" spans="1:37">
      <c r="A145">
        <v>72</v>
      </c>
      <c r="B145">
        <v>1</v>
      </c>
      <c r="C145">
        <f>+PSO_results!V145</f>
        <v>0</v>
      </c>
      <c r="D145" s="127" t="e">
        <f t="shared" si="268"/>
        <v>#REF!</v>
      </c>
      <c r="E145">
        <f>+GA_results!V145</f>
        <v>0</v>
      </c>
      <c r="F145" s="127" t="e">
        <f t="shared" si="269"/>
        <v>#REF!</v>
      </c>
      <c r="G145">
        <f>+DE_results!V145</f>
        <v>0</v>
      </c>
      <c r="H145" s="127" t="e">
        <f t="shared" ref="H145" si="299">+((G145-$M145)/$M145)*100</f>
        <v>#REF!</v>
      </c>
      <c r="I145">
        <f>+MTS_results!V145</f>
        <v>0</v>
      </c>
      <c r="J145" s="127" t="e">
        <f t="shared" ref="J145:L145" si="300">+((I145-$M145)/$M145)*100</f>
        <v>#REF!</v>
      </c>
      <c r="K145" t="e">
        <f>+#REF!</f>
        <v>#REF!</v>
      </c>
      <c r="L145" s="127" t="e">
        <f t="shared" si="300"/>
        <v>#REF!</v>
      </c>
      <c r="M145" s="128" t="e">
        <f t="shared" si="274"/>
        <v>#REF!</v>
      </c>
      <c r="N145" t="e">
        <f t="shared" si="275"/>
        <v>#REF!</v>
      </c>
      <c r="P145" s="40">
        <f>+PSO_results!AB145</f>
        <v>0</v>
      </c>
      <c r="Q145" s="40">
        <f>+PSO_results!AC145</f>
        <v>0</v>
      </c>
      <c r="R145" s="40">
        <f>+PSO_results!AD145</f>
        <v>0</v>
      </c>
      <c r="S145" s="40">
        <f>+PSO_results!AE145</f>
        <v>0</v>
      </c>
      <c r="T145" s="40">
        <f>+PSO_results!AF145</f>
        <v>0</v>
      </c>
      <c r="U145">
        <f>+GA_results!AB145</f>
        <v>0</v>
      </c>
      <c r="V145">
        <f>+GA_results!AC145</f>
        <v>0</v>
      </c>
      <c r="W145">
        <f>+GA_results!AD145</f>
        <v>0</v>
      </c>
      <c r="X145">
        <f>+GA_results!AE145</f>
        <v>0</v>
      </c>
      <c r="Y145">
        <f>+GA_results!AF145</f>
        <v>0</v>
      </c>
      <c r="Z145">
        <f>+DE_results!AB145</f>
        <v>0</v>
      </c>
      <c r="AA145">
        <f>+DE_results!AC145</f>
        <v>0</v>
      </c>
      <c r="AB145">
        <f>+DE_results!AD145</f>
        <v>0</v>
      </c>
      <c r="AC145">
        <f>+DE_results!AE145</f>
        <v>0</v>
      </c>
      <c r="AD145">
        <f>+DE_results!AF145</f>
        <v>0</v>
      </c>
      <c r="AE145">
        <f>+MTS_results!AB145</f>
        <v>0</v>
      </c>
      <c r="AF145">
        <f>+MTS_results!AC145</f>
        <v>0</v>
      </c>
      <c r="AG145">
        <f>+MTS_results!AD145</f>
        <v>0</v>
      </c>
      <c r="AH145">
        <f>+MTS_results!AE145</f>
        <v>0</v>
      </c>
      <c r="AI145">
        <f>+MTS_results!AF145</f>
        <v>0</v>
      </c>
      <c r="AJ145" t="e">
        <f>+#REF!</f>
        <v>#REF!</v>
      </c>
      <c r="AK145" s="84" t="e">
        <f t="shared" si="276"/>
        <v>#REF!</v>
      </c>
    </row>
    <row r="146" spans="1:37">
      <c r="A146">
        <v>73</v>
      </c>
      <c r="B146">
        <v>1</v>
      </c>
      <c r="C146">
        <f>+PSO_results!V146</f>
        <v>0</v>
      </c>
      <c r="D146" s="127" t="e">
        <f t="shared" si="268"/>
        <v>#REF!</v>
      </c>
      <c r="E146">
        <f>+GA_results!V146</f>
        <v>0</v>
      </c>
      <c r="F146" s="127" t="e">
        <f t="shared" si="269"/>
        <v>#REF!</v>
      </c>
      <c r="G146">
        <f>+DE_results!V146</f>
        <v>0</v>
      </c>
      <c r="H146" s="127" t="e">
        <f t="shared" ref="H146" si="301">+((G146-$M146)/$M146)*100</f>
        <v>#REF!</v>
      </c>
      <c r="I146">
        <f>+MTS_results!V146</f>
        <v>0</v>
      </c>
      <c r="J146" s="127" t="e">
        <f t="shared" ref="J146:L146" si="302">+((I146-$M146)/$M146)*100</f>
        <v>#REF!</v>
      </c>
      <c r="K146" t="e">
        <f>+#REF!</f>
        <v>#REF!</v>
      </c>
      <c r="L146" s="127" t="e">
        <f t="shared" si="302"/>
        <v>#REF!</v>
      </c>
      <c r="M146" s="128" t="e">
        <f t="shared" si="274"/>
        <v>#REF!</v>
      </c>
      <c r="N146" t="e">
        <f t="shared" si="275"/>
        <v>#REF!</v>
      </c>
      <c r="P146" s="40">
        <f>+PSO_results!AB146</f>
        <v>0</v>
      </c>
      <c r="Q146" s="40">
        <f>+PSO_results!AC146</f>
        <v>0</v>
      </c>
      <c r="R146" s="40">
        <f>+PSO_results!AD146</f>
        <v>0</v>
      </c>
      <c r="S146" s="40">
        <f>+PSO_results!AE146</f>
        <v>0</v>
      </c>
      <c r="T146" s="40">
        <f>+PSO_results!AF146</f>
        <v>0</v>
      </c>
      <c r="U146">
        <f>+GA_results!AB146</f>
        <v>0</v>
      </c>
      <c r="V146">
        <f>+GA_results!AC146</f>
        <v>0</v>
      </c>
      <c r="W146">
        <f>+GA_results!AD146</f>
        <v>0</v>
      </c>
      <c r="X146">
        <f>+GA_results!AE146</f>
        <v>0</v>
      </c>
      <c r="Y146">
        <f>+GA_results!AF146</f>
        <v>0</v>
      </c>
      <c r="Z146">
        <f>+DE_results!AB146</f>
        <v>0</v>
      </c>
      <c r="AA146">
        <f>+DE_results!AC146</f>
        <v>0</v>
      </c>
      <c r="AB146">
        <f>+DE_results!AD146</f>
        <v>0</v>
      </c>
      <c r="AC146">
        <f>+DE_results!AE146</f>
        <v>0</v>
      </c>
      <c r="AD146">
        <f>+DE_results!AF146</f>
        <v>0</v>
      </c>
      <c r="AE146">
        <f>+MTS_results!AB146</f>
        <v>0</v>
      </c>
      <c r="AF146">
        <f>+MTS_results!AC146</f>
        <v>0</v>
      </c>
      <c r="AG146">
        <f>+MTS_results!AD146</f>
        <v>0</v>
      </c>
      <c r="AH146">
        <f>+MTS_results!AE146</f>
        <v>0</v>
      </c>
      <c r="AI146">
        <f>+MTS_results!AF146</f>
        <v>0</v>
      </c>
      <c r="AJ146" t="e">
        <f>+#REF!</f>
        <v>#REF!</v>
      </c>
      <c r="AK146" s="84" t="e">
        <f t="shared" si="276"/>
        <v>#REF!</v>
      </c>
    </row>
    <row r="147" spans="1:37">
      <c r="A147">
        <v>74</v>
      </c>
      <c r="B147">
        <v>1</v>
      </c>
      <c r="C147">
        <f>+PSO_results!V147</f>
        <v>0</v>
      </c>
      <c r="D147" s="127" t="e">
        <f t="shared" si="268"/>
        <v>#REF!</v>
      </c>
      <c r="E147">
        <f>+GA_results!V147</f>
        <v>0</v>
      </c>
      <c r="F147" s="127" t="e">
        <f t="shared" si="269"/>
        <v>#REF!</v>
      </c>
      <c r="G147">
        <f>+DE_results!V147</f>
        <v>0</v>
      </c>
      <c r="H147" s="127" t="e">
        <f t="shared" ref="H147" si="303">+((G147-$M147)/$M147)*100</f>
        <v>#REF!</v>
      </c>
      <c r="I147">
        <f>+MTS_results!V147</f>
        <v>0</v>
      </c>
      <c r="J147" s="127" t="e">
        <f t="shared" ref="J147:L147" si="304">+((I147-$M147)/$M147)*100</f>
        <v>#REF!</v>
      </c>
      <c r="K147" t="e">
        <f>+#REF!</f>
        <v>#REF!</v>
      </c>
      <c r="L147" s="127" t="e">
        <f t="shared" si="304"/>
        <v>#REF!</v>
      </c>
      <c r="M147" s="128" t="e">
        <f t="shared" si="274"/>
        <v>#REF!</v>
      </c>
      <c r="N147" t="e">
        <f t="shared" si="275"/>
        <v>#REF!</v>
      </c>
      <c r="P147" s="40">
        <f>+PSO_results!AB147</f>
        <v>0</v>
      </c>
      <c r="Q147" s="40">
        <f>+PSO_results!AC147</f>
        <v>0</v>
      </c>
      <c r="R147" s="40">
        <f>+PSO_results!AD147</f>
        <v>0</v>
      </c>
      <c r="S147" s="40">
        <f>+PSO_results!AE147</f>
        <v>0</v>
      </c>
      <c r="T147" s="40">
        <f>+PSO_results!AF147</f>
        <v>0</v>
      </c>
      <c r="U147">
        <f>+GA_results!AB147</f>
        <v>0</v>
      </c>
      <c r="V147">
        <f>+GA_results!AC147</f>
        <v>0</v>
      </c>
      <c r="W147">
        <f>+GA_results!AD147</f>
        <v>0</v>
      </c>
      <c r="X147">
        <f>+GA_results!AE147</f>
        <v>0</v>
      </c>
      <c r="Y147">
        <f>+GA_results!AF147</f>
        <v>0</v>
      </c>
      <c r="Z147">
        <f>+DE_results!AB147</f>
        <v>0</v>
      </c>
      <c r="AA147">
        <f>+DE_results!AC147</f>
        <v>0</v>
      </c>
      <c r="AB147">
        <f>+DE_results!AD147</f>
        <v>0</v>
      </c>
      <c r="AC147">
        <f>+DE_results!AE147</f>
        <v>0</v>
      </c>
      <c r="AD147">
        <f>+DE_results!AF147</f>
        <v>0</v>
      </c>
      <c r="AE147">
        <f>+MTS_results!AB147</f>
        <v>0</v>
      </c>
      <c r="AF147">
        <f>+MTS_results!AC147</f>
        <v>0</v>
      </c>
      <c r="AG147">
        <f>+MTS_results!AD147</f>
        <v>0</v>
      </c>
      <c r="AH147">
        <f>+MTS_results!AE147</f>
        <v>0</v>
      </c>
      <c r="AI147">
        <f>+MTS_results!AF147</f>
        <v>0</v>
      </c>
      <c r="AJ147" t="e">
        <f>+#REF!</f>
        <v>#REF!</v>
      </c>
      <c r="AK147" s="84" t="e">
        <f t="shared" si="276"/>
        <v>#REF!</v>
      </c>
    </row>
    <row r="148" spans="1:37">
      <c r="A148">
        <v>75</v>
      </c>
      <c r="B148">
        <v>1</v>
      </c>
      <c r="C148">
        <f>+PSO_results!V148</f>
        <v>0</v>
      </c>
      <c r="D148" s="127" t="e">
        <f t="shared" si="268"/>
        <v>#REF!</v>
      </c>
      <c r="E148">
        <f>+GA_results!V148</f>
        <v>0</v>
      </c>
      <c r="F148" s="127" t="e">
        <f t="shared" si="269"/>
        <v>#REF!</v>
      </c>
      <c r="G148">
        <f>+DE_results!V148</f>
        <v>0</v>
      </c>
      <c r="H148" s="127" t="e">
        <f t="shared" ref="H148" si="305">+((G148-$M148)/$M148)*100</f>
        <v>#REF!</v>
      </c>
      <c r="I148">
        <f>+MTS_results!V148</f>
        <v>0</v>
      </c>
      <c r="J148" s="127" t="e">
        <f t="shared" ref="J148:L148" si="306">+((I148-$M148)/$M148)*100</f>
        <v>#REF!</v>
      </c>
      <c r="K148" t="e">
        <f>+#REF!</f>
        <v>#REF!</v>
      </c>
      <c r="L148" s="127" t="e">
        <f t="shared" si="306"/>
        <v>#REF!</v>
      </c>
      <c r="M148" s="128" t="e">
        <f t="shared" si="274"/>
        <v>#REF!</v>
      </c>
      <c r="N148" t="e">
        <f t="shared" si="275"/>
        <v>#REF!</v>
      </c>
      <c r="P148" s="40">
        <f>+PSO_results!AB148</f>
        <v>0</v>
      </c>
      <c r="Q148" s="40">
        <f>+PSO_results!AC148</f>
        <v>0</v>
      </c>
      <c r="R148" s="40">
        <f>+PSO_results!AD148</f>
        <v>0</v>
      </c>
      <c r="S148" s="40">
        <f>+PSO_results!AE148</f>
        <v>0</v>
      </c>
      <c r="T148" s="40">
        <f>+PSO_results!AF148</f>
        <v>0</v>
      </c>
      <c r="U148">
        <f>+GA_results!AB148</f>
        <v>0</v>
      </c>
      <c r="V148">
        <f>+GA_results!AC148</f>
        <v>0</v>
      </c>
      <c r="W148">
        <f>+GA_results!AD148</f>
        <v>0</v>
      </c>
      <c r="X148">
        <f>+GA_results!AE148</f>
        <v>0</v>
      </c>
      <c r="Y148">
        <f>+GA_results!AF148</f>
        <v>0</v>
      </c>
      <c r="Z148">
        <f>+DE_results!AB148</f>
        <v>0</v>
      </c>
      <c r="AA148">
        <f>+DE_results!AC148</f>
        <v>0</v>
      </c>
      <c r="AB148">
        <f>+DE_results!AD148</f>
        <v>0</v>
      </c>
      <c r="AC148">
        <f>+DE_results!AE148</f>
        <v>0</v>
      </c>
      <c r="AD148">
        <f>+DE_results!AF148</f>
        <v>0</v>
      </c>
      <c r="AE148">
        <f>+MTS_results!AB148</f>
        <v>0</v>
      </c>
      <c r="AF148">
        <f>+MTS_results!AC148</f>
        <v>0</v>
      </c>
      <c r="AG148">
        <f>+MTS_results!AD148</f>
        <v>0</v>
      </c>
      <c r="AH148">
        <f>+MTS_results!AE148</f>
        <v>0</v>
      </c>
      <c r="AI148">
        <f>+MTS_results!AF148</f>
        <v>0</v>
      </c>
      <c r="AJ148" t="e">
        <f>+#REF!</f>
        <v>#REF!</v>
      </c>
      <c r="AK148" s="84" t="e">
        <f t="shared" si="276"/>
        <v>#REF!</v>
      </c>
    </row>
    <row r="149" spans="1:37">
      <c r="A149">
        <v>76</v>
      </c>
      <c r="B149">
        <v>1</v>
      </c>
      <c r="C149">
        <f>+PSO_results!V149</f>
        <v>0</v>
      </c>
      <c r="D149" s="127" t="e">
        <f t="shared" si="268"/>
        <v>#REF!</v>
      </c>
      <c r="E149">
        <f>+GA_results!V149</f>
        <v>0</v>
      </c>
      <c r="F149" s="127" t="e">
        <f t="shared" si="269"/>
        <v>#REF!</v>
      </c>
      <c r="G149">
        <f>+DE_results!V149</f>
        <v>0</v>
      </c>
      <c r="H149" s="127" t="e">
        <f t="shared" ref="H149" si="307">+((G149-$M149)/$M149)*100</f>
        <v>#REF!</v>
      </c>
      <c r="I149">
        <f>+MTS_results!V149</f>
        <v>0</v>
      </c>
      <c r="J149" s="127" t="e">
        <f t="shared" ref="J149:L149" si="308">+((I149-$M149)/$M149)*100</f>
        <v>#REF!</v>
      </c>
      <c r="K149" t="e">
        <f>+#REF!</f>
        <v>#REF!</v>
      </c>
      <c r="L149" s="127" t="e">
        <f t="shared" si="308"/>
        <v>#REF!</v>
      </c>
      <c r="M149" s="128" t="e">
        <f t="shared" si="274"/>
        <v>#REF!</v>
      </c>
      <c r="N149" t="e">
        <f t="shared" si="275"/>
        <v>#REF!</v>
      </c>
      <c r="P149" s="40">
        <f>+PSO_results!AB149</f>
        <v>0</v>
      </c>
      <c r="Q149" s="40">
        <f>+PSO_results!AC149</f>
        <v>0</v>
      </c>
      <c r="R149" s="40">
        <f>+PSO_results!AD149</f>
        <v>0</v>
      </c>
      <c r="S149" s="40">
        <f>+PSO_results!AE149</f>
        <v>0</v>
      </c>
      <c r="T149" s="40">
        <f>+PSO_results!AF149</f>
        <v>0</v>
      </c>
      <c r="U149">
        <f>+GA_results!AB149</f>
        <v>0</v>
      </c>
      <c r="V149">
        <f>+GA_results!AC149</f>
        <v>0</v>
      </c>
      <c r="W149">
        <f>+GA_results!AD149</f>
        <v>0</v>
      </c>
      <c r="X149">
        <f>+GA_results!AE149</f>
        <v>0</v>
      </c>
      <c r="Y149">
        <f>+GA_results!AF149</f>
        <v>0</v>
      </c>
      <c r="Z149">
        <f>+DE_results!AB149</f>
        <v>0</v>
      </c>
      <c r="AA149">
        <f>+DE_results!AC149</f>
        <v>0</v>
      </c>
      <c r="AB149">
        <f>+DE_results!AD149</f>
        <v>0</v>
      </c>
      <c r="AC149">
        <f>+DE_results!AE149</f>
        <v>0</v>
      </c>
      <c r="AD149">
        <f>+DE_results!AF149</f>
        <v>0</v>
      </c>
      <c r="AE149">
        <f>+MTS_results!AB149</f>
        <v>0</v>
      </c>
      <c r="AF149">
        <f>+MTS_results!AC149</f>
        <v>0</v>
      </c>
      <c r="AG149">
        <f>+MTS_results!AD149</f>
        <v>0</v>
      </c>
      <c r="AH149">
        <f>+MTS_results!AE149</f>
        <v>0</v>
      </c>
      <c r="AI149">
        <f>+MTS_results!AF149</f>
        <v>0</v>
      </c>
      <c r="AJ149" t="e">
        <f>+#REF!</f>
        <v>#REF!</v>
      </c>
      <c r="AK149" s="84" t="e">
        <f t="shared" si="276"/>
        <v>#REF!</v>
      </c>
    </row>
    <row r="150" spans="1:37">
      <c r="A150">
        <v>77</v>
      </c>
      <c r="B150">
        <v>1</v>
      </c>
      <c r="C150">
        <f>+PSO_results!V150</f>
        <v>0</v>
      </c>
      <c r="D150" s="127" t="e">
        <f t="shared" si="268"/>
        <v>#REF!</v>
      </c>
      <c r="E150">
        <f>+GA_results!V150</f>
        <v>0</v>
      </c>
      <c r="F150" s="127" t="e">
        <f t="shared" si="269"/>
        <v>#REF!</v>
      </c>
      <c r="G150">
        <f>+DE_results!V150</f>
        <v>0</v>
      </c>
      <c r="H150" s="127" t="e">
        <f t="shared" ref="H150" si="309">+((G150-$M150)/$M150)*100</f>
        <v>#REF!</v>
      </c>
      <c r="I150">
        <f>+MTS_results!V150</f>
        <v>0</v>
      </c>
      <c r="J150" s="127" t="e">
        <f t="shared" ref="J150:L150" si="310">+((I150-$M150)/$M150)*100</f>
        <v>#REF!</v>
      </c>
      <c r="K150" t="e">
        <f>+#REF!</f>
        <v>#REF!</v>
      </c>
      <c r="L150" s="127" t="e">
        <f t="shared" si="310"/>
        <v>#REF!</v>
      </c>
      <c r="M150" s="128" t="e">
        <f t="shared" si="274"/>
        <v>#REF!</v>
      </c>
      <c r="N150" t="e">
        <f t="shared" si="275"/>
        <v>#REF!</v>
      </c>
      <c r="P150" s="40">
        <f>+PSO_results!AB150</f>
        <v>0</v>
      </c>
      <c r="Q150" s="40">
        <f>+PSO_results!AC150</f>
        <v>0</v>
      </c>
      <c r="R150" s="40">
        <f>+PSO_results!AD150</f>
        <v>0</v>
      </c>
      <c r="S150" s="40">
        <f>+PSO_results!AE150</f>
        <v>0</v>
      </c>
      <c r="T150" s="40">
        <f>+PSO_results!AF150</f>
        <v>0</v>
      </c>
      <c r="U150">
        <f>+GA_results!AB150</f>
        <v>0</v>
      </c>
      <c r="V150">
        <f>+GA_results!AC150</f>
        <v>0</v>
      </c>
      <c r="W150">
        <f>+GA_results!AD150</f>
        <v>0</v>
      </c>
      <c r="X150">
        <f>+GA_results!AE150</f>
        <v>0</v>
      </c>
      <c r="Y150">
        <f>+GA_results!AF150</f>
        <v>0</v>
      </c>
      <c r="Z150">
        <f>+DE_results!AB150</f>
        <v>0</v>
      </c>
      <c r="AA150">
        <f>+DE_results!AC150</f>
        <v>0</v>
      </c>
      <c r="AB150">
        <f>+DE_results!AD150</f>
        <v>0</v>
      </c>
      <c r="AC150">
        <f>+DE_results!AE150</f>
        <v>0</v>
      </c>
      <c r="AD150">
        <f>+DE_results!AF150</f>
        <v>0</v>
      </c>
      <c r="AE150">
        <f>+MTS_results!AB150</f>
        <v>0</v>
      </c>
      <c r="AF150">
        <f>+MTS_results!AC150</f>
        <v>0</v>
      </c>
      <c r="AG150">
        <f>+MTS_results!AD150</f>
        <v>0</v>
      </c>
      <c r="AH150">
        <f>+MTS_results!AE150</f>
        <v>0</v>
      </c>
      <c r="AI150">
        <f>+MTS_results!AF150</f>
        <v>0</v>
      </c>
      <c r="AJ150" t="e">
        <f>+#REF!</f>
        <v>#REF!</v>
      </c>
      <c r="AK150" s="84" t="e">
        <f t="shared" si="276"/>
        <v>#REF!</v>
      </c>
    </row>
    <row r="151" spans="1:37">
      <c r="A151">
        <v>78</v>
      </c>
      <c r="B151">
        <v>1</v>
      </c>
      <c r="C151">
        <f>+PSO_results!V151</f>
        <v>0</v>
      </c>
      <c r="D151" s="127" t="e">
        <f t="shared" si="268"/>
        <v>#REF!</v>
      </c>
      <c r="E151">
        <f>+GA_results!V151</f>
        <v>0</v>
      </c>
      <c r="F151" s="127" t="e">
        <f t="shared" si="269"/>
        <v>#REF!</v>
      </c>
      <c r="G151">
        <f>+DE_results!V151</f>
        <v>0</v>
      </c>
      <c r="H151" s="127" t="e">
        <f t="shared" ref="H151" si="311">+((G151-$M151)/$M151)*100</f>
        <v>#REF!</v>
      </c>
      <c r="I151">
        <f>+MTS_results!V151</f>
        <v>0</v>
      </c>
      <c r="J151" s="127" t="e">
        <f t="shared" ref="J151:L151" si="312">+((I151-$M151)/$M151)*100</f>
        <v>#REF!</v>
      </c>
      <c r="K151" t="e">
        <f>+#REF!</f>
        <v>#REF!</v>
      </c>
      <c r="L151" s="127" t="e">
        <f t="shared" si="312"/>
        <v>#REF!</v>
      </c>
      <c r="M151" s="128" t="e">
        <f t="shared" si="274"/>
        <v>#REF!</v>
      </c>
      <c r="N151" t="e">
        <f t="shared" si="275"/>
        <v>#REF!</v>
      </c>
      <c r="P151" s="40">
        <f>+PSO_results!AB151</f>
        <v>0</v>
      </c>
      <c r="Q151" s="40">
        <f>+PSO_results!AC151</f>
        <v>0</v>
      </c>
      <c r="R151" s="40">
        <f>+PSO_results!AD151</f>
        <v>0</v>
      </c>
      <c r="S151" s="40">
        <f>+PSO_results!AE151</f>
        <v>0</v>
      </c>
      <c r="T151" s="40">
        <f>+PSO_results!AF151</f>
        <v>0</v>
      </c>
      <c r="U151">
        <f>+GA_results!AB151</f>
        <v>0</v>
      </c>
      <c r="V151">
        <f>+GA_results!AC151</f>
        <v>0</v>
      </c>
      <c r="W151">
        <f>+GA_results!AD151</f>
        <v>0</v>
      </c>
      <c r="X151">
        <f>+GA_results!AE151</f>
        <v>0</v>
      </c>
      <c r="Y151">
        <f>+GA_results!AF151</f>
        <v>0</v>
      </c>
      <c r="Z151">
        <f>+DE_results!AB151</f>
        <v>0</v>
      </c>
      <c r="AA151">
        <f>+DE_results!AC151</f>
        <v>0</v>
      </c>
      <c r="AB151">
        <f>+DE_results!AD151</f>
        <v>0</v>
      </c>
      <c r="AC151">
        <f>+DE_results!AE151</f>
        <v>0</v>
      </c>
      <c r="AD151">
        <f>+DE_results!AF151</f>
        <v>0</v>
      </c>
      <c r="AE151">
        <f>+MTS_results!AB151</f>
        <v>0</v>
      </c>
      <c r="AF151">
        <f>+MTS_results!AC151</f>
        <v>0</v>
      </c>
      <c r="AG151">
        <f>+MTS_results!AD151</f>
        <v>0</v>
      </c>
      <c r="AH151">
        <f>+MTS_results!AE151</f>
        <v>0</v>
      </c>
      <c r="AI151">
        <f>+MTS_results!AF151</f>
        <v>0</v>
      </c>
      <c r="AJ151" t="e">
        <f>+#REF!</f>
        <v>#REF!</v>
      </c>
      <c r="AK151" s="84" t="e">
        <f t="shared" si="276"/>
        <v>#REF!</v>
      </c>
    </row>
    <row r="152" spans="1:37">
      <c r="A152">
        <v>79</v>
      </c>
      <c r="B152">
        <v>1</v>
      </c>
      <c r="C152">
        <f>+PSO_results!V152</f>
        <v>0</v>
      </c>
      <c r="D152" s="127" t="e">
        <f t="shared" si="268"/>
        <v>#REF!</v>
      </c>
      <c r="E152">
        <f>+GA_results!V152</f>
        <v>0</v>
      </c>
      <c r="F152" s="127" t="e">
        <f t="shared" si="269"/>
        <v>#REF!</v>
      </c>
      <c r="G152">
        <f>+DE_results!V152</f>
        <v>0</v>
      </c>
      <c r="H152" s="127" t="e">
        <f t="shared" ref="H152" si="313">+((G152-$M152)/$M152)*100</f>
        <v>#REF!</v>
      </c>
      <c r="I152">
        <f>+MTS_results!V152</f>
        <v>0</v>
      </c>
      <c r="J152" s="127" t="e">
        <f t="shared" ref="J152:L152" si="314">+((I152-$M152)/$M152)*100</f>
        <v>#REF!</v>
      </c>
      <c r="K152" t="e">
        <f>+#REF!</f>
        <v>#REF!</v>
      </c>
      <c r="L152" s="127" t="e">
        <f t="shared" si="314"/>
        <v>#REF!</v>
      </c>
      <c r="M152" s="128" t="e">
        <f t="shared" si="274"/>
        <v>#REF!</v>
      </c>
      <c r="N152" t="e">
        <f t="shared" si="275"/>
        <v>#REF!</v>
      </c>
      <c r="P152" s="40">
        <f>+PSO_results!AB152</f>
        <v>0</v>
      </c>
      <c r="Q152" s="40">
        <f>+PSO_results!AC152</f>
        <v>0</v>
      </c>
      <c r="R152" s="40">
        <f>+PSO_results!AD152</f>
        <v>0</v>
      </c>
      <c r="S152" s="40">
        <f>+PSO_results!AE152</f>
        <v>0</v>
      </c>
      <c r="T152" s="40">
        <f>+PSO_results!AF152</f>
        <v>0</v>
      </c>
      <c r="U152">
        <f>+GA_results!AB152</f>
        <v>0</v>
      </c>
      <c r="V152">
        <f>+GA_results!AC152</f>
        <v>0</v>
      </c>
      <c r="W152">
        <f>+GA_results!AD152</f>
        <v>0</v>
      </c>
      <c r="X152">
        <f>+GA_results!AE152</f>
        <v>0</v>
      </c>
      <c r="Y152">
        <f>+GA_results!AF152</f>
        <v>0</v>
      </c>
      <c r="Z152">
        <f>+DE_results!AB152</f>
        <v>0</v>
      </c>
      <c r="AA152">
        <f>+DE_results!AC152</f>
        <v>0</v>
      </c>
      <c r="AB152">
        <f>+DE_results!AD152</f>
        <v>0</v>
      </c>
      <c r="AC152">
        <f>+DE_results!AE152</f>
        <v>0</v>
      </c>
      <c r="AD152">
        <f>+DE_results!AF152</f>
        <v>0</v>
      </c>
      <c r="AE152">
        <f>+MTS_results!AB152</f>
        <v>0</v>
      </c>
      <c r="AF152">
        <f>+MTS_results!AC152</f>
        <v>0</v>
      </c>
      <c r="AG152">
        <f>+MTS_results!AD152</f>
        <v>0</v>
      </c>
      <c r="AH152">
        <f>+MTS_results!AE152</f>
        <v>0</v>
      </c>
      <c r="AI152">
        <f>+MTS_results!AF152</f>
        <v>0</v>
      </c>
      <c r="AJ152" t="e">
        <f>+#REF!</f>
        <v>#REF!</v>
      </c>
      <c r="AK152" s="84" t="e">
        <f t="shared" si="276"/>
        <v>#REF!</v>
      </c>
    </row>
    <row r="153" spans="1:37">
      <c r="A153">
        <v>80</v>
      </c>
      <c r="B153">
        <v>1</v>
      </c>
      <c r="C153">
        <f>+PSO_results!V153</f>
        <v>0</v>
      </c>
      <c r="D153" s="127" t="e">
        <f t="shared" si="268"/>
        <v>#REF!</v>
      </c>
      <c r="E153">
        <f>+GA_results!V153</f>
        <v>0</v>
      </c>
      <c r="F153" s="127" t="e">
        <f t="shared" si="269"/>
        <v>#REF!</v>
      </c>
      <c r="G153">
        <f>+DE_results!V153</f>
        <v>0</v>
      </c>
      <c r="H153" s="127" t="e">
        <f t="shared" ref="H153" si="315">+((G153-$M153)/$M153)*100</f>
        <v>#REF!</v>
      </c>
      <c r="I153">
        <f>+MTS_results!V153</f>
        <v>0</v>
      </c>
      <c r="J153" s="127" t="e">
        <f t="shared" ref="J153:L153" si="316">+((I153-$M153)/$M153)*100</f>
        <v>#REF!</v>
      </c>
      <c r="K153" t="e">
        <f>+#REF!</f>
        <v>#REF!</v>
      </c>
      <c r="L153" s="127" t="e">
        <f t="shared" si="316"/>
        <v>#REF!</v>
      </c>
      <c r="M153" s="128" t="e">
        <f t="shared" si="274"/>
        <v>#REF!</v>
      </c>
      <c r="N153" t="e">
        <f t="shared" si="275"/>
        <v>#REF!</v>
      </c>
      <c r="P153" s="40">
        <f>+PSO_results!AB153</f>
        <v>0</v>
      </c>
      <c r="Q153" s="40">
        <f>+PSO_results!AC153</f>
        <v>0</v>
      </c>
      <c r="R153" s="40">
        <f>+PSO_results!AD153</f>
        <v>0</v>
      </c>
      <c r="S153" s="40">
        <f>+PSO_results!AE153</f>
        <v>0</v>
      </c>
      <c r="T153" s="40">
        <f>+PSO_results!AF153</f>
        <v>0</v>
      </c>
      <c r="U153">
        <f>+GA_results!AB153</f>
        <v>0</v>
      </c>
      <c r="V153">
        <f>+GA_results!AC153</f>
        <v>0</v>
      </c>
      <c r="W153">
        <f>+GA_results!AD153</f>
        <v>0</v>
      </c>
      <c r="X153">
        <f>+GA_results!AE153</f>
        <v>0</v>
      </c>
      <c r="Y153">
        <f>+GA_results!AF153</f>
        <v>0</v>
      </c>
      <c r="Z153">
        <f>+DE_results!AB153</f>
        <v>0</v>
      </c>
      <c r="AA153">
        <f>+DE_results!AC153</f>
        <v>0</v>
      </c>
      <c r="AB153">
        <f>+DE_results!AD153</f>
        <v>0</v>
      </c>
      <c r="AC153">
        <f>+DE_results!AE153</f>
        <v>0</v>
      </c>
      <c r="AD153">
        <f>+DE_results!AF153</f>
        <v>0</v>
      </c>
      <c r="AE153">
        <f>+MTS_results!AB153</f>
        <v>0</v>
      </c>
      <c r="AF153">
        <f>+MTS_results!AC153</f>
        <v>0</v>
      </c>
      <c r="AG153">
        <f>+MTS_results!AD153</f>
        <v>0</v>
      </c>
      <c r="AH153">
        <f>+MTS_results!AE153</f>
        <v>0</v>
      </c>
      <c r="AI153">
        <f>+MTS_results!AF153</f>
        <v>0</v>
      </c>
      <c r="AJ153" t="e">
        <f>+#REF!</f>
        <v>#REF!</v>
      </c>
      <c r="AK153" s="84" t="e">
        <f t="shared" si="276"/>
        <v>#REF!</v>
      </c>
    </row>
    <row r="154" spans="1:37">
      <c r="A154">
        <v>71</v>
      </c>
      <c r="B154">
        <v>2</v>
      </c>
      <c r="C154">
        <f>+PSO_results!V154</f>
        <v>0</v>
      </c>
      <c r="D154" s="127" t="e">
        <f t="shared" si="268"/>
        <v>#REF!</v>
      </c>
      <c r="E154">
        <f>+GA_results!V154</f>
        <v>0</v>
      </c>
      <c r="F154" s="127" t="e">
        <f t="shared" si="269"/>
        <v>#REF!</v>
      </c>
      <c r="G154">
        <f>+DE_results!V154</f>
        <v>0</v>
      </c>
      <c r="H154" s="127" t="e">
        <f t="shared" ref="H154" si="317">+((G154-$M154)/$M154)*100</f>
        <v>#REF!</v>
      </c>
      <c r="I154">
        <f>+MTS_results!V154</f>
        <v>0</v>
      </c>
      <c r="J154" s="127" t="e">
        <f t="shared" ref="J154:L154" si="318">+((I154-$M154)/$M154)*100</f>
        <v>#REF!</v>
      </c>
      <c r="K154" t="e">
        <f>+#REF!</f>
        <v>#REF!</v>
      </c>
      <c r="L154" s="127" t="e">
        <f t="shared" si="318"/>
        <v>#REF!</v>
      </c>
      <c r="M154" s="128" t="e">
        <f t="shared" si="274"/>
        <v>#REF!</v>
      </c>
      <c r="N154" t="e">
        <f t="shared" si="275"/>
        <v>#REF!</v>
      </c>
      <c r="P154" s="40">
        <f>+PSO_results!AB154</f>
        <v>0</v>
      </c>
      <c r="Q154" s="40">
        <f>+PSO_results!AC154</f>
        <v>0</v>
      </c>
      <c r="R154" s="40">
        <f>+PSO_results!AD154</f>
        <v>0</v>
      </c>
      <c r="S154" s="40">
        <f>+PSO_results!AE154</f>
        <v>0</v>
      </c>
      <c r="T154" s="40">
        <f>+PSO_results!AF154</f>
        <v>0</v>
      </c>
      <c r="U154">
        <f>+GA_results!AB154</f>
        <v>0</v>
      </c>
      <c r="V154">
        <f>+GA_results!AC154</f>
        <v>0</v>
      </c>
      <c r="W154">
        <f>+GA_results!AD154</f>
        <v>0</v>
      </c>
      <c r="X154">
        <f>+GA_results!AE154</f>
        <v>0</v>
      </c>
      <c r="Y154">
        <f>+GA_results!AF154</f>
        <v>0</v>
      </c>
      <c r="Z154">
        <f>+DE_results!AB154</f>
        <v>0</v>
      </c>
      <c r="AA154">
        <f>+DE_results!AC154</f>
        <v>0</v>
      </c>
      <c r="AB154">
        <f>+DE_results!AD154</f>
        <v>0</v>
      </c>
      <c r="AC154">
        <f>+DE_results!AE154</f>
        <v>0</v>
      </c>
      <c r="AD154">
        <f>+DE_results!AF154</f>
        <v>0</v>
      </c>
      <c r="AE154">
        <f>+MTS_results!AB154</f>
        <v>0</v>
      </c>
      <c r="AF154">
        <f>+MTS_results!AC154</f>
        <v>0</v>
      </c>
      <c r="AG154">
        <f>+MTS_results!AD154</f>
        <v>0</v>
      </c>
      <c r="AH154">
        <f>+MTS_results!AE154</f>
        <v>0</v>
      </c>
      <c r="AI154">
        <f>+MTS_results!AF154</f>
        <v>0</v>
      </c>
      <c r="AJ154" t="e">
        <f>+#REF!</f>
        <v>#REF!</v>
      </c>
      <c r="AK154" s="84" t="e">
        <f t="shared" si="276"/>
        <v>#REF!</v>
      </c>
    </row>
    <row r="155" spans="1:37">
      <c r="A155">
        <v>72</v>
      </c>
      <c r="B155">
        <v>2</v>
      </c>
      <c r="C155">
        <f>+PSO_results!V155</f>
        <v>0</v>
      </c>
      <c r="D155" s="127" t="e">
        <f t="shared" si="268"/>
        <v>#REF!</v>
      </c>
      <c r="E155">
        <f>+GA_results!V155</f>
        <v>0</v>
      </c>
      <c r="F155" s="127" t="e">
        <f t="shared" si="269"/>
        <v>#REF!</v>
      </c>
      <c r="G155">
        <f>+DE_results!V155</f>
        <v>0</v>
      </c>
      <c r="H155" s="127" t="e">
        <f t="shared" ref="H155" si="319">+((G155-$M155)/$M155)*100</f>
        <v>#REF!</v>
      </c>
      <c r="I155">
        <f>+MTS_results!V155</f>
        <v>0</v>
      </c>
      <c r="J155" s="127" t="e">
        <f t="shared" ref="J155:L155" si="320">+((I155-$M155)/$M155)*100</f>
        <v>#REF!</v>
      </c>
      <c r="K155" t="e">
        <f>+#REF!</f>
        <v>#REF!</v>
      </c>
      <c r="L155" s="127" t="e">
        <f t="shared" si="320"/>
        <v>#REF!</v>
      </c>
      <c r="M155" s="128" t="e">
        <f t="shared" si="274"/>
        <v>#REF!</v>
      </c>
      <c r="N155" t="e">
        <f t="shared" si="275"/>
        <v>#REF!</v>
      </c>
      <c r="P155" s="40">
        <f>+PSO_results!AB155</f>
        <v>0</v>
      </c>
      <c r="Q155" s="40">
        <f>+PSO_results!AC155</f>
        <v>0</v>
      </c>
      <c r="R155" s="40">
        <f>+PSO_results!AD155</f>
        <v>0</v>
      </c>
      <c r="S155" s="40">
        <f>+PSO_results!AE155</f>
        <v>0</v>
      </c>
      <c r="T155" s="40">
        <f>+PSO_results!AF155</f>
        <v>0</v>
      </c>
      <c r="U155">
        <f>+GA_results!AB155</f>
        <v>0</v>
      </c>
      <c r="V155">
        <f>+GA_results!AC155</f>
        <v>0</v>
      </c>
      <c r="W155">
        <f>+GA_results!AD155</f>
        <v>0</v>
      </c>
      <c r="X155">
        <f>+GA_results!AE155</f>
        <v>0</v>
      </c>
      <c r="Y155">
        <f>+GA_results!AF155</f>
        <v>0</v>
      </c>
      <c r="Z155">
        <f>+DE_results!AB155</f>
        <v>0</v>
      </c>
      <c r="AA155">
        <f>+DE_results!AC155</f>
        <v>0</v>
      </c>
      <c r="AB155">
        <f>+DE_results!AD155</f>
        <v>0</v>
      </c>
      <c r="AC155">
        <f>+DE_results!AE155</f>
        <v>0</v>
      </c>
      <c r="AD155">
        <f>+DE_results!AF155</f>
        <v>0</v>
      </c>
      <c r="AE155">
        <f>+MTS_results!AB155</f>
        <v>0</v>
      </c>
      <c r="AF155">
        <f>+MTS_results!AC155</f>
        <v>0</v>
      </c>
      <c r="AG155">
        <f>+MTS_results!AD155</f>
        <v>0</v>
      </c>
      <c r="AH155">
        <f>+MTS_results!AE155</f>
        <v>0</v>
      </c>
      <c r="AI155">
        <f>+MTS_results!AF155</f>
        <v>0</v>
      </c>
      <c r="AJ155" t="e">
        <f>+#REF!</f>
        <v>#REF!</v>
      </c>
      <c r="AK155" s="84" t="e">
        <f t="shared" si="276"/>
        <v>#REF!</v>
      </c>
    </row>
    <row r="156" spans="1:37">
      <c r="A156">
        <v>73</v>
      </c>
      <c r="B156">
        <v>2</v>
      </c>
      <c r="C156">
        <f>+PSO_results!V156</f>
        <v>0</v>
      </c>
      <c r="D156" s="127" t="e">
        <f t="shared" si="268"/>
        <v>#REF!</v>
      </c>
      <c r="E156">
        <f>+GA_results!V156</f>
        <v>0</v>
      </c>
      <c r="F156" s="127" t="e">
        <f t="shared" si="269"/>
        <v>#REF!</v>
      </c>
      <c r="G156">
        <f>+DE_results!V156</f>
        <v>0</v>
      </c>
      <c r="H156" s="127" t="e">
        <f t="shared" ref="H156" si="321">+((G156-$M156)/$M156)*100</f>
        <v>#REF!</v>
      </c>
      <c r="I156">
        <f>+MTS_results!V156</f>
        <v>0</v>
      </c>
      <c r="J156" s="127" t="e">
        <f t="shared" ref="J156:L156" si="322">+((I156-$M156)/$M156)*100</f>
        <v>#REF!</v>
      </c>
      <c r="K156" t="e">
        <f>+#REF!</f>
        <v>#REF!</v>
      </c>
      <c r="L156" s="127" t="e">
        <f t="shared" si="322"/>
        <v>#REF!</v>
      </c>
      <c r="M156" s="128" t="e">
        <f t="shared" si="274"/>
        <v>#REF!</v>
      </c>
      <c r="N156" t="e">
        <f t="shared" si="275"/>
        <v>#REF!</v>
      </c>
      <c r="P156" s="40">
        <f>+PSO_results!AB156</f>
        <v>0</v>
      </c>
      <c r="Q156" s="40">
        <f>+PSO_results!AC156</f>
        <v>0</v>
      </c>
      <c r="R156" s="40">
        <f>+PSO_results!AD156</f>
        <v>0</v>
      </c>
      <c r="S156" s="40">
        <f>+PSO_results!AE156</f>
        <v>0</v>
      </c>
      <c r="T156" s="40">
        <f>+PSO_results!AF156</f>
        <v>0</v>
      </c>
      <c r="U156">
        <f>+GA_results!AB156</f>
        <v>0</v>
      </c>
      <c r="V156">
        <f>+GA_results!AC156</f>
        <v>0</v>
      </c>
      <c r="W156">
        <f>+GA_results!AD156</f>
        <v>0</v>
      </c>
      <c r="X156">
        <f>+GA_results!AE156</f>
        <v>0</v>
      </c>
      <c r="Y156">
        <f>+GA_results!AF156</f>
        <v>0</v>
      </c>
      <c r="Z156">
        <f>+DE_results!AB156</f>
        <v>0</v>
      </c>
      <c r="AA156">
        <f>+DE_results!AC156</f>
        <v>0</v>
      </c>
      <c r="AB156">
        <f>+DE_results!AD156</f>
        <v>0</v>
      </c>
      <c r="AC156">
        <f>+DE_results!AE156</f>
        <v>0</v>
      </c>
      <c r="AD156">
        <f>+DE_results!AF156</f>
        <v>0</v>
      </c>
      <c r="AE156">
        <f>+MTS_results!AB156</f>
        <v>0</v>
      </c>
      <c r="AF156">
        <f>+MTS_results!AC156</f>
        <v>0</v>
      </c>
      <c r="AG156">
        <f>+MTS_results!AD156</f>
        <v>0</v>
      </c>
      <c r="AH156">
        <f>+MTS_results!AE156</f>
        <v>0</v>
      </c>
      <c r="AI156">
        <f>+MTS_results!AF156</f>
        <v>0</v>
      </c>
      <c r="AJ156" t="e">
        <f>+#REF!</f>
        <v>#REF!</v>
      </c>
      <c r="AK156" s="84" t="e">
        <f t="shared" si="276"/>
        <v>#REF!</v>
      </c>
    </row>
    <row r="157" spans="1:37">
      <c r="A157">
        <v>74</v>
      </c>
      <c r="B157">
        <v>2</v>
      </c>
      <c r="C157">
        <f>+PSO_results!V157</f>
        <v>0</v>
      </c>
      <c r="D157" s="127" t="e">
        <f t="shared" si="268"/>
        <v>#REF!</v>
      </c>
      <c r="E157">
        <f>+GA_results!V157</f>
        <v>0</v>
      </c>
      <c r="F157" s="127" t="e">
        <f t="shared" si="269"/>
        <v>#REF!</v>
      </c>
      <c r="G157">
        <f>+DE_results!V157</f>
        <v>0</v>
      </c>
      <c r="H157" s="127" t="e">
        <f t="shared" ref="H157" si="323">+((G157-$M157)/$M157)*100</f>
        <v>#REF!</v>
      </c>
      <c r="I157">
        <f>+MTS_results!V157</f>
        <v>0</v>
      </c>
      <c r="J157" s="127" t="e">
        <f t="shared" ref="J157:L157" si="324">+((I157-$M157)/$M157)*100</f>
        <v>#REF!</v>
      </c>
      <c r="K157" t="e">
        <f>+#REF!</f>
        <v>#REF!</v>
      </c>
      <c r="L157" s="127" t="e">
        <f t="shared" si="324"/>
        <v>#REF!</v>
      </c>
      <c r="M157" s="128" t="e">
        <f t="shared" si="274"/>
        <v>#REF!</v>
      </c>
      <c r="N157" t="e">
        <f t="shared" si="275"/>
        <v>#REF!</v>
      </c>
      <c r="P157" s="40">
        <f>+PSO_results!AB157</f>
        <v>0</v>
      </c>
      <c r="Q157" s="40">
        <f>+PSO_results!AC157</f>
        <v>0</v>
      </c>
      <c r="R157" s="40">
        <f>+PSO_results!AD157</f>
        <v>0</v>
      </c>
      <c r="S157" s="40">
        <f>+PSO_results!AE157</f>
        <v>0</v>
      </c>
      <c r="T157" s="40">
        <f>+PSO_results!AF157</f>
        <v>0</v>
      </c>
      <c r="U157">
        <f>+GA_results!AB157</f>
        <v>0</v>
      </c>
      <c r="V157">
        <f>+GA_results!AC157</f>
        <v>0</v>
      </c>
      <c r="W157">
        <f>+GA_results!AD157</f>
        <v>0</v>
      </c>
      <c r="X157">
        <f>+GA_results!AE157</f>
        <v>0</v>
      </c>
      <c r="Y157">
        <f>+GA_results!AF157</f>
        <v>0</v>
      </c>
      <c r="Z157">
        <f>+DE_results!AB157</f>
        <v>0</v>
      </c>
      <c r="AA157">
        <f>+DE_results!AC157</f>
        <v>0</v>
      </c>
      <c r="AB157">
        <f>+DE_results!AD157</f>
        <v>0</v>
      </c>
      <c r="AC157">
        <f>+DE_results!AE157</f>
        <v>0</v>
      </c>
      <c r="AD157">
        <f>+DE_results!AF157</f>
        <v>0</v>
      </c>
      <c r="AE157">
        <f>+MTS_results!AB157</f>
        <v>0</v>
      </c>
      <c r="AF157">
        <f>+MTS_results!AC157</f>
        <v>0</v>
      </c>
      <c r="AG157">
        <f>+MTS_results!AD157</f>
        <v>0</v>
      </c>
      <c r="AH157">
        <f>+MTS_results!AE157</f>
        <v>0</v>
      </c>
      <c r="AI157">
        <f>+MTS_results!AF157</f>
        <v>0</v>
      </c>
      <c r="AJ157" t="e">
        <f>+#REF!</f>
        <v>#REF!</v>
      </c>
      <c r="AK157" s="84" t="e">
        <f t="shared" si="276"/>
        <v>#REF!</v>
      </c>
    </row>
    <row r="158" spans="1:37">
      <c r="A158">
        <v>75</v>
      </c>
      <c r="B158">
        <v>2</v>
      </c>
      <c r="C158">
        <f>+PSO_results!V158</f>
        <v>0</v>
      </c>
      <c r="D158" s="127" t="e">
        <f t="shared" si="268"/>
        <v>#REF!</v>
      </c>
      <c r="E158">
        <f>+GA_results!V158</f>
        <v>0</v>
      </c>
      <c r="F158" s="127" t="e">
        <f t="shared" si="269"/>
        <v>#REF!</v>
      </c>
      <c r="G158">
        <f>+DE_results!V158</f>
        <v>0</v>
      </c>
      <c r="H158" s="127" t="e">
        <f t="shared" ref="H158" si="325">+((G158-$M158)/$M158)*100</f>
        <v>#REF!</v>
      </c>
      <c r="I158">
        <f>+MTS_results!V158</f>
        <v>0</v>
      </c>
      <c r="J158" s="127" t="e">
        <f t="shared" ref="J158:L158" si="326">+((I158-$M158)/$M158)*100</f>
        <v>#REF!</v>
      </c>
      <c r="K158" t="e">
        <f>+#REF!</f>
        <v>#REF!</v>
      </c>
      <c r="L158" s="127" t="e">
        <f t="shared" si="326"/>
        <v>#REF!</v>
      </c>
      <c r="M158" s="128" t="e">
        <f t="shared" si="274"/>
        <v>#REF!</v>
      </c>
      <c r="N158" t="e">
        <f t="shared" si="275"/>
        <v>#REF!</v>
      </c>
      <c r="P158" s="40">
        <f>+PSO_results!AB158</f>
        <v>0</v>
      </c>
      <c r="Q158" s="40">
        <f>+PSO_results!AC158</f>
        <v>0</v>
      </c>
      <c r="R158" s="40">
        <f>+PSO_results!AD158</f>
        <v>0</v>
      </c>
      <c r="S158" s="40">
        <f>+PSO_results!AE158</f>
        <v>0</v>
      </c>
      <c r="T158" s="40">
        <f>+PSO_results!AF158</f>
        <v>0</v>
      </c>
      <c r="U158">
        <f>+GA_results!AB158</f>
        <v>0</v>
      </c>
      <c r="V158">
        <f>+GA_results!AC158</f>
        <v>0</v>
      </c>
      <c r="W158">
        <f>+GA_results!AD158</f>
        <v>0</v>
      </c>
      <c r="X158">
        <f>+GA_results!AE158</f>
        <v>0</v>
      </c>
      <c r="Y158">
        <f>+GA_results!AF158</f>
        <v>0</v>
      </c>
      <c r="Z158">
        <f>+DE_results!AB158</f>
        <v>0</v>
      </c>
      <c r="AA158">
        <f>+DE_results!AC158</f>
        <v>0</v>
      </c>
      <c r="AB158">
        <f>+DE_results!AD158</f>
        <v>0</v>
      </c>
      <c r="AC158">
        <f>+DE_results!AE158</f>
        <v>0</v>
      </c>
      <c r="AD158">
        <f>+DE_results!AF158</f>
        <v>0</v>
      </c>
      <c r="AE158">
        <f>+MTS_results!AB158</f>
        <v>0</v>
      </c>
      <c r="AF158">
        <f>+MTS_results!AC158</f>
        <v>0</v>
      </c>
      <c r="AG158">
        <f>+MTS_results!AD158</f>
        <v>0</v>
      </c>
      <c r="AH158">
        <f>+MTS_results!AE158</f>
        <v>0</v>
      </c>
      <c r="AI158">
        <f>+MTS_results!AF158</f>
        <v>0</v>
      </c>
      <c r="AJ158" t="e">
        <f>+#REF!</f>
        <v>#REF!</v>
      </c>
      <c r="AK158" s="84" t="e">
        <f t="shared" si="276"/>
        <v>#REF!</v>
      </c>
    </row>
    <row r="159" spans="1:37">
      <c r="A159">
        <v>76</v>
      </c>
      <c r="B159">
        <v>2</v>
      </c>
      <c r="C159">
        <f>+PSO_results!V159</f>
        <v>0</v>
      </c>
      <c r="D159" s="127" t="e">
        <f t="shared" si="268"/>
        <v>#REF!</v>
      </c>
      <c r="E159">
        <f>+GA_results!V159</f>
        <v>0</v>
      </c>
      <c r="F159" s="127" t="e">
        <f t="shared" si="269"/>
        <v>#REF!</v>
      </c>
      <c r="G159">
        <f>+DE_results!V159</f>
        <v>0</v>
      </c>
      <c r="H159" s="127" t="e">
        <f t="shared" ref="H159" si="327">+((G159-$M159)/$M159)*100</f>
        <v>#REF!</v>
      </c>
      <c r="I159">
        <f>+MTS_results!V159</f>
        <v>0</v>
      </c>
      <c r="J159" s="127" t="e">
        <f t="shared" ref="J159:L159" si="328">+((I159-$M159)/$M159)*100</f>
        <v>#REF!</v>
      </c>
      <c r="K159" t="e">
        <f>+#REF!</f>
        <v>#REF!</v>
      </c>
      <c r="L159" s="127" t="e">
        <f t="shared" si="328"/>
        <v>#REF!</v>
      </c>
      <c r="M159" s="128" t="e">
        <f t="shared" si="274"/>
        <v>#REF!</v>
      </c>
      <c r="N159" t="e">
        <f t="shared" si="275"/>
        <v>#REF!</v>
      </c>
      <c r="P159" s="40">
        <f>+PSO_results!AB159</f>
        <v>0</v>
      </c>
      <c r="Q159" s="40">
        <f>+PSO_results!AC159</f>
        <v>0</v>
      </c>
      <c r="R159" s="40">
        <f>+PSO_results!AD159</f>
        <v>0</v>
      </c>
      <c r="S159" s="40">
        <f>+PSO_results!AE159</f>
        <v>0</v>
      </c>
      <c r="T159" s="40">
        <f>+PSO_results!AF159</f>
        <v>0</v>
      </c>
      <c r="U159">
        <f>+GA_results!AB159</f>
        <v>0</v>
      </c>
      <c r="V159">
        <f>+GA_results!AC159</f>
        <v>0</v>
      </c>
      <c r="W159">
        <f>+GA_results!AD159</f>
        <v>0</v>
      </c>
      <c r="X159">
        <f>+GA_results!AE159</f>
        <v>0</v>
      </c>
      <c r="Y159">
        <f>+GA_results!AF159</f>
        <v>0</v>
      </c>
      <c r="Z159">
        <f>+DE_results!AB159</f>
        <v>0</v>
      </c>
      <c r="AA159">
        <f>+DE_results!AC159</f>
        <v>0</v>
      </c>
      <c r="AB159">
        <f>+DE_results!AD159</f>
        <v>0</v>
      </c>
      <c r="AC159">
        <f>+DE_results!AE159</f>
        <v>0</v>
      </c>
      <c r="AD159">
        <f>+DE_results!AF159</f>
        <v>0</v>
      </c>
      <c r="AE159">
        <f>+MTS_results!AB159</f>
        <v>0</v>
      </c>
      <c r="AF159">
        <f>+MTS_results!AC159</f>
        <v>0</v>
      </c>
      <c r="AG159">
        <f>+MTS_results!AD159</f>
        <v>0</v>
      </c>
      <c r="AH159">
        <f>+MTS_results!AE159</f>
        <v>0</v>
      </c>
      <c r="AI159">
        <f>+MTS_results!AF159</f>
        <v>0</v>
      </c>
      <c r="AJ159" t="e">
        <f>+#REF!</f>
        <v>#REF!</v>
      </c>
      <c r="AK159" s="84" t="e">
        <f t="shared" si="276"/>
        <v>#REF!</v>
      </c>
    </row>
    <row r="160" spans="1:37">
      <c r="A160">
        <v>77</v>
      </c>
      <c r="B160">
        <v>2</v>
      </c>
      <c r="C160">
        <f>+PSO_results!V160</f>
        <v>0</v>
      </c>
      <c r="D160" s="127" t="e">
        <f t="shared" si="268"/>
        <v>#REF!</v>
      </c>
      <c r="E160">
        <f>+GA_results!V160</f>
        <v>0</v>
      </c>
      <c r="F160" s="127" t="e">
        <f t="shared" si="269"/>
        <v>#REF!</v>
      </c>
      <c r="G160">
        <f>+DE_results!V160</f>
        <v>0</v>
      </c>
      <c r="H160" s="127" t="e">
        <f t="shared" ref="H160" si="329">+((G160-$M160)/$M160)*100</f>
        <v>#REF!</v>
      </c>
      <c r="I160">
        <f>+MTS_results!V160</f>
        <v>0</v>
      </c>
      <c r="J160" s="127" t="e">
        <f t="shared" ref="J160:L160" si="330">+((I160-$M160)/$M160)*100</f>
        <v>#REF!</v>
      </c>
      <c r="K160" t="e">
        <f>+#REF!</f>
        <v>#REF!</v>
      </c>
      <c r="L160" s="127" t="e">
        <f t="shared" si="330"/>
        <v>#REF!</v>
      </c>
      <c r="M160" s="128" t="e">
        <f t="shared" si="274"/>
        <v>#REF!</v>
      </c>
      <c r="N160" t="e">
        <f t="shared" si="275"/>
        <v>#REF!</v>
      </c>
      <c r="P160" s="40">
        <f>+PSO_results!AB160</f>
        <v>0</v>
      </c>
      <c r="Q160" s="40">
        <f>+PSO_results!AC160</f>
        <v>0</v>
      </c>
      <c r="R160" s="40">
        <f>+PSO_results!AD160</f>
        <v>0</v>
      </c>
      <c r="S160" s="40">
        <f>+PSO_results!AE160</f>
        <v>0</v>
      </c>
      <c r="T160" s="40">
        <f>+PSO_results!AF160</f>
        <v>0</v>
      </c>
      <c r="U160">
        <f>+GA_results!AB160</f>
        <v>0</v>
      </c>
      <c r="V160">
        <f>+GA_results!AC160</f>
        <v>0</v>
      </c>
      <c r="W160">
        <f>+GA_results!AD160</f>
        <v>0</v>
      </c>
      <c r="X160">
        <f>+GA_results!AE160</f>
        <v>0</v>
      </c>
      <c r="Y160">
        <f>+GA_results!AF160</f>
        <v>0</v>
      </c>
      <c r="Z160">
        <f>+DE_results!AB160</f>
        <v>0</v>
      </c>
      <c r="AA160">
        <f>+DE_results!AC160</f>
        <v>0</v>
      </c>
      <c r="AB160">
        <f>+DE_results!AD160</f>
        <v>0</v>
      </c>
      <c r="AC160">
        <f>+DE_results!AE160</f>
        <v>0</v>
      </c>
      <c r="AD160">
        <f>+DE_results!AF160</f>
        <v>0</v>
      </c>
      <c r="AE160">
        <f>+MTS_results!AB160</f>
        <v>0</v>
      </c>
      <c r="AF160">
        <f>+MTS_results!AC160</f>
        <v>0</v>
      </c>
      <c r="AG160">
        <f>+MTS_results!AD160</f>
        <v>0</v>
      </c>
      <c r="AH160">
        <f>+MTS_results!AE160</f>
        <v>0</v>
      </c>
      <c r="AI160">
        <f>+MTS_results!AF160</f>
        <v>0</v>
      </c>
      <c r="AJ160" t="e">
        <f>+#REF!</f>
        <v>#REF!</v>
      </c>
      <c r="AK160" s="84" t="e">
        <f t="shared" si="276"/>
        <v>#REF!</v>
      </c>
    </row>
    <row r="161" spans="1:37">
      <c r="A161">
        <v>78</v>
      </c>
      <c r="B161">
        <v>2</v>
      </c>
      <c r="C161">
        <f>+PSO_results!V161</f>
        <v>0</v>
      </c>
      <c r="D161" s="127" t="e">
        <f t="shared" si="268"/>
        <v>#REF!</v>
      </c>
      <c r="E161">
        <f>+GA_results!V161</f>
        <v>0</v>
      </c>
      <c r="F161" s="127" t="e">
        <f t="shared" si="269"/>
        <v>#REF!</v>
      </c>
      <c r="G161">
        <f>+DE_results!V161</f>
        <v>0</v>
      </c>
      <c r="H161" s="127" t="e">
        <f t="shared" ref="H161" si="331">+((G161-$M161)/$M161)*100</f>
        <v>#REF!</v>
      </c>
      <c r="I161">
        <f>+MTS_results!V161</f>
        <v>0</v>
      </c>
      <c r="J161" s="127" t="e">
        <f t="shared" ref="J161:L161" si="332">+((I161-$M161)/$M161)*100</f>
        <v>#REF!</v>
      </c>
      <c r="K161" t="e">
        <f>+#REF!</f>
        <v>#REF!</v>
      </c>
      <c r="L161" s="127" t="e">
        <f t="shared" si="332"/>
        <v>#REF!</v>
      </c>
      <c r="M161" s="128" t="e">
        <f t="shared" si="274"/>
        <v>#REF!</v>
      </c>
      <c r="N161" t="e">
        <f t="shared" si="275"/>
        <v>#REF!</v>
      </c>
      <c r="P161" s="40">
        <f>+PSO_results!AB161</f>
        <v>0</v>
      </c>
      <c r="Q161" s="40">
        <f>+PSO_results!AC161</f>
        <v>0</v>
      </c>
      <c r="R161" s="40">
        <f>+PSO_results!AD161</f>
        <v>0</v>
      </c>
      <c r="S161" s="40">
        <f>+PSO_results!AE161</f>
        <v>0</v>
      </c>
      <c r="T161" s="40">
        <f>+PSO_results!AF161</f>
        <v>0</v>
      </c>
      <c r="U161">
        <f>+GA_results!AB161</f>
        <v>0</v>
      </c>
      <c r="V161">
        <f>+GA_results!AC161</f>
        <v>0</v>
      </c>
      <c r="W161">
        <f>+GA_results!AD161</f>
        <v>0</v>
      </c>
      <c r="X161">
        <f>+GA_results!AE161</f>
        <v>0</v>
      </c>
      <c r="Y161">
        <f>+GA_results!AF161</f>
        <v>0</v>
      </c>
      <c r="Z161">
        <f>+DE_results!AB161</f>
        <v>0</v>
      </c>
      <c r="AA161">
        <f>+DE_results!AC161</f>
        <v>0</v>
      </c>
      <c r="AB161">
        <f>+DE_results!AD161</f>
        <v>0</v>
      </c>
      <c r="AC161">
        <f>+DE_results!AE161</f>
        <v>0</v>
      </c>
      <c r="AD161">
        <f>+DE_results!AF161</f>
        <v>0</v>
      </c>
      <c r="AE161">
        <f>+MTS_results!AB161</f>
        <v>0</v>
      </c>
      <c r="AF161">
        <f>+MTS_results!AC161</f>
        <v>0</v>
      </c>
      <c r="AG161">
        <f>+MTS_results!AD161</f>
        <v>0</v>
      </c>
      <c r="AH161">
        <f>+MTS_results!AE161</f>
        <v>0</v>
      </c>
      <c r="AI161">
        <f>+MTS_results!AF161</f>
        <v>0</v>
      </c>
      <c r="AJ161" t="e">
        <f>+#REF!</f>
        <v>#REF!</v>
      </c>
      <c r="AK161" s="84" t="e">
        <f t="shared" si="276"/>
        <v>#REF!</v>
      </c>
    </row>
    <row r="162" spans="1:37">
      <c r="A162">
        <v>79</v>
      </c>
      <c r="B162">
        <v>2</v>
      </c>
      <c r="C162">
        <f>+PSO_results!V162</f>
        <v>0</v>
      </c>
      <c r="D162" s="127" t="e">
        <f t="shared" si="268"/>
        <v>#REF!</v>
      </c>
      <c r="E162">
        <f>+GA_results!V162</f>
        <v>0</v>
      </c>
      <c r="F162" s="127" t="e">
        <f t="shared" si="269"/>
        <v>#REF!</v>
      </c>
      <c r="G162">
        <f>+DE_results!V162</f>
        <v>0</v>
      </c>
      <c r="H162" s="127" t="e">
        <f t="shared" ref="H162" si="333">+((G162-$M162)/$M162)*100</f>
        <v>#REF!</v>
      </c>
      <c r="I162">
        <f>+MTS_results!V162</f>
        <v>0</v>
      </c>
      <c r="J162" s="127" t="e">
        <f t="shared" ref="J162:L162" si="334">+((I162-$M162)/$M162)*100</f>
        <v>#REF!</v>
      </c>
      <c r="K162" t="e">
        <f>+#REF!</f>
        <v>#REF!</v>
      </c>
      <c r="L162" s="127" t="e">
        <f t="shared" si="334"/>
        <v>#REF!</v>
      </c>
      <c r="M162" s="128" t="e">
        <f t="shared" si="274"/>
        <v>#REF!</v>
      </c>
      <c r="N162" t="e">
        <f t="shared" si="275"/>
        <v>#REF!</v>
      </c>
      <c r="P162" s="40">
        <f>+PSO_results!AB162</f>
        <v>0</v>
      </c>
      <c r="Q162" s="40">
        <f>+PSO_results!AC162</f>
        <v>0</v>
      </c>
      <c r="R162" s="40">
        <f>+PSO_results!AD162</f>
        <v>0</v>
      </c>
      <c r="S162" s="40">
        <f>+PSO_results!AE162</f>
        <v>0</v>
      </c>
      <c r="T162" s="40">
        <f>+PSO_results!AF162</f>
        <v>0</v>
      </c>
      <c r="U162">
        <f>+GA_results!AB162</f>
        <v>0</v>
      </c>
      <c r="V162">
        <f>+GA_results!AC162</f>
        <v>0</v>
      </c>
      <c r="W162">
        <f>+GA_results!AD162</f>
        <v>0</v>
      </c>
      <c r="X162">
        <f>+GA_results!AE162</f>
        <v>0</v>
      </c>
      <c r="Y162">
        <f>+GA_results!AF162</f>
        <v>0</v>
      </c>
      <c r="Z162">
        <f>+DE_results!AB162</f>
        <v>0</v>
      </c>
      <c r="AA162">
        <f>+DE_results!AC162</f>
        <v>0</v>
      </c>
      <c r="AB162">
        <f>+DE_results!AD162</f>
        <v>0</v>
      </c>
      <c r="AC162">
        <f>+DE_results!AE162</f>
        <v>0</v>
      </c>
      <c r="AD162">
        <f>+DE_results!AF162</f>
        <v>0</v>
      </c>
      <c r="AE162">
        <f>+MTS_results!AB162</f>
        <v>0</v>
      </c>
      <c r="AF162">
        <f>+MTS_results!AC162</f>
        <v>0</v>
      </c>
      <c r="AG162">
        <f>+MTS_results!AD162</f>
        <v>0</v>
      </c>
      <c r="AH162">
        <f>+MTS_results!AE162</f>
        <v>0</v>
      </c>
      <c r="AI162">
        <f>+MTS_results!AF162</f>
        <v>0</v>
      </c>
      <c r="AJ162" t="e">
        <f>+#REF!</f>
        <v>#REF!</v>
      </c>
      <c r="AK162" s="84" t="e">
        <f t="shared" si="276"/>
        <v>#REF!</v>
      </c>
    </row>
    <row r="163" spans="1:37">
      <c r="A163">
        <v>80</v>
      </c>
      <c r="B163">
        <v>2</v>
      </c>
      <c r="C163">
        <f>+PSO_results!V163</f>
        <v>0</v>
      </c>
      <c r="D163" s="127" t="e">
        <f t="shared" si="268"/>
        <v>#REF!</v>
      </c>
      <c r="E163">
        <f>+GA_results!V163</f>
        <v>0</v>
      </c>
      <c r="F163" s="127" t="e">
        <f t="shared" si="269"/>
        <v>#REF!</v>
      </c>
      <c r="G163">
        <f>+DE_results!V163</f>
        <v>0</v>
      </c>
      <c r="H163" s="127" t="e">
        <f t="shared" ref="H163" si="335">+((G163-$M163)/$M163)*100</f>
        <v>#REF!</v>
      </c>
      <c r="I163">
        <f>+MTS_results!V163</f>
        <v>0</v>
      </c>
      <c r="J163" s="127" t="e">
        <f t="shared" ref="J163:L163" si="336">+((I163-$M163)/$M163)*100</f>
        <v>#REF!</v>
      </c>
      <c r="K163" t="e">
        <f>+#REF!</f>
        <v>#REF!</v>
      </c>
      <c r="L163" s="127" t="e">
        <f t="shared" si="336"/>
        <v>#REF!</v>
      </c>
      <c r="M163" s="128" t="e">
        <f t="shared" si="274"/>
        <v>#REF!</v>
      </c>
      <c r="N163" t="e">
        <f t="shared" si="275"/>
        <v>#REF!</v>
      </c>
      <c r="P163" s="40">
        <f>+PSO_results!AB163</f>
        <v>0</v>
      </c>
      <c r="Q163" s="40">
        <f>+PSO_results!AC163</f>
        <v>0</v>
      </c>
      <c r="R163" s="40">
        <f>+PSO_results!AD163</f>
        <v>0</v>
      </c>
      <c r="S163" s="40">
        <f>+PSO_results!AE163</f>
        <v>0</v>
      </c>
      <c r="T163" s="40">
        <f>+PSO_results!AF163</f>
        <v>0</v>
      </c>
      <c r="U163">
        <f>+GA_results!AB163</f>
        <v>0</v>
      </c>
      <c r="V163">
        <f>+GA_results!AC163</f>
        <v>0</v>
      </c>
      <c r="W163">
        <f>+GA_results!AD163</f>
        <v>0</v>
      </c>
      <c r="X163">
        <f>+GA_results!AE163</f>
        <v>0</v>
      </c>
      <c r="Y163">
        <f>+GA_results!AF163</f>
        <v>0</v>
      </c>
      <c r="Z163">
        <f>+DE_results!AB163</f>
        <v>0</v>
      </c>
      <c r="AA163">
        <f>+DE_results!AC163</f>
        <v>0</v>
      </c>
      <c r="AB163">
        <f>+DE_results!AD163</f>
        <v>0</v>
      </c>
      <c r="AC163">
        <f>+DE_results!AE163</f>
        <v>0</v>
      </c>
      <c r="AD163">
        <f>+DE_results!AF163</f>
        <v>0</v>
      </c>
      <c r="AE163">
        <f>+MTS_results!AB163</f>
        <v>0</v>
      </c>
      <c r="AF163">
        <f>+MTS_results!AC163</f>
        <v>0</v>
      </c>
      <c r="AG163">
        <f>+MTS_results!AD163</f>
        <v>0</v>
      </c>
      <c r="AH163">
        <f>+MTS_results!AE163</f>
        <v>0</v>
      </c>
      <c r="AI163">
        <f>+MTS_results!AF163</f>
        <v>0</v>
      </c>
      <c r="AJ163" t="e">
        <f>+#REF!</f>
        <v>#REF!</v>
      </c>
      <c r="AK163" s="84" t="e">
        <f t="shared" si="276"/>
        <v>#REF!</v>
      </c>
    </row>
    <row r="164" spans="1:37">
      <c r="D164" s="32" t="e">
        <f>AVERAGE(D4:D163)</f>
        <v>#REF!</v>
      </c>
      <c r="F164" s="32" t="e">
        <f>AVERAGE(F4:F163)</f>
        <v>#REF!</v>
      </c>
      <c r="H164" s="32" t="e">
        <f>AVERAGE(H4:H163)</f>
        <v>#REF!</v>
      </c>
      <c r="J164" s="32" t="e">
        <f>AVERAGE(J4:J163)</f>
        <v>#REF!</v>
      </c>
      <c r="L164" s="32" t="e">
        <f>AVERAGE(L4:L163)</f>
        <v>#REF!</v>
      </c>
    </row>
  </sheetData>
  <sortState xmlns:xlrd2="http://schemas.microsoft.com/office/spreadsheetml/2017/richdata2" ref="A142:P161">
    <sortCondition ref="B142:B161"/>
    <sortCondition ref="A142:A161"/>
  </sortState>
  <phoneticPr fontId="50" type="noConversion"/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1"/>
  <dimension ref="A1:T166"/>
  <sheetViews>
    <sheetView topLeftCell="A126" workbookViewId="0">
      <selection activeCell="R147" sqref="R147"/>
    </sheetView>
  </sheetViews>
  <sheetFormatPr defaultColWidth="8.86328125" defaultRowHeight="13.5"/>
  <cols>
    <col min="3" max="3" width="9.59765625" bestFit="1" customWidth="1"/>
    <col min="5" max="5" width="11" customWidth="1"/>
    <col min="7" max="7" width="10.3984375" customWidth="1"/>
    <col min="8" max="8" width="10.86328125" customWidth="1"/>
    <col min="18" max="18" width="10.86328125" customWidth="1"/>
    <col min="19" max="19" width="9.3984375" bestFit="1" customWidth="1"/>
    <col min="20" max="20" width="11.3984375" bestFit="1" customWidth="1"/>
  </cols>
  <sheetData>
    <row r="1" spans="1:20">
      <c r="R1" s="84" t="s">
        <v>249</v>
      </c>
    </row>
    <row r="2" spans="1:20">
      <c r="R2" s="84" t="s">
        <v>250</v>
      </c>
    </row>
    <row r="3" spans="1:20" ht="15.75">
      <c r="C3" s="89"/>
      <c r="D3" s="89"/>
      <c r="E3" s="89"/>
      <c r="F3" s="89"/>
      <c r="G3" s="89"/>
      <c r="H3" s="89"/>
      <c r="I3" s="89"/>
      <c r="J3" s="89"/>
      <c r="K3" s="89"/>
      <c r="P3" s="96"/>
      <c r="Q3" s="96"/>
      <c r="R3" t="s">
        <v>251</v>
      </c>
      <c r="S3" t="s">
        <v>252</v>
      </c>
      <c r="T3" t="s">
        <v>253</v>
      </c>
    </row>
    <row r="4" spans="1:20">
      <c r="A4">
        <v>1</v>
      </c>
      <c r="B4">
        <v>1</v>
      </c>
      <c r="C4">
        <v>10210</v>
      </c>
      <c r="D4">
        <v>0.38492230945105993</v>
      </c>
      <c r="E4">
        <v>61</v>
      </c>
      <c r="I4">
        <v>147</v>
      </c>
      <c r="J4">
        <v>18853</v>
      </c>
      <c r="K4">
        <v>47</v>
      </c>
      <c r="L4">
        <v>192</v>
      </c>
      <c r="M4">
        <v>548</v>
      </c>
      <c r="N4">
        <v>145</v>
      </c>
      <c r="R4">
        <f>+I164*1.4</f>
        <v>145.73999999999998</v>
      </c>
      <c r="S4">
        <f>+C164</f>
        <v>3486.8937500000002</v>
      </c>
      <c r="T4" s="129">
        <f>+S4/J164</f>
        <v>0.22241920951705113</v>
      </c>
    </row>
    <row r="5" spans="1:20">
      <c r="A5">
        <v>1</v>
      </c>
      <c r="B5">
        <v>2</v>
      </c>
      <c r="C5">
        <v>3942</v>
      </c>
      <c r="D5">
        <v>0.32438839382009033</v>
      </c>
      <c r="E5">
        <v>28</v>
      </c>
      <c r="I5">
        <v>182</v>
      </c>
      <c r="J5">
        <v>26990</v>
      </c>
      <c r="K5">
        <v>604</v>
      </c>
      <c r="L5">
        <v>20</v>
      </c>
      <c r="M5">
        <v>19</v>
      </c>
      <c r="N5">
        <v>321</v>
      </c>
    </row>
    <row r="6" spans="1:20">
      <c r="A6">
        <v>2</v>
      </c>
      <c r="B6">
        <v>1</v>
      </c>
      <c r="C6">
        <v>8316</v>
      </c>
      <c r="D6">
        <v>0.37062734305417494</v>
      </c>
      <c r="E6">
        <v>40</v>
      </c>
      <c r="I6">
        <v>83</v>
      </c>
      <c r="J6">
        <v>11197</v>
      </c>
      <c r="K6">
        <v>604</v>
      </c>
      <c r="L6">
        <v>20</v>
      </c>
      <c r="M6">
        <v>19</v>
      </c>
      <c r="N6">
        <v>321</v>
      </c>
    </row>
    <row r="7" spans="1:20">
      <c r="A7">
        <v>2</v>
      </c>
      <c r="B7">
        <v>2</v>
      </c>
      <c r="C7">
        <v>4399</v>
      </c>
      <c r="D7">
        <v>0.31583053998236077</v>
      </c>
      <c r="E7">
        <v>21</v>
      </c>
      <c r="I7">
        <v>151</v>
      </c>
      <c r="J7">
        <v>21685</v>
      </c>
      <c r="K7">
        <v>604</v>
      </c>
      <c r="L7">
        <v>20</v>
      </c>
      <c r="M7">
        <v>19</v>
      </c>
      <c r="N7">
        <v>321</v>
      </c>
    </row>
    <row r="8" spans="1:20">
      <c r="A8">
        <v>3</v>
      </c>
      <c r="B8">
        <v>1</v>
      </c>
      <c r="C8">
        <v>14676</v>
      </c>
      <c r="D8">
        <v>0.40838763072007378</v>
      </c>
      <c r="E8">
        <v>66</v>
      </c>
      <c r="I8">
        <v>145</v>
      </c>
      <c r="J8">
        <v>20438</v>
      </c>
      <c r="K8">
        <v>47</v>
      </c>
      <c r="L8">
        <v>192</v>
      </c>
      <c r="M8">
        <v>548</v>
      </c>
      <c r="N8">
        <v>145</v>
      </c>
    </row>
    <row r="9" spans="1:20">
      <c r="A9">
        <v>3</v>
      </c>
      <c r="B9">
        <v>2</v>
      </c>
      <c r="C9">
        <v>5556</v>
      </c>
      <c r="D9">
        <v>0.3355229111148807</v>
      </c>
      <c r="E9">
        <v>23</v>
      </c>
      <c r="I9">
        <v>60</v>
      </c>
      <c r="J9">
        <v>8437</v>
      </c>
      <c r="K9">
        <v>604</v>
      </c>
      <c r="L9">
        <v>20</v>
      </c>
      <c r="M9">
        <v>19</v>
      </c>
      <c r="N9">
        <v>321</v>
      </c>
    </row>
    <row r="10" spans="1:20">
      <c r="A10">
        <v>4</v>
      </c>
      <c r="B10">
        <v>1</v>
      </c>
      <c r="C10">
        <v>15657</v>
      </c>
      <c r="D10">
        <v>0.41671891071650291</v>
      </c>
      <c r="E10">
        <v>89</v>
      </c>
      <c r="I10">
        <v>210</v>
      </c>
      <c r="J10">
        <v>30062</v>
      </c>
      <c r="K10">
        <v>47</v>
      </c>
      <c r="L10">
        <v>192</v>
      </c>
      <c r="M10">
        <v>548</v>
      </c>
      <c r="N10">
        <v>145</v>
      </c>
    </row>
    <row r="11" spans="1:20">
      <c r="A11">
        <v>4</v>
      </c>
      <c r="B11">
        <v>2</v>
      </c>
      <c r="C11">
        <v>4904</v>
      </c>
      <c r="D11">
        <v>0.34531488606030697</v>
      </c>
      <c r="E11">
        <v>29</v>
      </c>
      <c r="I11">
        <v>136</v>
      </c>
      <c r="J11">
        <v>19309</v>
      </c>
      <c r="K11">
        <v>604</v>
      </c>
      <c r="L11">
        <v>20</v>
      </c>
      <c r="M11">
        <v>19</v>
      </c>
      <c r="N11">
        <v>321</v>
      </c>
    </row>
    <row r="12" spans="1:20">
      <c r="A12">
        <v>5</v>
      </c>
      <c r="B12">
        <v>1</v>
      </c>
      <c r="C12">
        <v>13258</v>
      </c>
      <c r="D12">
        <v>0.40077957767801442</v>
      </c>
      <c r="E12">
        <v>66</v>
      </c>
      <c r="I12">
        <v>174</v>
      </c>
      <c r="J12">
        <v>24782</v>
      </c>
      <c r="K12">
        <v>47</v>
      </c>
      <c r="L12">
        <v>192</v>
      </c>
      <c r="M12">
        <v>548</v>
      </c>
      <c r="N12">
        <v>145</v>
      </c>
    </row>
    <row r="13" spans="1:20">
      <c r="A13">
        <v>5</v>
      </c>
      <c r="B13">
        <v>2</v>
      </c>
      <c r="C13">
        <v>7810</v>
      </c>
      <c r="D13">
        <v>0.31383591150313989</v>
      </c>
      <c r="E13">
        <v>20</v>
      </c>
      <c r="I13">
        <v>135</v>
      </c>
      <c r="J13">
        <v>19334</v>
      </c>
      <c r="K13">
        <v>604</v>
      </c>
      <c r="L13">
        <v>20</v>
      </c>
      <c r="M13">
        <v>19</v>
      </c>
      <c r="N13">
        <v>321</v>
      </c>
    </row>
    <row r="14" spans="1:20">
      <c r="A14">
        <v>6</v>
      </c>
      <c r="B14">
        <v>1</v>
      </c>
      <c r="C14">
        <v>11002</v>
      </c>
      <c r="D14">
        <v>0.42622201476651883</v>
      </c>
      <c r="E14">
        <v>61</v>
      </c>
      <c r="I14">
        <v>157</v>
      </c>
      <c r="J14">
        <v>22526</v>
      </c>
      <c r="K14">
        <v>47</v>
      </c>
      <c r="L14">
        <v>192</v>
      </c>
      <c r="M14">
        <v>548</v>
      </c>
      <c r="N14">
        <v>145</v>
      </c>
    </row>
    <row r="15" spans="1:20">
      <c r="A15">
        <v>6</v>
      </c>
      <c r="B15">
        <v>2</v>
      </c>
      <c r="C15">
        <v>7688</v>
      </c>
      <c r="D15">
        <v>0.33463340256289903</v>
      </c>
      <c r="E15">
        <v>21</v>
      </c>
      <c r="I15">
        <v>175</v>
      </c>
      <c r="J15">
        <v>24974</v>
      </c>
      <c r="K15">
        <v>604</v>
      </c>
      <c r="L15">
        <v>20</v>
      </c>
      <c r="M15">
        <v>19</v>
      </c>
      <c r="N15">
        <v>321</v>
      </c>
    </row>
    <row r="16" spans="1:20">
      <c r="A16">
        <v>7</v>
      </c>
      <c r="B16">
        <v>1</v>
      </c>
      <c r="C16">
        <v>11409</v>
      </c>
      <c r="D16">
        <v>0.42554774708065007</v>
      </c>
      <c r="E16">
        <v>153</v>
      </c>
      <c r="I16">
        <v>161</v>
      </c>
      <c r="J16">
        <v>22933</v>
      </c>
      <c r="K16">
        <v>47</v>
      </c>
      <c r="L16">
        <v>192</v>
      </c>
      <c r="M16">
        <v>548</v>
      </c>
      <c r="N16">
        <v>145</v>
      </c>
    </row>
    <row r="17" spans="1:14">
      <c r="A17">
        <v>7</v>
      </c>
      <c r="B17">
        <v>2</v>
      </c>
      <c r="C17">
        <v>4810</v>
      </c>
      <c r="D17">
        <v>0.33486914621011538</v>
      </c>
      <c r="E17">
        <v>31</v>
      </c>
      <c r="I17">
        <v>96</v>
      </c>
      <c r="J17">
        <v>13453</v>
      </c>
      <c r="K17">
        <v>604</v>
      </c>
      <c r="L17">
        <v>20</v>
      </c>
      <c r="M17">
        <v>19</v>
      </c>
      <c r="N17">
        <v>321</v>
      </c>
    </row>
    <row r="18" spans="1:14">
      <c r="A18">
        <v>8</v>
      </c>
      <c r="B18">
        <v>1</v>
      </c>
      <c r="C18">
        <v>9680</v>
      </c>
      <c r="D18">
        <v>0.39245032339965075</v>
      </c>
      <c r="E18">
        <v>38</v>
      </c>
      <c r="I18">
        <v>189</v>
      </c>
      <c r="J18">
        <v>26966</v>
      </c>
      <c r="K18">
        <v>604</v>
      </c>
      <c r="L18">
        <v>20</v>
      </c>
      <c r="M18">
        <v>19</v>
      </c>
      <c r="N18">
        <v>321</v>
      </c>
    </row>
    <row r="19" spans="1:14">
      <c r="A19">
        <v>8</v>
      </c>
      <c r="B19">
        <v>2</v>
      </c>
      <c r="C19">
        <v>7040</v>
      </c>
      <c r="D19">
        <v>0.32343753939822972</v>
      </c>
      <c r="E19">
        <v>19</v>
      </c>
      <c r="I19">
        <v>170</v>
      </c>
      <c r="J19">
        <v>24326</v>
      </c>
      <c r="K19">
        <v>604</v>
      </c>
      <c r="L19">
        <v>20</v>
      </c>
      <c r="M19">
        <v>19</v>
      </c>
      <c r="N19">
        <v>321</v>
      </c>
    </row>
    <row r="20" spans="1:14">
      <c r="A20">
        <v>9</v>
      </c>
      <c r="B20">
        <v>1</v>
      </c>
      <c r="C20">
        <v>10738</v>
      </c>
      <c r="D20">
        <v>0.400647280297245</v>
      </c>
      <c r="E20">
        <v>62</v>
      </c>
      <c r="I20">
        <v>155</v>
      </c>
      <c r="J20">
        <v>22262</v>
      </c>
      <c r="K20">
        <v>47</v>
      </c>
      <c r="L20">
        <v>192</v>
      </c>
      <c r="M20">
        <v>548</v>
      </c>
      <c r="N20">
        <v>145</v>
      </c>
    </row>
    <row r="21" spans="1:14">
      <c r="A21">
        <v>9</v>
      </c>
      <c r="B21">
        <v>2</v>
      </c>
      <c r="C21">
        <v>5387</v>
      </c>
      <c r="D21">
        <v>0.33375563183112189</v>
      </c>
      <c r="E21">
        <v>26</v>
      </c>
      <c r="I21">
        <v>78</v>
      </c>
      <c r="J21">
        <v>11149</v>
      </c>
      <c r="K21">
        <v>604</v>
      </c>
      <c r="L21">
        <v>20</v>
      </c>
      <c r="M21">
        <v>19</v>
      </c>
      <c r="N21">
        <v>321</v>
      </c>
    </row>
    <row r="22" spans="1:14">
      <c r="A22">
        <v>10</v>
      </c>
      <c r="B22">
        <v>1</v>
      </c>
      <c r="C22">
        <v>10328</v>
      </c>
      <c r="D22">
        <v>0.3923032486254231</v>
      </c>
      <c r="E22">
        <v>60</v>
      </c>
      <c r="I22">
        <v>194</v>
      </c>
      <c r="J22">
        <v>27614</v>
      </c>
      <c r="K22">
        <v>47</v>
      </c>
      <c r="L22">
        <v>192</v>
      </c>
      <c r="M22">
        <v>548</v>
      </c>
      <c r="N22">
        <v>145</v>
      </c>
    </row>
    <row r="23" spans="1:14">
      <c r="A23">
        <v>10</v>
      </c>
      <c r="B23">
        <v>2</v>
      </c>
      <c r="C23">
        <v>10474</v>
      </c>
      <c r="D23">
        <v>0.3129788558400256</v>
      </c>
      <c r="E23">
        <v>21</v>
      </c>
      <c r="I23">
        <v>156</v>
      </c>
      <c r="J23">
        <v>21998</v>
      </c>
      <c r="K23">
        <v>604</v>
      </c>
      <c r="L23">
        <v>20</v>
      </c>
      <c r="M23">
        <v>19</v>
      </c>
      <c r="N23">
        <v>321</v>
      </c>
    </row>
    <row r="24" spans="1:14">
      <c r="A24">
        <v>11</v>
      </c>
      <c r="B24">
        <v>1</v>
      </c>
      <c r="C24">
        <v>6607</v>
      </c>
      <c r="D24">
        <v>0.43855443395402866</v>
      </c>
      <c r="E24">
        <v>18</v>
      </c>
      <c r="I24">
        <v>169</v>
      </c>
      <c r="J24">
        <v>23893</v>
      </c>
      <c r="K24">
        <v>604</v>
      </c>
      <c r="L24">
        <v>20</v>
      </c>
      <c r="M24">
        <v>19</v>
      </c>
      <c r="N24">
        <v>321</v>
      </c>
    </row>
    <row r="25" spans="1:14">
      <c r="A25">
        <v>11</v>
      </c>
      <c r="B25">
        <v>2</v>
      </c>
      <c r="C25">
        <v>4040</v>
      </c>
      <c r="D25">
        <v>0.35586390482813435</v>
      </c>
      <c r="E25">
        <v>9</v>
      </c>
      <c r="I25">
        <v>131</v>
      </c>
      <c r="J25">
        <v>18445</v>
      </c>
      <c r="K25">
        <v>604</v>
      </c>
      <c r="L25">
        <v>20</v>
      </c>
      <c r="M25">
        <v>19</v>
      </c>
      <c r="N25">
        <v>321</v>
      </c>
    </row>
    <row r="26" spans="1:14">
      <c r="A26">
        <v>12</v>
      </c>
      <c r="B26">
        <v>1</v>
      </c>
      <c r="C26">
        <v>6944</v>
      </c>
      <c r="D26">
        <v>0.43827706721241511</v>
      </c>
      <c r="E26">
        <v>18</v>
      </c>
      <c r="I26">
        <v>151</v>
      </c>
      <c r="J26">
        <v>21349</v>
      </c>
      <c r="K26">
        <v>604</v>
      </c>
      <c r="L26">
        <v>20</v>
      </c>
      <c r="M26">
        <v>19</v>
      </c>
      <c r="N26">
        <v>321</v>
      </c>
    </row>
    <row r="27" spans="1:14">
      <c r="A27">
        <v>12</v>
      </c>
      <c r="B27">
        <v>2</v>
      </c>
      <c r="C27">
        <v>4112</v>
      </c>
      <c r="D27">
        <v>0.35212431308295472</v>
      </c>
      <c r="E27">
        <v>9</v>
      </c>
      <c r="I27">
        <v>124</v>
      </c>
      <c r="J27">
        <v>18517</v>
      </c>
      <c r="K27">
        <v>604</v>
      </c>
      <c r="L27">
        <v>20</v>
      </c>
      <c r="M27">
        <v>19</v>
      </c>
      <c r="N27">
        <v>321</v>
      </c>
    </row>
    <row r="28" spans="1:14">
      <c r="A28">
        <v>13</v>
      </c>
      <c r="B28">
        <v>1</v>
      </c>
      <c r="C28">
        <v>6776</v>
      </c>
      <c r="D28">
        <v>0.43555677175201818</v>
      </c>
      <c r="E28">
        <v>17</v>
      </c>
      <c r="I28">
        <v>167</v>
      </c>
      <c r="J28">
        <v>24062</v>
      </c>
      <c r="K28">
        <v>604</v>
      </c>
      <c r="L28">
        <v>20</v>
      </c>
      <c r="M28">
        <v>19</v>
      </c>
      <c r="N28">
        <v>321</v>
      </c>
    </row>
    <row r="29" spans="1:14">
      <c r="A29">
        <v>13</v>
      </c>
      <c r="B29">
        <v>2</v>
      </c>
      <c r="C29">
        <v>821</v>
      </c>
      <c r="D29">
        <v>0.35396976716007295</v>
      </c>
      <c r="E29">
        <v>9</v>
      </c>
      <c r="I29">
        <v>190</v>
      </c>
      <c r="J29">
        <v>26750</v>
      </c>
      <c r="K29">
        <v>604</v>
      </c>
      <c r="L29">
        <v>20</v>
      </c>
      <c r="M29">
        <v>19</v>
      </c>
      <c r="N29">
        <v>321</v>
      </c>
    </row>
    <row r="30" spans="1:14">
      <c r="A30">
        <v>14</v>
      </c>
      <c r="B30">
        <v>1</v>
      </c>
      <c r="C30">
        <v>3798</v>
      </c>
      <c r="D30">
        <v>0.4271842270368012</v>
      </c>
      <c r="E30">
        <v>16</v>
      </c>
      <c r="I30">
        <v>186</v>
      </c>
      <c r="J30">
        <v>26846</v>
      </c>
      <c r="K30">
        <v>604</v>
      </c>
      <c r="L30">
        <v>20</v>
      </c>
      <c r="M30">
        <v>19</v>
      </c>
      <c r="N30">
        <v>321</v>
      </c>
    </row>
    <row r="31" spans="1:14">
      <c r="A31">
        <v>14</v>
      </c>
      <c r="B31">
        <v>2</v>
      </c>
      <c r="C31">
        <v>1014</v>
      </c>
      <c r="D31">
        <v>0.33591993192555702</v>
      </c>
      <c r="E31">
        <v>8</v>
      </c>
      <c r="I31">
        <v>156</v>
      </c>
      <c r="J31">
        <v>24062</v>
      </c>
      <c r="K31">
        <v>604</v>
      </c>
      <c r="L31">
        <v>20</v>
      </c>
      <c r="M31">
        <v>19</v>
      </c>
      <c r="N31">
        <v>321</v>
      </c>
    </row>
    <row r="32" spans="1:14">
      <c r="A32">
        <v>15</v>
      </c>
      <c r="B32">
        <v>1</v>
      </c>
      <c r="C32">
        <v>9464</v>
      </c>
      <c r="D32">
        <v>0.43710680573622418</v>
      </c>
      <c r="E32">
        <v>17</v>
      </c>
      <c r="I32">
        <v>185</v>
      </c>
      <c r="J32">
        <v>26750</v>
      </c>
      <c r="K32">
        <v>604</v>
      </c>
      <c r="L32">
        <v>20</v>
      </c>
      <c r="M32">
        <v>19</v>
      </c>
      <c r="N32">
        <v>321</v>
      </c>
    </row>
    <row r="33" spans="1:14">
      <c r="A33">
        <v>15</v>
      </c>
      <c r="B33">
        <v>2</v>
      </c>
      <c r="C33">
        <v>3895</v>
      </c>
      <c r="D33">
        <v>0.3538417704025863</v>
      </c>
      <c r="E33">
        <v>9</v>
      </c>
      <c r="I33">
        <v>148</v>
      </c>
      <c r="J33">
        <v>21181</v>
      </c>
      <c r="K33">
        <v>604</v>
      </c>
      <c r="L33">
        <v>20</v>
      </c>
      <c r="M33">
        <v>19</v>
      </c>
      <c r="N33">
        <v>321</v>
      </c>
    </row>
    <row r="34" spans="1:14">
      <c r="A34">
        <v>16</v>
      </c>
      <c r="B34">
        <v>1</v>
      </c>
      <c r="C34">
        <v>3678</v>
      </c>
      <c r="D34">
        <v>0.43521060038211756</v>
      </c>
      <c r="E34">
        <v>21</v>
      </c>
      <c r="I34">
        <v>188</v>
      </c>
      <c r="J34">
        <v>26726</v>
      </c>
      <c r="K34">
        <v>604</v>
      </c>
      <c r="L34">
        <v>20</v>
      </c>
      <c r="M34">
        <v>19</v>
      </c>
      <c r="N34">
        <v>321</v>
      </c>
    </row>
    <row r="35" spans="1:14">
      <c r="A35">
        <v>16</v>
      </c>
      <c r="B35">
        <v>2</v>
      </c>
      <c r="C35">
        <v>846</v>
      </c>
      <c r="D35">
        <v>0.34770190434457238</v>
      </c>
      <c r="E35">
        <v>9</v>
      </c>
      <c r="I35">
        <v>169</v>
      </c>
      <c r="J35">
        <v>23894</v>
      </c>
      <c r="K35">
        <v>604</v>
      </c>
      <c r="L35">
        <v>20</v>
      </c>
      <c r="M35">
        <v>19</v>
      </c>
      <c r="N35">
        <v>321</v>
      </c>
    </row>
    <row r="36" spans="1:14">
      <c r="A36">
        <v>17</v>
      </c>
      <c r="B36">
        <v>1</v>
      </c>
      <c r="C36">
        <v>3750</v>
      </c>
      <c r="D36">
        <v>0.42963970532677065</v>
      </c>
      <c r="E36">
        <v>16</v>
      </c>
      <c r="I36">
        <v>188</v>
      </c>
      <c r="J36">
        <v>26798</v>
      </c>
      <c r="K36">
        <v>604</v>
      </c>
      <c r="L36">
        <v>20</v>
      </c>
      <c r="M36">
        <v>19</v>
      </c>
      <c r="N36">
        <v>321</v>
      </c>
    </row>
    <row r="37" spans="1:14">
      <c r="A37">
        <v>17</v>
      </c>
      <c r="B37">
        <v>2</v>
      </c>
      <c r="C37">
        <v>990</v>
      </c>
      <c r="D37">
        <v>0.33975999384613115</v>
      </c>
      <c r="E37">
        <v>8</v>
      </c>
      <c r="I37">
        <v>169</v>
      </c>
      <c r="J37">
        <v>24038</v>
      </c>
      <c r="K37">
        <v>604</v>
      </c>
      <c r="L37">
        <v>20</v>
      </c>
      <c r="M37">
        <v>19</v>
      </c>
      <c r="N37">
        <v>321</v>
      </c>
    </row>
    <row r="38" spans="1:14">
      <c r="A38">
        <v>18</v>
      </c>
      <c r="B38">
        <v>1</v>
      </c>
      <c r="C38">
        <v>748</v>
      </c>
      <c r="D38">
        <v>0.43766999203701956</v>
      </c>
      <c r="E38">
        <v>19</v>
      </c>
      <c r="I38">
        <v>208</v>
      </c>
      <c r="J38">
        <v>29558</v>
      </c>
      <c r="K38">
        <v>604</v>
      </c>
      <c r="L38">
        <v>20</v>
      </c>
      <c r="M38">
        <v>19</v>
      </c>
      <c r="N38">
        <v>321</v>
      </c>
    </row>
    <row r="39" spans="1:14">
      <c r="A39">
        <v>18</v>
      </c>
      <c r="B39">
        <v>2</v>
      </c>
      <c r="C39">
        <v>3943</v>
      </c>
      <c r="D39">
        <v>0.34887840074630927</v>
      </c>
      <c r="E39">
        <v>9</v>
      </c>
      <c r="I39">
        <v>151</v>
      </c>
      <c r="J39">
        <v>21229</v>
      </c>
      <c r="K39">
        <v>604</v>
      </c>
      <c r="L39">
        <v>20</v>
      </c>
      <c r="M39">
        <v>19</v>
      </c>
      <c r="N39">
        <v>321</v>
      </c>
    </row>
    <row r="40" spans="1:14">
      <c r="A40">
        <v>19</v>
      </c>
      <c r="B40">
        <v>1</v>
      </c>
      <c r="C40">
        <v>6655</v>
      </c>
      <c r="D40">
        <v>0.43618421317713918</v>
      </c>
      <c r="E40">
        <v>17</v>
      </c>
      <c r="I40">
        <v>167</v>
      </c>
      <c r="J40">
        <v>23941</v>
      </c>
      <c r="K40">
        <v>604</v>
      </c>
      <c r="L40">
        <v>20</v>
      </c>
      <c r="M40">
        <v>19</v>
      </c>
      <c r="N40">
        <v>321</v>
      </c>
    </row>
    <row r="41" spans="1:14">
      <c r="A41">
        <v>19</v>
      </c>
      <c r="B41">
        <v>2</v>
      </c>
      <c r="C41">
        <v>3895</v>
      </c>
      <c r="D41">
        <v>0.35564741526805449</v>
      </c>
      <c r="E41">
        <v>9</v>
      </c>
      <c r="I41">
        <v>144</v>
      </c>
      <c r="J41">
        <v>21181</v>
      </c>
      <c r="K41">
        <v>604</v>
      </c>
      <c r="L41">
        <v>20</v>
      </c>
      <c r="M41">
        <v>19</v>
      </c>
      <c r="N41">
        <v>321</v>
      </c>
    </row>
    <row r="42" spans="1:14">
      <c r="A42">
        <v>20</v>
      </c>
      <c r="B42">
        <v>1</v>
      </c>
      <c r="C42">
        <v>6800</v>
      </c>
      <c r="D42">
        <v>0.43867010382327537</v>
      </c>
      <c r="E42">
        <v>18</v>
      </c>
      <c r="I42">
        <v>168</v>
      </c>
      <c r="J42">
        <v>24086</v>
      </c>
      <c r="K42">
        <v>604</v>
      </c>
      <c r="L42">
        <v>20</v>
      </c>
      <c r="M42">
        <v>19</v>
      </c>
      <c r="N42">
        <v>321</v>
      </c>
    </row>
    <row r="43" spans="1:14">
      <c r="A43">
        <v>20</v>
      </c>
      <c r="B43">
        <v>2</v>
      </c>
      <c r="C43">
        <v>6800</v>
      </c>
      <c r="D43">
        <v>0.35324743992307522</v>
      </c>
      <c r="E43">
        <v>9</v>
      </c>
      <c r="I43">
        <v>167</v>
      </c>
      <c r="J43">
        <v>24086</v>
      </c>
      <c r="K43">
        <v>604</v>
      </c>
      <c r="L43">
        <v>20</v>
      </c>
      <c r="M43">
        <v>19</v>
      </c>
      <c r="N43">
        <v>321</v>
      </c>
    </row>
    <row r="44" spans="1:14">
      <c r="A44">
        <v>21</v>
      </c>
      <c r="B44">
        <v>1</v>
      </c>
      <c r="C44">
        <v>6463</v>
      </c>
      <c r="D44">
        <v>0.23626968348128671</v>
      </c>
      <c r="E44">
        <v>15</v>
      </c>
      <c r="I44">
        <v>163</v>
      </c>
      <c r="J44">
        <v>23749</v>
      </c>
      <c r="K44">
        <v>604</v>
      </c>
      <c r="L44">
        <v>20</v>
      </c>
      <c r="M44">
        <v>19</v>
      </c>
      <c r="N44">
        <v>321</v>
      </c>
    </row>
    <row r="45" spans="1:14">
      <c r="A45">
        <v>21</v>
      </c>
      <c r="B45">
        <v>2</v>
      </c>
      <c r="C45">
        <v>3775</v>
      </c>
      <c r="D45">
        <v>0.18230140606706396</v>
      </c>
      <c r="E45">
        <v>7</v>
      </c>
      <c r="I45">
        <v>146</v>
      </c>
      <c r="J45">
        <v>21061</v>
      </c>
      <c r="K45">
        <v>391</v>
      </c>
      <c r="L45">
        <v>1</v>
      </c>
      <c r="M45">
        <v>1</v>
      </c>
      <c r="N45">
        <v>353</v>
      </c>
    </row>
    <row r="46" spans="1:14">
      <c r="A46">
        <v>22</v>
      </c>
      <c r="B46">
        <v>1</v>
      </c>
      <c r="C46">
        <v>772</v>
      </c>
      <c r="D46">
        <v>0.21049087776686207</v>
      </c>
      <c r="E46">
        <v>13</v>
      </c>
      <c r="I46">
        <v>205</v>
      </c>
      <c r="J46">
        <v>29582</v>
      </c>
      <c r="K46">
        <v>604</v>
      </c>
      <c r="L46">
        <v>20</v>
      </c>
      <c r="M46">
        <v>19</v>
      </c>
      <c r="N46">
        <v>321</v>
      </c>
    </row>
    <row r="47" spans="1:14">
      <c r="A47">
        <v>22</v>
      </c>
      <c r="B47">
        <v>2</v>
      </c>
      <c r="C47">
        <v>3967</v>
      </c>
      <c r="D47">
        <v>0.17071898768237401</v>
      </c>
      <c r="E47">
        <v>7</v>
      </c>
      <c r="I47">
        <v>146</v>
      </c>
      <c r="J47">
        <v>21253</v>
      </c>
      <c r="K47">
        <v>391</v>
      </c>
      <c r="L47">
        <v>1</v>
      </c>
      <c r="M47">
        <v>1</v>
      </c>
      <c r="N47">
        <v>353</v>
      </c>
    </row>
    <row r="48" spans="1:14">
      <c r="A48">
        <v>23</v>
      </c>
      <c r="B48">
        <v>1</v>
      </c>
      <c r="C48">
        <v>3582</v>
      </c>
      <c r="D48">
        <v>0.230605536573252</v>
      </c>
      <c r="E48">
        <v>15</v>
      </c>
      <c r="I48">
        <v>184</v>
      </c>
      <c r="J48">
        <v>26630</v>
      </c>
      <c r="K48">
        <v>604</v>
      </c>
      <c r="L48">
        <v>20</v>
      </c>
      <c r="M48">
        <v>19</v>
      </c>
      <c r="N48">
        <v>321</v>
      </c>
    </row>
    <row r="49" spans="1:20">
      <c r="A49">
        <v>23</v>
      </c>
      <c r="B49">
        <v>2</v>
      </c>
      <c r="C49">
        <v>773</v>
      </c>
      <c r="D49">
        <v>0.18734886333009063</v>
      </c>
      <c r="E49">
        <v>8</v>
      </c>
      <c r="I49">
        <v>180</v>
      </c>
      <c r="J49">
        <v>26702</v>
      </c>
      <c r="K49">
        <v>391</v>
      </c>
      <c r="L49">
        <v>1</v>
      </c>
      <c r="M49">
        <v>1</v>
      </c>
      <c r="N49">
        <v>353</v>
      </c>
    </row>
    <row r="50" spans="1:20">
      <c r="A50">
        <v>24</v>
      </c>
      <c r="B50">
        <v>1</v>
      </c>
      <c r="C50">
        <v>6535</v>
      </c>
      <c r="D50">
        <v>0.23095618009685998</v>
      </c>
      <c r="E50">
        <v>17</v>
      </c>
      <c r="I50">
        <v>163</v>
      </c>
      <c r="J50">
        <v>23821</v>
      </c>
      <c r="K50">
        <v>604</v>
      </c>
      <c r="L50">
        <v>20</v>
      </c>
      <c r="M50">
        <v>19</v>
      </c>
      <c r="N50">
        <v>321</v>
      </c>
    </row>
    <row r="51" spans="1:20">
      <c r="A51">
        <v>24</v>
      </c>
      <c r="B51">
        <v>2</v>
      </c>
      <c r="C51">
        <v>701</v>
      </c>
      <c r="D51">
        <v>0.18093441313813799</v>
      </c>
      <c r="E51">
        <v>8</v>
      </c>
      <c r="I51">
        <v>181</v>
      </c>
      <c r="J51">
        <v>26630</v>
      </c>
      <c r="K51">
        <v>391</v>
      </c>
      <c r="L51">
        <v>1</v>
      </c>
      <c r="M51">
        <v>1</v>
      </c>
      <c r="N51">
        <v>353</v>
      </c>
    </row>
    <row r="52" spans="1:20" s="115" customFormat="1">
      <c r="A52" s="115">
        <v>25</v>
      </c>
      <c r="B52" s="115">
        <v>1</v>
      </c>
      <c r="C52" s="115">
        <v>724</v>
      </c>
      <c r="D52" s="115">
        <v>0.20114698421553065</v>
      </c>
      <c r="E52" s="115">
        <v>12</v>
      </c>
      <c r="I52" s="115">
        <v>203</v>
      </c>
      <c r="J52" s="115">
        <v>29534</v>
      </c>
      <c r="K52" s="115">
        <v>604</v>
      </c>
      <c r="L52" s="115">
        <v>20</v>
      </c>
      <c r="M52" s="115">
        <v>19</v>
      </c>
      <c r="N52" s="115">
        <v>321</v>
      </c>
    </row>
    <row r="53" spans="1:20">
      <c r="A53">
        <v>25</v>
      </c>
      <c r="B53">
        <v>2</v>
      </c>
      <c r="C53">
        <v>3919</v>
      </c>
      <c r="D53">
        <v>0.16589857441917483</v>
      </c>
      <c r="E53">
        <v>7</v>
      </c>
      <c r="I53">
        <v>145</v>
      </c>
      <c r="J53">
        <v>21205</v>
      </c>
      <c r="K53">
        <v>391</v>
      </c>
      <c r="L53">
        <v>1</v>
      </c>
      <c r="M53">
        <v>1</v>
      </c>
      <c r="N53">
        <v>353</v>
      </c>
    </row>
    <row r="54" spans="1:20">
      <c r="A54">
        <v>26</v>
      </c>
      <c r="B54">
        <v>1</v>
      </c>
      <c r="C54">
        <v>3774</v>
      </c>
      <c r="D54">
        <v>0.20429968080596841</v>
      </c>
      <c r="E54">
        <v>12</v>
      </c>
      <c r="I54">
        <v>184</v>
      </c>
      <c r="J54">
        <v>26822</v>
      </c>
      <c r="K54">
        <v>604</v>
      </c>
      <c r="L54">
        <v>20</v>
      </c>
      <c r="M54">
        <v>19</v>
      </c>
      <c r="N54">
        <v>321</v>
      </c>
    </row>
    <row r="55" spans="1:20">
      <c r="A55">
        <v>26</v>
      </c>
      <c r="B55">
        <v>2</v>
      </c>
      <c r="C55">
        <v>3919</v>
      </c>
      <c r="D55">
        <v>0.16818477541371255</v>
      </c>
      <c r="E55">
        <v>7</v>
      </c>
      <c r="I55">
        <v>146</v>
      </c>
      <c r="J55">
        <v>21205</v>
      </c>
      <c r="K55">
        <v>391</v>
      </c>
      <c r="L55">
        <v>1</v>
      </c>
      <c r="M55">
        <v>1</v>
      </c>
      <c r="N55">
        <v>353</v>
      </c>
    </row>
    <row r="56" spans="1:20">
      <c r="A56">
        <v>27</v>
      </c>
      <c r="B56">
        <v>1</v>
      </c>
      <c r="C56">
        <v>628</v>
      </c>
      <c r="D56">
        <v>0.21857826914338788</v>
      </c>
      <c r="E56">
        <v>13</v>
      </c>
      <c r="I56">
        <v>203</v>
      </c>
      <c r="J56">
        <v>29438</v>
      </c>
      <c r="K56">
        <v>604</v>
      </c>
      <c r="L56">
        <v>20</v>
      </c>
      <c r="M56">
        <v>19</v>
      </c>
      <c r="N56">
        <v>321</v>
      </c>
    </row>
    <row r="57" spans="1:20">
      <c r="A57">
        <v>27</v>
      </c>
      <c r="B57">
        <v>2</v>
      </c>
      <c r="C57">
        <v>3847</v>
      </c>
      <c r="D57">
        <v>0.17277017661722488</v>
      </c>
      <c r="E57">
        <v>7</v>
      </c>
      <c r="I57">
        <v>145</v>
      </c>
      <c r="J57">
        <v>21133</v>
      </c>
      <c r="K57">
        <v>391</v>
      </c>
      <c r="L57">
        <v>1</v>
      </c>
      <c r="M57">
        <v>1</v>
      </c>
      <c r="N57">
        <v>353</v>
      </c>
    </row>
    <row r="58" spans="1:20">
      <c r="A58">
        <v>28</v>
      </c>
      <c r="B58">
        <v>1</v>
      </c>
      <c r="C58">
        <v>6871</v>
      </c>
      <c r="D58">
        <v>0.22260986455295678</v>
      </c>
      <c r="E58">
        <v>17</v>
      </c>
      <c r="I58">
        <v>162</v>
      </c>
      <c r="J58">
        <v>24157</v>
      </c>
      <c r="K58">
        <v>604</v>
      </c>
      <c r="L58">
        <v>20</v>
      </c>
      <c r="M58">
        <v>19</v>
      </c>
      <c r="N58">
        <v>321</v>
      </c>
    </row>
    <row r="59" spans="1:20">
      <c r="A59">
        <v>28</v>
      </c>
      <c r="B59">
        <v>2</v>
      </c>
      <c r="C59">
        <v>2221</v>
      </c>
      <c r="D59">
        <v>0.12747337937263933</v>
      </c>
      <c r="E59">
        <v>-1</v>
      </c>
      <c r="I59">
        <v>15</v>
      </c>
      <c r="J59">
        <v>2221</v>
      </c>
      <c r="K59">
        <v>391</v>
      </c>
      <c r="L59">
        <v>1</v>
      </c>
      <c r="M59">
        <v>1</v>
      </c>
      <c r="N59">
        <v>353</v>
      </c>
    </row>
    <row r="60" spans="1:20">
      <c r="A60">
        <v>29</v>
      </c>
      <c r="B60">
        <v>1</v>
      </c>
      <c r="C60">
        <v>3895</v>
      </c>
      <c r="D60">
        <v>0.22101488081931875</v>
      </c>
      <c r="E60">
        <v>14</v>
      </c>
      <c r="I60">
        <v>146</v>
      </c>
      <c r="J60">
        <v>21181</v>
      </c>
      <c r="K60">
        <v>604</v>
      </c>
      <c r="L60">
        <v>20</v>
      </c>
      <c r="M60">
        <v>19</v>
      </c>
      <c r="N60">
        <v>321</v>
      </c>
    </row>
    <row r="61" spans="1:20">
      <c r="A61">
        <v>29</v>
      </c>
      <c r="B61">
        <v>2</v>
      </c>
      <c r="C61">
        <v>3847</v>
      </c>
      <c r="D61">
        <v>0.17399598962089632</v>
      </c>
      <c r="E61">
        <v>7</v>
      </c>
      <c r="I61">
        <v>145</v>
      </c>
      <c r="J61">
        <v>21133</v>
      </c>
      <c r="K61">
        <v>391</v>
      </c>
      <c r="L61">
        <v>1</v>
      </c>
      <c r="M61">
        <v>1</v>
      </c>
      <c r="N61">
        <v>353</v>
      </c>
    </row>
    <row r="62" spans="1:20" s="83" customFormat="1">
      <c r="A62" s="83">
        <v>30</v>
      </c>
      <c r="B62" s="83">
        <v>1</v>
      </c>
      <c r="C62" s="83">
        <v>3943</v>
      </c>
      <c r="D62" s="83">
        <v>0.20196646470093585</v>
      </c>
      <c r="E62" s="83">
        <v>12</v>
      </c>
      <c r="I62" s="83">
        <v>146</v>
      </c>
      <c r="J62" s="83">
        <v>21229</v>
      </c>
      <c r="K62" s="83">
        <v>604</v>
      </c>
      <c r="L62" s="83">
        <v>20</v>
      </c>
      <c r="M62" s="83">
        <v>19</v>
      </c>
      <c r="N62" s="83">
        <v>321</v>
      </c>
      <c r="T62"/>
    </row>
    <row r="63" spans="1:20">
      <c r="A63">
        <v>30</v>
      </c>
      <c r="B63">
        <v>2</v>
      </c>
      <c r="C63">
        <v>869</v>
      </c>
      <c r="D63">
        <v>0.16352471446764788</v>
      </c>
      <c r="E63">
        <v>7</v>
      </c>
      <c r="I63">
        <v>185</v>
      </c>
      <c r="J63">
        <v>26798</v>
      </c>
      <c r="K63">
        <v>391</v>
      </c>
      <c r="L63">
        <v>1</v>
      </c>
      <c r="M63">
        <v>1</v>
      </c>
      <c r="N63">
        <v>353</v>
      </c>
    </row>
    <row r="64" spans="1:20">
      <c r="A64">
        <v>31</v>
      </c>
      <c r="B64">
        <v>1</v>
      </c>
      <c r="C64">
        <v>3172</v>
      </c>
      <c r="D64">
        <v>0.22789715213240713</v>
      </c>
      <c r="E64">
        <v>7</v>
      </c>
      <c r="I64">
        <v>215</v>
      </c>
      <c r="J64">
        <v>31982</v>
      </c>
      <c r="K64">
        <v>604</v>
      </c>
      <c r="L64">
        <v>20</v>
      </c>
      <c r="M64">
        <v>19</v>
      </c>
      <c r="N64">
        <v>321</v>
      </c>
    </row>
    <row r="65" spans="1:14">
      <c r="A65">
        <v>31</v>
      </c>
      <c r="B65">
        <v>2</v>
      </c>
      <c r="C65">
        <v>436</v>
      </c>
      <c r="D65">
        <v>0.19611461011514986</v>
      </c>
      <c r="E65">
        <v>5</v>
      </c>
      <c r="I65">
        <v>173</v>
      </c>
      <c r="J65">
        <v>29246</v>
      </c>
      <c r="K65">
        <v>391</v>
      </c>
      <c r="L65">
        <v>1</v>
      </c>
      <c r="M65">
        <v>1</v>
      </c>
      <c r="N65">
        <v>353</v>
      </c>
    </row>
    <row r="66" spans="1:14">
      <c r="A66">
        <v>32</v>
      </c>
      <c r="B66">
        <v>1</v>
      </c>
      <c r="C66">
        <v>3172</v>
      </c>
      <c r="D66">
        <v>0.22974135789607322</v>
      </c>
      <c r="E66">
        <v>7</v>
      </c>
      <c r="I66">
        <v>217</v>
      </c>
      <c r="J66">
        <v>31982</v>
      </c>
      <c r="K66">
        <v>604</v>
      </c>
      <c r="L66">
        <v>20</v>
      </c>
      <c r="M66">
        <v>19</v>
      </c>
      <c r="N66">
        <v>321</v>
      </c>
    </row>
    <row r="67" spans="1:14">
      <c r="A67">
        <v>32</v>
      </c>
      <c r="B67">
        <v>2</v>
      </c>
      <c r="C67">
        <v>436</v>
      </c>
      <c r="D67">
        <v>0.19676080670443652</v>
      </c>
      <c r="E67">
        <v>5</v>
      </c>
      <c r="I67">
        <v>171</v>
      </c>
      <c r="J67">
        <v>29246</v>
      </c>
      <c r="K67">
        <v>391</v>
      </c>
      <c r="L67">
        <v>1</v>
      </c>
      <c r="M67">
        <v>1</v>
      </c>
      <c r="N67">
        <v>353</v>
      </c>
    </row>
    <row r="68" spans="1:14">
      <c r="A68">
        <v>33</v>
      </c>
      <c r="B68">
        <v>1</v>
      </c>
      <c r="C68">
        <v>146</v>
      </c>
      <c r="D68">
        <v>0.23247996574050636</v>
      </c>
      <c r="E68">
        <v>7</v>
      </c>
      <c r="I68">
        <v>228</v>
      </c>
      <c r="J68">
        <v>34718</v>
      </c>
      <c r="K68">
        <v>604</v>
      </c>
      <c r="L68">
        <v>20</v>
      </c>
      <c r="M68">
        <v>19</v>
      </c>
      <c r="N68">
        <v>321</v>
      </c>
    </row>
    <row r="69" spans="1:14">
      <c r="A69">
        <v>33</v>
      </c>
      <c r="B69">
        <v>2</v>
      </c>
      <c r="C69">
        <v>291</v>
      </c>
      <c r="D69">
        <v>0.19944760468852724</v>
      </c>
      <c r="E69">
        <v>5</v>
      </c>
      <c r="I69">
        <v>188</v>
      </c>
      <c r="J69">
        <v>31982</v>
      </c>
      <c r="K69">
        <v>391</v>
      </c>
      <c r="L69">
        <v>1</v>
      </c>
      <c r="M69">
        <v>1</v>
      </c>
      <c r="N69">
        <v>353</v>
      </c>
    </row>
    <row r="70" spans="1:14">
      <c r="A70">
        <v>34</v>
      </c>
      <c r="B70">
        <v>1</v>
      </c>
      <c r="C70">
        <v>3172</v>
      </c>
      <c r="D70">
        <v>0.22679830897212255</v>
      </c>
      <c r="E70">
        <v>7</v>
      </c>
      <c r="I70">
        <v>210</v>
      </c>
      <c r="J70">
        <v>31982</v>
      </c>
      <c r="K70">
        <v>604</v>
      </c>
      <c r="L70">
        <v>20</v>
      </c>
      <c r="M70">
        <v>19</v>
      </c>
      <c r="N70">
        <v>321</v>
      </c>
    </row>
    <row r="71" spans="1:14">
      <c r="A71">
        <v>34</v>
      </c>
      <c r="B71">
        <v>2</v>
      </c>
      <c r="C71">
        <v>436</v>
      </c>
      <c r="D71">
        <v>0.1967365447989749</v>
      </c>
      <c r="E71">
        <v>5</v>
      </c>
      <c r="I71">
        <v>174</v>
      </c>
      <c r="J71">
        <v>29246</v>
      </c>
      <c r="K71">
        <v>391</v>
      </c>
      <c r="L71">
        <v>1</v>
      </c>
      <c r="M71">
        <v>1</v>
      </c>
      <c r="N71">
        <v>353</v>
      </c>
    </row>
    <row r="72" spans="1:14">
      <c r="A72">
        <v>35</v>
      </c>
      <c r="B72">
        <v>1</v>
      </c>
      <c r="C72">
        <v>339</v>
      </c>
      <c r="D72">
        <v>0.23152862853506134</v>
      </c>
      <c r="E72">
        <v>7</v>
      </c>
      <c r="I72">
        <v>212</v>
      </c>
      <c r="J72">
        <v>32030</v>
      </c>
      <c r="K72">
        <v>604</v>
      </c>
      <c r="L72">
        <v>20</v>
      </c>
      <c r="M72">
        <v>19</v>
      </c>
      <c r="N72">
        <v>321</v>
      </c>
    </row>
    <row r="73" spans="1:14">
      <c r="A73">
        <v>35</v>
      </c>
      <c r="B73">
        <v>2</v>
      </c>
      <c r="C73">
        <v>484</v>
      </c>
      <c r="D73">
        <v>0.19876609609187842</v>
      </c>
      <c r="E73">
        <v>5</v>
      </c>
      <c r="I73">
        <v>174</v>
      </c>
      <c r="J73">
        <v>29294</v>
      </c>
      <c r="K73">
        <v>391</v>
      </c>
      <c r="L73">
        <v>1</v>
      </c>
      <c r="M73">
        <v>1</v>
      </c>
      <c r="N73">
        <v>353</v>
      </c>
    </row>
    <row r="74" spans="1:14">
      <c r="A74">
        <v>36</v>
      </c>
      <c r="B74">
        <v>1</v>
      </c>
      <c r="C74">
        <v>3172</v>
      </c>
      <c r="D74">
        <v>0.23147507230108855</v>
      </c>
      <c r="E74">
        <v>7</v>
      </c>
      <c r="I74">
        <v>216</v>
      </c>
      <c r="J74">
        <v>31982</v>
      </c>
      <c r="K74">
        <v>604</v>
      </c>
      <c r="L74">
        <v>20</v>
      </c>
      <c r="M74">
        <v>19</v>
      </c>
      <c r="N74">
        <v>321</v>
      </c>
    </row>
    <row r="75" spans="1:14">
      <c r="A75">
        <v>36</v>
      </c>
      <c r="B75">
        <v>2</v>
      </c>
      <c r="C75">
        <v>436</v>
      </c>
      <c r="D75">
        <v>0.19754102268365309</v>
      </c>
      <c r="E75">
        <v>5</v>
      </c>
      <c r="I75">
        <v>171</v>
      </c>
      <c r="J75">
        <v>29246</v>
      </c>
      <c r="K75">
        <v>391</v>
      </c>
      <c r="L75">
        <v>1</v>
      </c>
      <c r="M75">
        <v>1</v>
      </c>
      <c r="N75">
        <v>353</v>
      </c>
    </row>
    <row r="76" spans="1:14">
      <c r="A76">
        <v>37</v>
      </c>
      <c r="B76">
        <v>1</v>
      </c>
      <c r="C76">
        <v>3172</v>
      </c>
      <c r="D76">
        <v>0.23274032674119607</v>
      </c>
      <c r="E76">
        <v>7</v>
      </c>
      <c r="I76">
        <v>210</v>
      </c>
      <c r="J76">
        <v>31982</v>
      </c>
      <c r="K76">
        <v>391</v>
      </c>
      <c r="L76">
        <v>1</v>
      </c>
      <c r="M76">
        <v>1</v>
      </c>
      <c r="N76">
        <v>353</v>
      </c>
    </row>
    <row r="77" spans="1:14">
      <c r="A77">
        <v>37</v>
      </c>
      <c r="B77">
        <v>2</v>
      </c>
      <c r="C77">
        <v>436</v>
      </c>
      <c r="D77">
        <v>0.20126735227949458</v>
      </c>
      <c r="E77">
        <v>5</v>
      </c>
      <c r="I77">
        <v>172</v>
      </c>
      <c r="J77">
        <v>29246</v>
      </c>
      <c r="K77">
        <v>391</v>
      </c>
      <c r="L77">
        <v>1</v>
      </c>
      <c r="M77">
        <v>1</v>
      </c>
      <c r="N77">
        <v>353</v>
      </c>
    </row>
    <row r="78" spans="1:14">
      <c r="A78">
        <v>38</v>
      </c>
      <c r="B78">
        <v>1</v>
      </c>
      <c r="C78">
        <v>146</v>
      </c>
      <c r="D78">
        <v>0.23239101472597712</v>
      </c>
      <c r="E78">
        <v>7</v>
      </c>
      <c r="I78">
        <v>234</v>
      </c>
      <c r="J78">
        <v>34718</v>
      </c>
      <c r="K78">
        <v>391</v>
      </c>
      <c r="L78">
        <v>1</v>
      </c>
      <c r="M78">
        <v>1</v>
      </c>
      <c r="N78">
        <v>353</v>
      </c>
    </row>
    <row r="79" spans="1:14">
      <c r="A79">
        <v>38</v>
      </c>
      <c r="B79">
        <v>2</v>
      </c>
      <c r="C79">
        <v>291</v>
      </c>
      <c r="D79">
        <v>0.20021384101569864</v>
      </c>
      <c r="E79">
        <v>5</v>
      </c>
      <c r="I79">
        <v>187</v>
      </c>
      <c r="J79">
        <v>31982</v>
      </c>
      <c r="K79">
        <v>391</v>
      </c>
      <c r="L79">
        <v>1</v>
      </c>
      <c r="M79">
        <v>1</v>
      </c>
      <c r="N79">
        <v>353</v>
      </c>
    </row>
    <row r="80" spans="1:14">
      <c r="A80">
        <v>39</v>
      </c>
      <c r="B80">
        <v>1</v>
      </c>
      <c r="C80">
        <v>339</v>
      </c>
      <c r="D80">
        <v>0.22994178482319289</v>
      </c>
      <c r="E80">
        <v>7</v>
      </c>
      <c r="I80">
        <v>215</v>
      </c>
      <c r="J80">
        <v>32030</v>
      </c>
      <c r="K80">
        <v>604</v>
      </c>
      <c r="L80">
        <v>20</v>
      </c>
      <c r="M80">
        <v>19</v>
      </c>
      <c r="N80">
        <v>321</v>
      </c>
    </row>
    <row r="81" spans="1:20">
      <c r="A81">
        <v>39</v>
      </c>
      <c r="B81">
        <v>2</v>
      </c>
      <c r="C81">
        <v>484</v>
      </c>
      <c r="D81">
        <v>0.19840560781355676</v>
      </c>
      <c r="E81">
        <v>5</v>
      </c>
      <c r="I81">
        <v>173</v>
      </c>
      <c r="J81">
        <v>29294</v>
      </c>
      <c r="K81">
        <v>391</v>
      </c>
      <c r="L81">
        <v>1</v>
      </c>
      <c r="M81">
        <v>1</v>
      </c>
      <c r="N81">
        <v>353</v>
      </c>
    </row>
    <row r="82" spans="1:20">
      <c r="A82">
        <v>40</v>
      </c>
      <c r="B82">
        <v>1</v>
      </c>
      <c r="C82">
        <v>3172</v>
      </c>
      <c r="D82">
        <v>0.23187691489847448</v>
      </c>
      <c r="E82">
        <v>7</v>
      </c>
      <c r="I82">
        <v>216</v>
      </c>
      <c r="J82">
        <v>31982</v>
      </c>
      <c r="K82">
        <v>604</v>
      </c>
      <c r="L82">
        <v>20</v>
      </c>
      <c r="M82">
        <v>19</v>
      </c>
      <c r="N82">
        <v>321</v>
      </c>
    </row>
    <row r="83" spans="1:20">
      <c r="A83">
        <v>40</v>
      </c>
      <c r="B83">
        <v>2</v>
      </c>
      <c r="C83">
        <v>436</v>
      </c>
      <c r="D83">
        <v>0.19907952751533251</v>
      </c>
      <c r="E83">
        <v>5</v>
      </c>
      <c r="I83">
        <v>172</v>
      </c>
      <c r="J83">
        <v>29246</v>
      </c>
      <c r="K83">
        <v>391</v>
      </c>
      <c r="L83">
        <v>1</v>
      </c>
      <c r="M83">
        <v>1</v>
      </c>
      <c r="N83">
        <v>353</v>
      </c>
    </row>
    <row r="84" spans="1:20" s="83" customFormat="1">
      <c r="A84" s="115">
        <v>41</v>
      </c>
      <c r="B84" s="115">
        <v>1</v>
      </c>
      <c r="C84" s="115">
        <v>4571</v>
      </c>
      <c r="D84" s="115" t="s">
        <v>254</v>
      </c>
      <c r="E84" s="115">
        <v>17</v>
      </c>
      <c r="F84" s="115"/>
      <c r="G84" s="115"/>
      <c r="H84" s="115"/>
      <c r="I84" s="115">
        <v>89</v>
      </c>
      <c r="J84" s="115">
        <v>13214</v>
      </c>
      <c r="K84" s="115">
        <v>9</v>
      </c>
      <c r="L84" s="115">
        <v>109</v>
      </c>
      <c r="M84" s="115">
        <v>371</v>
      </c>
      <c r="N84" s="115">
        <v>74</v>
      </c>
      <c r="O84" s="48"/>
      <c r="T84"/>
    </row>
    <row r="85" spans="1:20">
      <c r="A85" s="115">
        <v>41</v>
      </c>
      <c r="B85" s="115">
        <v>2</v>
      </c>
      <c r="C85" s="115">
        <v>1667</v>
      </c>
      <c r="D85" s="115" t="s">
        <v>255</v>
      </c>
      <c r="E85" s="115">
        <v>9</v>
      </c>
      <c r="F85" s="115"/>
      <c r="G85" s="115"/>
      <c r="H85" s="115"/>
      <c r="I85" s="115">
        <v>58</v>
      </c>
      <c r="J85" s="115">
        <v>10310</v>
      </c>
      <c r="K85" s="115">
        <v>9</v>
      </c>
      <c r="L85" s="115">
        <v>109</v>
      </c>
      <c r="M85" s="115">
        <v>371</v>
      </c>
      <c r="N85" s="115">
        <v>74</v>
      </c>
      <c r="O85" s="84"/>
    </row>
    <row r="86" spans="1:20">
      <c r="A86" s="115">
        <v>42</v>
      </c>
      <c r="B86" s="115">
        <v>1</v>
      </c>
      <c r="C86" s="115">
        <v>5077</v>
      </c>
      <c r="D86" s="115" t="s">
        <v>256</v>
      </c>
      <c r="E86" s="115">
        <v>17</v>
      </c>
      <c r="F86" s="115"/>
      <c r="G86" s="115"/>
      <c r="H86" s="115"/>
      <c r="I86" s="115">
        <v>46</v>
      </c>
      <c r="J86" s="115">
        <v>7958</v>
      </c>
      <c r="K86" s="115">
        <v>9</v>
      </c>
      <c r="L86" s="115">
        <v>109</v>
      </c>
      <c r="M86" s="115">
        <v>371</v>
      </c>
      <c r="N86" s="115">
        <v>74</v>
      </c>
      <c r="O86" s="84"/>
    </row>
    <row r="87" spans="1:20">
      <c r="A87" s="115">
        <v>42</v>
      </c>
      <c r="B87" s="115">
        <v>2</v>
      </c>
      <c r="C87" s="115">
        <v>2028</v>
      </c>
      <c r="D87" s="115" t="s">
        <v>257</v>
      </c>
      <c r="E87" s="115">
        <v>9</v>
      </c>
      <c r="F87" s="115"/>
      <c r="G87" s="115"/>
      <c r="H87" s="115"/>
      <c r="I87" s="115">
        <v>44</v>
      </c>
      <c r="J87" s="115">
        <v>7790</v>
      </c>
      <c r="K87" s="115">
        <v>9</v>
      </c>
      <c r="L87" s="115">
        <v>109</v>
      </c>
      <c r="M87" s="115">
        <v>371</v>
      </c>
      <c r="N87" s="115">
        <v>74</v>
      </c>
      <c r="O87" s="84"/>
    </row>
    <row r="88" spans="1:20">
      <c r="A88" s="115">
        <v>43</v>
      </c>
      <c r="B88" s="115">
        <v>1</v>
      </c>
      <c r="C88" s="115">
        <v>1087</v>
      </c>
      <c r="D88" s="115" t="s">
        <v>258</v>
      </c>
      <c r="E88" s="115">
        <v>20</v>
      </c>
      <c r="F88" s="115"/>
      <c r="G88" s="115"/>
      <c r="H88" s="115"/>
      <c r="I88" s="115">
        <v>119</v>
      </c>
      <c r="J88" s="115">
        <v>21254</v>
      </c>
      <c r="K88" s="115">
        <v>9</v>
      </c>
      <c r="L88" s="115">
        <v>109</v>
      </c>
      <c r="M88" s="115">
        <v>371</v>
      </c>
      <c r="N88" s="115">
        <v>74</v>
      </c>
      <c r="O88" s="84"/>
    </row>
    <row r="89" spans="1:20">
      <c r="A89" s="115">
        <v>43</v>
      </c>
      <c r="B89" s="115">
        <v>2</v>
      </c>
      <c r="C89" s="115">
        <v>1691</v>
      </c>
      <c r="D89" s="115" t="s">
        <v>259</v>
      </c>
      <c r="E89" s="115">
        <v>9</v>
      </c>
      <c r="F89" s="115"/>
      <c r="G89" s="115"/>
      <c r="H89" s="115"/>
      <c r="I89" s="115">
        <v>59</v>
      </c>
      <c r="J89" s="115">
        <v>10334</v>
      </c>
      <c r="K89" s="115">
        <v>9</v>
      </c>
      <c r="L89" s="115">
        <v>109</v>
      </c>
      <c r="M89" s="115">
        <v>371</v>
      </c>
      <c r="N89" s="115">
        <v>74</v>
      </c>
      <c r="O89" s="84"/>
    </row>
    <row r="90" spans="1:20">
      <c r="A90" s="115">
        <v>44</v>
      </c>
      <c r="B90" s="115">
        <v>1</v>
      </c>
      <c r="C90" s="115">
        <v>4908</v>
      </c>
      <c r="D90" s="115" t="s">
        <v>260</v>
      </c>
      <c r="E90" s="115">
        <v>16</v>
      </c>
      <c r="F90" s="115"/>
      <c r="G90" s="115"/>
      <c r="H90" s="115"/>
      <c r="I90" s="115">
        <v>60</v>
      </c>
      <c r="J90" s="115">
        <v>10670</v>
      </c>
      <c r="K90" s="115">
        <v>9</v>
      </c>
      <c r="L90" s="115">
        <v>109</v>
      </c>
      <c r="M90" s="115">
        <v>371</v>
      </c>
      <c r="N90" s="115">
        <v>74</v>
      </c>
      <c r="O90" s="84"/>
    </row>
    <row r="91" spans="1:20">
      <c r="A91" s="115">
        <v>44</v>
      </c>
      <c r="B91" s="115">
        <v>2</v>
      </c>
      <c r="C91" s="115">
        <v>1956</v>
      </c>
      <c r="D91" s="115" t="s">
        <v>261</v>
      </c>
      <c r="E91" s="115">
        <v>8</v>
      </c>
      <c r="F91" s="115"/>
      <c r="G91" s="115"/>
      <c r="H91" s="115"/>
      <c r="I91" s="115">
        <v>43</v>
      </c>
      <c r="J91" s="115">
        <v>7718</v>
      </c>
      <c r="K91" s="115">
        <v>9</v>
      </c>
      <c r="L91" s="115">
        <v>109</v>
      </c>
      <c r="M91" s="115">
        <v>371</v>
      </c>
      <c r="N91" s="115">
        <v>74</v>
      </c>
      <c r="O91" s="84"/>
    </row>
    <row r="92" spans="1:20">
      <c r="A92" s="115">
        <v>45</v>
      </c>
      <c r="B92" s="115">
        <v>1</v>
      </c>
      <c r="C92" s="115">
        <v>1255</v>
      </c>
      <c r="D92" s="115" t="s">
        <v>262</v>
      </c>
      <c r="E92" s="115">
        <v>21</v>
      </c>
      <c r="F92" s="115"/>
      <c r="G92" s="115"/>
      <c r="H92" s="115"/>
      <c r="I92" s="115">
        <v>119</v>
      </c>
      <c r="J92" s="115">
        <v>21422</v>
      </c>
      <c r="K92" s="115">
        <v>9</v>
      </c>
      <c r="L92" s="115">
        <v>109</v>
      </c>
      <c r="M92" s="115">
        <v>371</v>
      </c>
      <c r="N92" s="115">
        <v>74</v>
      </c>
      <c r="O92" s="84"/>
    </row>
    <row r="93" spans="1:20">
      <c r="A93" s="115">
        <v>45</v>
      </c>
      <c r="B93" s="115">
        <v>2</v>
      </c>
      <c r="C93" s="115">
        <v>1979</v>
      </c>
      <c r="D93" s="115" t="s">
        <v>263</v>
      </c>
      <c r="E93" s="115">
        <v>9</v>
      </c>
      <c r="F93" s="115"/>
      <c r="G93" s="115"/>
      <c r="H93" s="115"/>
      <c r="I93" s="115">
        <v>61</v>
      </c>
      <c r="J93" s="115">
        <v>10622</v>
      </c>
      <c r="K93" s="115">
        <v>9</v>
      </c>
      <c r="L93" s="115">
        <v>109</v>
      </c>
      <c r="M93" s="115">
        <v>371</v>
      </c>
      <c r="N93" s="115">
        <v>74</v>
      </c>
      <c r="O93" s="84"/>
    </row>
    <row r="94" spans="1:20">
      <c r="A94" s="115">
        <v>46</v>
      </c>
      <c r="B94" s="115">
        <v>1</v>
      </c>
      <c r="C94" s="115">
        <v>5510</v>
      </c>
      <c r="D94" s="115" t="s">
        <v>264</v>
      </c>
      <c r="E94" s="115">
        <v>24</v>
      </c>
      <c r="F94" s="115"/>
      <c r="G94" s="115"/>
      <c r="H94" s="115"/>
      <c r="I94" s="115">
        <v>31</v>
      </c>
      <c r="J94" s="115">
        <v>5510</v>
      </c>
      <c r="K94" s="115">
        <v>9</v>
      </c>
      <c r="L94" s="115">
        <v>109</v>
      </c>
      <c r="M94" s="115">
        <v>371</v>
      </c>
      <c r="N94" s="115">
        <v>74</v>
      </c>
      <c r="O94" s="84"/>
    </row>
    <row r="95" spans="1:20">
      <c r="A95" s="115">
        <v>46</v>
      </c>
      <c r="B95" s="115">
        <v>2</v>
      </c>
      <c r="C95" s="115">
        <v>1739</v>
      </c>
      <c r="D95" s="115" t="s">
        <v>265</v>
      </c>
      <c r="E95" s="115">
        <v>9</v>
      </c>
      <c r="F95" s="115"/>
      <c r="G95" s="115"/>
      <c r="H95" s="115"/>
      <c r="I95" s="115">
        <v>60</v>
      </c>
      <c r="J95" s="115">
        <v>10382</v>
      </c>
      <c r="K95" s="115">
        <v>9</v>
      </c>
      <c r="L95" s="115">
        <v>109</v>
      </c>
      <c r="M95" s="115">
        <v>371</v>
      </c>
      <c r="N95" s="115">
        <v>74</v>
      </c>
      <c r="O95" s="84"/>
    </row>
    <row r="96" spans="1:20">
      <c r="A96" s="115">
        <v>47</v>
      </c>
      <c r="B96" s="115">
        <v>1</v>
      </c>
      <c r="C96" s="115">
        <v>5702</v>
      </c>
      <c r="D96" s="115" t="s">
        <v>266</v>
      </c>
      <c r="E96" s="115">
        <v>15</v>
      </c>
      <c r="F96" s="115"/>
      <c r="G96" s="115"/>
      <c r="H96" s="115"/>
      <c r="I96" s="115">
        <v>32</v>
      </c>
      <c r="J96" s="115">
        <v>5702</v>
      </c>
      <c r="K96" s="115">
        <v>9</v>
      </c>
      <c r="L96" s="115">
        <v>109</v>
      </c>
      <c r="M96" s="115">
        <v>371</v>
      </c>
      <c r="N96" s="115">
        <v>74</v>
      </c>
      <c r="O96" s="84"/>
    </row>
    <row r="97" spans="1:15">
      <c r="A97" s="115">
        <v>47</v>
      </c>
      <c r="B97" s="115">
        <v>2</v>
      </c>
      <c r="C97" s="115">
        <v>2364</v>
      </c>
      <c r="D97" s="115" t="s">
        <v>267</v>
      </c>
      <c r="E97" s="115">
        <v>8</v>
      </c>
      <c r="F97" s="115"/>
      <c r="G97" s="115"/>
      <c r="H97" s="115"/>
      <c r="I97" s="115">
        <v>45</v>
      </c>
      <c r="J97" s="115">
        <v>8126</v>
      </c>
      <c r="K97" s="115">
        <v>9</v>
      </c>
      <c r="L97" s="115">
        <v>109</v>
      </c>
      <c r="M97" s="115">
        <v>371</v>
      </c>
      <c r="N97" s="115">
        <v>74</v>
      </c>
      <c r="O97" s="84"/>
    </row>
    <row r="98" spans="1:15">
      <c r="A98" s="115">
        <v>48</v>
      </c>
      <c r="B98" s="115">
        <v>1</v>
      </c>
      <c r="C98" s="115">
        <v>5150</v>
      </c>
      <c r="D98" s="115" t="s">
        <v>268</v>
      </c>
      <c r="E98" s="115">
        <v>14</v>
      </c>
      <c r="F98" s="115"/>
      <c r="G98" s="115"/>
      <c r="H98" s="115"/>
      <c r="I98" s="115">
        <v>28</v>
      </c>
      <c r="J98" s="115">
        <v>5150</v>
      </c>
      <c r="K98" s="115">
        <v>9</v>
      </c>
      <c r="L98" s="115">
        <v>109</v>
      </c>
      <c r="M98" s="115">
        <v>371</v>
      </c>
      <c r="N98" s="115">
        <v>74</v>
      </c>
      <c r="O98" s="84"/>
    </row>
    <row r="99" spans="1:15">
      <c r="A99" s="115">
        <v>48</v>
      </c>
      <c r="B99" s="115">
        <v>2</v>
      </c>
      <c r="C99" s="115">
        <v>1860</v>
      </c>
      <c r="D99" s="115" t="s">
        <v>269</v>
      </c>
      <c r="E99" s="115">
        <v>8</v>
      </c>
      <c r="F99" s="115"/>
      <c r="G99" s="115"/>
      <c r="H99" s="115"/>
      <c r="I99" s="115">
        <v>44</v>
      </c>
      <c r="J99" s="115">
        <v>7622</v>
      </c>
      <c r="K99" s="115">
        <v>9</v>
      </c>
      <c r="L99" s="115">
        <v>109</v>
      </c>
      <c r="M99" s="115">
        <v>371</v>
      </c>
      <c r="N99" s="115">
        <v>74</v>
      </c>
      <c r="O99" s="84"/>
    </row>
    <row r="100" spans="1:15">
      <c r="A100" s="115">
        <v>49</v>
      </c>
      <c r="B100" s="115">
        <v>1</v>
      </c>
      <c r="C100" s="115">
        <v>4957</v>
      </c>
      <c r="D100" s="115" t="s">
        <v>270</v>
      </c>
      <c r="E100" s="115">
        <v>15</v>
      </c>
      <c r="F100" s="115"/>
      <c r="G100" s="115"/>
      <c r="H100" s="115"/>
      <c r="I100" s="115">
        <v>45</v>
      </c>
      <c r="J100" s="115">
        <v>7838</v>
      </c>
      <c r="K100" s="115">
        <v>9</v>
      </c>
      <c r="L100" s="115">
        <v>109</v>
      </c>
      <c r="M100" s="115">
        <v>371</v>
      </c>
      <c r="N100" s="115">
        <v>74</v>
      </c>
      <c r="O100" s="84"/>
    </row>
    <row r="101" spans="1:15">
      <c r="A101" s="115">
        <v>49</v>
      </c>
      <c r="B101" s="115">
        <v>2</v>
      </c>
      <c r="C101" s="115">
        <v>1836</v>
      </c>
      <c r="D101" s="115" t="s">
        <v>271</v>
      </c>
      <c r="E101" s="115">
        <v>8</v>
      </c>
      <c r="F101" s="115"/>
      <c r="G101" s="115"/>
      <c r="H101" s="115"/>
      <c r="I101" s="115">
        <v>41</v>
      </c>
      <c r="J101" s="115">
        <v>7598</v>
      </c>
      <c r="K101" s="115">
        <v>9</v>
      </c>
      <c r="L101" s="115">
        <v>109</v>
      </c>
      <c r="M101" s="115">
        <v>371</v>
      </c>
      <c r="N101" s="115">
        <v>74</v>
      </c>
      <c r="O101" s="84"/>
    </row>
    <row r="102" spans="1:15">
      <c r="A102" s="115">
        <v>50</v>
      </c>
      <c r="B102" s="115">
        <v>1</v>
      </c>
      <c r="C102" s="115">
        <v>4546</v>
      </c>
      <c r="D102" s="115" t="s">
        <v>272</v>
      </c>
      <c r="E102" s="115">
        <v>25</v>
      </c>
      <c r="F102" s="115"/>
      <c r="G102" s="115"/>
      <c r="H102" s="115"/>
      <c r="I102" s="115">
        <v>89</v>
      </c>
      <c r="J102" s="115">
        <v>16070</v>
      </c>
      <c r="K102" s="115">
        <v>9</v>
      </c>
      <c r="L102" s="115">
        <v>109</v>
      </c>
      <c r="M102" s="115">
        <v>371</v>
      </c>
      <c r="N102" s="115">
        <v>74</v>
      </c>
      <c r="O102" s="84"/>
    </row>
    <row r="103" spans="1:15">
      <c r="A103" s="115">
        <v>50</v>
      </c>
      <c r="B103" s="115">
        <v>2</v>
      </c>
      <c r="C103" s="115">
        <v>1762</v>
      </c>
      <c r="D103" s="115" t="s">
        <v>273</v>
      </c>
      <c r="E103" s="115">
        <v>9</v>
      </c>
      <c r="F103" s="115"/>
      <c r="G103" s="115"/>
      <c r="H103" s="115"/>
      <c r="I103" s="115">
        <v>73</v>
      </c>
      <c r="J103" s="115">
        <v>13286</v>
      </c>
      <c r="K103" s="115">
        <v>9</v>
      </c>
      <c r="L103" s="115">
        <v>109</v>
      </c>
      <c r="M103" s="115">
        <v>371</v>
      </c>
      <c r="N103" s="115">
        <v>74</v>
      </c>
      <c r="O103" s="84"/>
    </row>
    <row r="104" spans="1:15">
      <c r="A104" s="115">
        <v>51</v>
      </c>
      <c r="B104" s="115">
        <v>1</v>
      </c>
      <c r="C104" s="115">
        <v>1547</v>
      </c>
      <c r="D104" s="115" t="s">
        <v>274</v>
      </c>
      <c r="E104" s="115">
        <v>8</v>
      </c>
      <c r="F104" s="115"/>
      <c r="G104" s="115"/>
      <c r="H104" s="115"/>
      <c r="I104" s="115">
        <v>51</v>
      </c>
      <c r="J104" s="115">
        <v>10190</v>
      </c>
      <c r="K104" s="115">
        <v>9</v>
      </c>
      <c r="L104" s="115">
        <v>109</v>
      </c>
      <c r="M104" s="115">
        <v>371</v>
      </c>
      <c r="N104" s="115">
        <v>74</v>
      </c>
      <c r="O104" s="84"/>
    </row>
    <row r="105" spans="1:15">
      <c r="A105" s="115">
        <v>51</v>
      </c>
      <c r="B105" s="115">
        <v>2</v>
      </c>
      <c r="C105" s="115">
        <v>1861</v>
      </c>
      <c r="D105" s="115" t="s">
        <v>275</v>
      </c>
      <c r="E105" s="115">
        <v>6</v>
      </c>
      <c r="F105" s="115"/>
      <c r="G105" s="115"/>
      <c r="H105" s="115"/>
      <c r="I105" s="115">
        <v>24</v>
      </c>
      <c r="J105" s="115">
        <v>4742</v>
      </c>
      <c r="K105" s="115">
        <v>9</v>
      </c>
      <c r="L105" s="115">
        <v>109</v>
      </c>
      <c r="M105" s="115">
        <v>371</v>
      </c>
      <c r="N105" s="115">
        <v>74</v>
      </c>
      <c r="O105" s="84"/>
    </row>
    <row r="106" spans="1:15">
      <c r="A106" s="115">
        <v>52</v>
      </c>
      <c r="B106" s="115">
        <v>1</v>
      </c>
      <c r="C106" s="115">
        <v>1475</v>
      </c>
      <c r="D106" s="115" t="s">
        <v>276</v>
      </c>
      <c r="E106" s="115">
        <v>8</v>
      </c>
      <c r="F106" s="115"/>
      <c r="G106" s="115"/>
      <c r="H106" s="115"/>
      <c r="I106" s="115">
        <v>53</v>
      </c>
      <c r="J106" s="115">
        <v>10118</v>
      </c>
      <c r="K106" s="115">
        <v>9</v>
      </c>
      <c r="L106" s="115">
        <v>109</v>
      </c>
      <c r="M106" s="115">
        <v>371</v>
      </c>
      <c r="N106" s="115">
        <v>74</v>
      </c>
      <c r="O106" s="84"/>
    </row>
    <row r="107" spans="1:15">
      <c r="A107" s="115">
        <v>52</v>
      </c>
      <c r="B107" s="115">
        <v>2</v>
      </c>
      <c r="C107" s="115">
        <v>1765</v>
      </c>
      <c r="D107" s="115" t="s">
        <v>277</v>
      </c>
      <c r="E107" s="115">
        <v>6</v>
      </c>
      <c r="F107" s="115"/>
      <c r="G107" s="115"/>
      <c r="H107" s="115"/>
      <c r="I107" s="115">
        <v>24</v>
      </c>
      <c r="J107" s="115">
        <v>4646</v>
      </c>
      <c r="K107" s="115">
        <v>9</v>
      </c>
      <c r="L107" s="115">
        <v>109</v>
      </c>
      <c r="M107" s="115">
        <v>371</v>
      </c>
      <c r="N107" s="115">
        <v>74</v>
      </c>
      <c r="O107" s="84"/>
    </row>
    <row r="108" spans="1:15">
      <c r="A108" s="115">
        <v>53</v>
      </c>
      <c r="B108" s="115">
        <v>1</v>
      </c>
      <c r="C108" s="115">
        <v>1499</v>
      </c>
      <c r="D108" s="115" t="s">
        <v>278</v>
      </c>
      <c r="E108" s="115">
        <v>8</v>
      </c>
      <c r="F108" s="115"/>
      <c r="G108" s="115"/>
      <c r="H108" s="115"/>
      <c r="I108" s="115">
        <v>54</v>
      </c>
      <c r="J108" s="115">
        <v>10142</v>
      </c>
      <c r="K108" s="115">
        <v>9</v>
      </c>
      <c r="L108" s="115">
        <v>109</v>
      </c>
      <c r="M108" s="115">
        <v>371</v>
      </c>
      <c r="N108" s="115">
        <v>74</v>
      </c>
      <c r="O108" s="84"/>
    </row>
    <row r="109" spans="1:15">
      <c r="A109" s="115">
        <v>53</v>
      </c>
      <c r="B109" s="115">
        <v>2</v>
      </c>
      <c r="C109" s="115">
        <v>1789</v>
      </c>
      <c r="D109" s="115" t="s">
        <v>279</v>
      </c>
      <c r="E109" s="115">
        <v>6</v>
      </c>
      <c r="F109" s="115"/>
      <c r="G109" s="115"/>
      <c r="H109" s="115"/>
      <c r="I109" s="115">
        <v>25</v>
      </c>
      <c r="J109" s="115">
        <v>4670</v>
      </c>
      <c r="K109" s="115">
        <v>9</v>
      </c>
      <c r="L109" s="115">
        <v>109</v>
      </c>
      <c r="M109" s="115">
        <v>371</v>
      </c>
      <c r="N109" s="115">
        <v>74</v>
      </c>
      <c r="O109" s="84"/>
    </row>
    <row r="110" spans="1:15">
      <c r="A110" s="115">
        <v>54</v>
      </c>
      <c r="B110" s="115">
        <v>1</v>
      </c>
      <c r="C110" s="115">
        <v>1716</v>
      </c>
      <c r="D110" s="115" t="s">
        <v>280</v>
      </c>
      <c r="E110" s="115">
        <v>8</v>
      </c>
      <c r="F110" s="115"/>
      <c r="G110" s="115"/>
      <c r="H110" s="115"/>
      <c r="I110" s="115">
        <v>40</v>
      </c>
      <c r="J110" s="115">
        <v>7478</v>
      </c>
      <c r="K110" s="115">
        <v>9</v>
      </c>
      <c r="L110" s="115">
        <v>109</v>
      </c>
      <c r="M110" s="115">
        <v>371</v>
      </c>
      <c r="N110" s="115">
        <v>74</v>
      </c>
      <c r="O110" s="84"/>
    </row>
    <row r="111" spans="1:15">
      <c r="A111" s="115">
        <v>54</v>
      </c>
      <c r="B111" s="115">
        <v>2</v>
      </c>
      <c r="C111" s="115">
        <v>2006</v>
      </c>
      <c r="D111" s="115" t="s">
        <v>281</v>
      </c>
      <c r="E111" s="115">
        <v>6</v>
      </c>
      <c r="F111" s="115"/>
      <c r="G111" s="115"/>
      <c r="H111" s="115"/>
      <c r="I111" s="115">
        <v>10</v>
      </c>
      <c r="J111" s="115">
        <v>2006</v>
      </c>
      <c r="K111" s="115">
        <v>9</v>
      </c>
      <c r="L111" s="115">
        <v>109</v>
      </c>
      <c r="M111" s="115">
        <v>371</v>
      </c>
      <c r="N111" s="115">
        <v>74</v>
      </c>
      <c r="O111" s="84"/>
    </row>
    <row r="112" spans="1:15">
      <c r="A112" s="115">
        <v>55</v>
      </c>
      <c r="B112" s="115">
        <v>1</v>
      </c>
      <c r="C112" s="115">
        <v>1547</v>
      </c>
      <c r="D112" s="115" t="s">
        <v>282</v>
      </c>
      <c r="E112" s="115">
        <v>8</v>
      </c>
      <c r="F112" s="115"/>
      <c r="G112" s="115"/>
      <c r="H112" s="115"/>
      <c r="I112" s="115">
        <v>54</v>
      </c>
      <c r="J112" s="115">
        <v>10190</v>
      </c>
      <c r="K112" s="115">
        <v>9</v>
      </c>
      <c r="L112" s="115">
        <v>109</v>
      </c>
      <c r="M112" s="115">
        <v>371</v>
      </c>
      <c r="N112" s="115">
        <v>74</v>
      </c>
      <c r="O112" s="84"/>
    </row>
    <row r="113" spans="1:15">
      <c r="A113" s="115">
        <v>55</v>
      </c>
      <c r="B113" s="115">
        <v>2</v>
      </c>
      <c r="C113" s="115">
        <v>1885</v>
      </c>
      <c r="D113" s="115" t="s">
        <v>283</v>
      </c>
      <c r="E113" s="115">
        <v>6</v>
      </c>
      <c r="F113" s="115"/>
      <c r="G113" s="115"/>
      <c r="H113" s="115"/>
      <c r="I113" s="115">
        <v>24</v>
      </c>
      <c r="J113" s="115">
        <v>4766</v>
      </c>
      <c r="K113" s="115">
        <v>9</v>
      </c>
      <c r="L113" s="115">
        <v>109</v>
      </c>
      <c r="M113" s="115">
        <v>371</v>
      </c>
      <c r="N113" s="115">
        <v>74</v>
      </c>
      <c r="O113" s="84"/>
    </row>
    <row r="114" spans="1:15">
      <c r="A114" s="115">
        <v>56</v>
      </c>
      <c r="B114" s="115">
        <v>1</v>
      </c>
      <c r="C114" s="115">
        <v>1475</v>
      </c>
      <c r="D114" s="115" t="s">
        <v>284</v>
      </c>
      <c r="E114" s="115">
        <v>8</v>
      </c>
      <c r="F114" s="115"/>
      <c r="G114" s="115"/>
      <c r="H114" s="115"/>
      <c r="I114" s="115">
        <v>51</v>
      </c>
      <c r="J114" s="115">
        <v>10118</v>
      </c>
      <c r="K114" s="115">
        <v>9</v>
      </c>
      <c r="L114" s="115">
        <v>109</v>
      </c>
      <c r="M114" s="115">
        <v>371</v>
      </c>
      <c r="N114" s="115">
        <v>74</v>
      </c>
      <c r="O114" s="84"/>
    </row>
    <row r="115" spans="1:15">
      <c r="A115" s="115">
        <v>56</v>
      </c>
      <c r="B115" s="115">
        <v>2</v>
      </c>
      <c r="C115" s="115">
        <v>1789</v>
      </c>
      <c r="D115" s="115" t="s">
        <v>285</v>
      </c>
      <c r="E115" s="115">
        <v>6</v>
      </c>
      <c r="F115" s="115"/>
      <c r="G115" s="115"/>
      <c r="H115" s="115"/>
      <c r="I115" s="115">
        <v>26</v>
      </c>
      <c r="J115" s="115">
        <v>4670</v>
      </c>
      <c r="K115" s="115">
        <v>9</v>
      </c>
      <c r="L115" s="115">
        <v>109</v>
      </c>
      <c r="M115" s="115">
        <v>371</v>
      </c>
      <c r="N115" s="115">
        <v>74</v>
      </c>
      <c r="O115" s="84"/>
    </row>
    <row r="116" spans="1:15">
      <c r="A116" s="115">
        <v>57</v>
      </c>
      <c r="B116" s="115">
        <v>1</v>
      </c>
      <c r="C116" s="115">
        <v>1692</v>
      </c>
      <c r="D116" s="115" t="s">
        <v>286</v>
      </c>
      <c r="E116" s="115">
        <v>8</v>
      </c>
      <c r="F116" s="115"/>
      <c r="G116" s="115"/>
      <c r="H116" s="115"/>
      <c r="I116" s="115">
        <v>41</v>
      </c>
      <c r="J116" s="115">
        <v>7454</v>
      </c>
      <c r="K116" s="115">
        <v>9</v>
      </c>
      <c r="L116" s="115">
        <v>109</v>
      </c>
      <c r="M116" s="115">
        <v>371</v>
      </c>
      <c r="N116" s="115">
        <v>74</v>
      </c>
      <c r="O116" s="84"/>
    </row>
    <row r="117" spans="1:15">
      <c r="A117" s="115">
        <v>57</v>
      </c>
      <c r="B117" s="115">
        <v>2</v>
      </c>
      <c r="C117" s="115">
        <v>1982</v>
      </c>
      <c r="D117" s="115" t="s">
        <v>287</v>
      </c>
      <c r="E117" s="115">
        <v>6</v>
      </c>
      <c r="F117" s="115"/>
      <c r="G117" s="115"/>
      <c r="H117" s="115"/>
      <c r="I117" s="115">
        <v>11</v>
      </c>
      <c r="J117" s="115">
        <v>1982</v>
      </c>
      <c r="K117" s="115">
        <v>9</v>
      </c>
      <c r="L117" s="115">
        <v>109</v>
      </c>
      <c r="M117" s="115">
        <v>371</v>
      </c>
      <c r="N117" s="115">
        <v>74</v>
      </c>
      <c r="O117" s="84"/>
    </row>
    <row r="118" spans="1:15">
      <c r="A118" s="115">
        <v>58</v>
      </c>
      <c r="B118" s="115">
        <v>1</v>
      </c>
      <c r="C118" s="115">
        <v>1547</v>
      </c>
      <c r="D118" s="115" t="s">
        <v>288</v>
      </c>
      <c r="E118" s="115">
        <v>8</v>
      </c>
      <c r="F118" s="115"/>
      <c r="G118" s="115"/>
      <c r="H118" s="115"/>
      <c r="I118" s="115">
        <v>57</v>
      </c>
      <c r="J118" s="115">
        <v>10190</v>
      </c>
      <c r="K118" s="115">
        <v>9</v>
      </c>
      <c r="L118" s="115">
        <v>109</v>
      </c>
      <c r="M118" s="115">
        <v>371</v>
      </c>
      <c r="N118" s="115">
        <v>74</v>
      </c>
      <c r="O118" s="84"/>
    </row>
    <row r="119" spans="1:15">
      <c r="A119" s="115">
        <v>58</v>
      </c>
      <c r="B119" s="115">
        <v>2</v>
      </c>
      <c r="C119" s="115">
        <v>1861</v>
      </c>
      <c r="D119" s="115" t="s">
        <v>289</v>
      </c>
      <c r="E119" s="115">
        <v>6</v>
      </c>
      <c r="F119" s="115"/>
      <c r="G119" s="115"/>
      <c r="H119" s="115"/>
      <c r="I119" s="115">
        <v>26</v>
      </c>
      <c r="J119" s="115">
        <v>4742</v>
      </c>
      <c r="K119" s="115">
        <v>9</v>
      </c>
      <c r="L119" s="115">
        <v>109</v>
      </c>
      <c r="M119" s="115">
        <v>371</v>
      </c>
      <c r="N119" s="115">
        <v>74</v>
      </c>
      <c r="O119" s="84"/>
    </row>
    <row r="120" spans="1:15">
      <c r="A120" s="115">
        <v>59</v>
      </c>
      <c r="B120" s="115">
        <v>1</v>
      </c>
      <c r="C120" s="115">
        <v>1523</v>
      </c>
      <c r="D120" s="115" t="s">
        <v>290</v>
      </c>
      <c r="E120" s="115">
        <v>8</v>
      </c>
      <c r="F120" s="115"/>
      <c r="G120" s="115"/>
      <c r="H120" s="115"/>
      <c r="I120" s="115">
        <v>53</v>
      </c>
      <c r="J120" s="115">
        <v>10166</v>
      </c>
      <c r="K120" s="115">
        <v>9</v>
      </c>
      <c r="L120" s="115">
        <v>109</v>
      </c>
      <c r="M120" s="115">
        <v>371</v>
      </c>
      <c r="N120" s="115">
        <v>74</v>
      </c>
      <c r="O120" s="84"/>
    </row>
    <row r="121" spans="1:15">
      <c r="A121" s="115">
        <v>59</v>
      </c>
      <c r="B121" s="115">
        <v>2</v>
      </c>
      <c r="C121" s="115">
        <v>1813</v>
      </c>
      <c r="D121" s="115" t="s">
        <v>291</v>
      </c>
      <c r="E121" s="115">
        <v>6</v>
      </c>
      <c r="F121" s="115"/>
      <c r="G121" s="115"/>
      <c r="H121" s="115"/>
      <c r="I121" s="115">
        <v>25</v>
      </c>
      <c r="J121" s="115">
        <v>4694</v>
      </c>
      <c r="K121" s="115">
        <v>9</v>
      </c>
      <c r="L121" s="115">
        <v>109</v>
      </c>
      <c r="M121" s="115">
        <v>371</v>
      </c>
      <c r="N121" s="115">
        <v>74</v>
      </c>
      <c r="O121" s="84"/>
    </row>
    <row r="122" spans="1:15">
      <c r="A122" s="115">
        <v>60</v>
      </c>
      <c r="B122" s="115">
        <v>1</v>
      </c>
      <c r="C122" s="115">
        <v>1692</v>
      </c>
      <c r="D122" s="115" t="s">
        <v>292</v>
      </c>
      <c r="E122" s="115">
        <v>8</v>
      </c>
      <c r="F122" s="115"/>
      <c r="G122" s="115"/>
      <c r="H122" s="115"/>
      <c r="I122" s="115">
        <v>42</v>
      </c>
      <c r="J122" s="115">
        <v>7454</v>
      </c>
      <c r="K122" s="115">
        <v>9</v>
      </c>
      <c r="L122" s="115">
        <v>109</v>
      </c>
      <c r="M122" s="115">
        <v>371</v>
      </c>
      <c r="N122" s="115">
        <v>74</v>
      </c>
      <c r="O122" s="84"/>
    </row>
    <row r="123" spans="1:15">
      <c r="A123" s="115">
        <v>60</v>
      </c>
      <c r="B123" s="115">
        <v>2</v>
      </c>
      <c r="C123" s="115">
        <v>1982</v>
      </c>
      <c r="D123" s="115" t="s">
        <v>293</v>
      </c>
      <c r="E123" s="115">
        <v>6</v>
      </c>
      <c r="F123" s="115"/>
      <c r="G123" s="115"/>
      <c r="H123" s="115"/>
      <c r="I123" s="115">
        <v>11</v>
      </c>
      <c r="J123" s="115">
        <v>1982</v>
      </c>
      <c r="K123" s="115">
        <v>9</v>
      </c>
      <c r="L123" s="115">
        <v>109</v>
      </c>
      <c r="M123" s="115">
        <v>371</v>
      </c>
      <c r="N123" s="115">
        <v>74</v>
      </c>
      <c r="O123" s="84"/>
    </row>
    <row r="124" spans="1:15">
      <c r="A124" s="115">
        <v>61</v>
      </c>
      <c r="B124" s="115">
        <v>1</v>
      </c>
      <c r="C124" s="115">
        <v>5006</v>
      </c>
      <c r="D124" s="115" t="s">
        <v>294</v>
      </c>
      <c r="E124" s="115">
        <v>13</v>
      </c>
      <c r="F124" s="115"/>
      <c r="G124" s="115"/>
      <c r="H124" s="115"/>
      <c r="I124" s="115">
        <v>28</v>
      </c>
      <c r="J124" s="115">
        <v>5006</v>
      </c>
      <c r="K124" s="115">
        <v>9</v>
      </c>
      <c r="L124" s="115">
        <v>109</v>
      </c>
      <c r="M124" s="115">
        <v>371</v>
      </c>
      <c r="N124" s="115">
        <v>74</v>
      </c>
      <c r="O124" s="84"/>
    </row>
    <row r="125" spans="1:15">
      <c r="A125" s="115">
        <v>61</v>
      </c>
      <c r="B125" s="115">
        <v>2</v>
      </c>
      <c r="C125" s="115">
        <v>2077</v>
      </c>
      <c r="D125" s="115" t="s">
        <v>295</v>
      </c>
      <c r="E125" s="115">
        <v>7</v>
      </c>
      <c r="F125" s="115"/>
      <c r="G125" s="115"/>
      <c r="H125" s="115"/>
      <c r="I125" s="115">
        <v>27</v>
      </c>
      <c r="J125" s="115">
        <v>4958</v>
      </c>
      <c r="K125" s="115">
        <v>9</v>
      </c>
      <c r="L125" s="115">
        <v>109</v>
      </c>
      <c r="M125" s="115">
        <v>371</v>
      </c>
      <c r="N125" s="115">
        <v>74</v>
      </c>
      <c r="O125" s="84"/>
    </row>
    <row r="126" spans="1:15">
      <c r="A126" s="115">
        <v>62</v>
      </c>
      <c r="B126" s="115">
        <v>1</v>
      </c>
      <c r="C126" s="115">
        <v>1787</v>
      </c>
      <c r="D126" s="115" t="s">
        <v>296</v>
      </c>
      <c r="E126" s="115">
        <v>12</v>
      </c>
      <c r="F126" s="115"/>
      <c r="G126" s="115"/>
      <c r="H126" s="115"/>
      <c r="I126" s="115">
        <v>57</v>
      </c>
      <c r="J126" s="115">
        <v>10430</v>
      </c>
      <c r="K126" s="115">
        <v>9</v>
      </c>
      <c r="L126" s="115">
        <v>109</v>
      </c>
      <c r="M126" s="115">
        <v>371</v>
      </c>
      <c r="N126" s="115">
        <v>74</v>
      </c>
      <c r="O126" s="84"/>
    </row>
    <row r="127" spans="1:15">
      <c r="A127" s="115">
        <v>62</v>
      </c>
      <c r="B127" s="115">
        <v>2</v>
      </c>
      <c r="C127" s="115">
        <v>2294</v>
      </c>
      <c r="D127" s="115" t="s">
        <v>297</v>
      </c>
      <c r="E127" s="115">
        <v>7</v>
      </c>
      <c r="F127" s="115"/>
      <c r="G127" s="115"/>
      <c r="H127" s="115"/>
      <c r="I127" s="115">
        <v>13</v>
      </c>
      <c r="J127" s="115">
        <v>2294</v>
      </c>
      <c r="K127" s="115">
        <v>9</v>
      </c>
      <c r="L127" s="115">
        <v>109</v>
      </c>
      <c r="M127" s="115">
        <v>371</v>
      </c>
      <c r="N127" s="115">
        <v>74</v>
      </c>
      <c r="O127" s="84"/>
    </row>
    <row r="128" spans="1:15">
      <c r="A128" s="115">
        <v>63</v>
      </c>
      <c r="B128" s="115">
        <v>1</v>
      </c>
      <c r="C128" s="115">
        <v>1665</v>
      </c>
      <c r="D128" s="115" t="s">
        <v>298</v>
      </c>
      <c r="E128" s="115">
        <v>12</v>
      </c>
      <c r="F128" s="115"/>
      <c r="G128" s="115"/>
      <c r="H128" s="115"/>
      <c r="I128" s="115">
        <v>86</v>
      </c>
      <c r="J128" s="115">
        <v>16070</v>
      </c>
      <c r="K128" s="115">
        <v>9</v>
      </c>
      <c r="L128" s="115">
        <v>109</v>
      </c>
      <c r="M128" s="115">
        <v>371</v>
      </c>
      <c r="N128" s="115">
        <v>74</v>
      </c>
      <c r="O128" s="84"/>
    </row>
    <row r="129" spans="1:15">
      <c r="A129" s="115">
        <v>63</v>
      </c>
      <c r="B129" s="115">
        <v>2</v>
      </c>
      <c r="C129" s="115">
        <v>2510</v>
      </c>
      <c r="D129" s="115" t="s">
        <v>299</v>
      </c>
      <c r="E129" s="115">
        <v>7</v>
      </c>
      <c r="F129" s="115"/>
      <c r="G129" s="115"/>
      <c r="H129" s="115"/>
      <c r="I129" s="115">
        <v>15</v>
      </c>
      <c r="J129" s="115">
        <v>2510</v>
      </c>
      <c r="K129" s="115">
        <v>9</v>
      </c>
      <c r="L129" s="115">
        <v>109</v>
      </c>
      <c r="M129" s="115">
        <v>371</v>
      </c>
      <c r="N129" s="115">
        <v>74</v>
      </c>
      <c r="O129" s="84"/>
    </row>
    <row r="130" spans="1:15">
      <c r="A130" s="115">
        <v>64</v>
      </c>
      <c r="B130" s="115">
        <v>1</v>
      </c>
      <c r="C130" s="115">
        <v>5462</v>
      </c>
      <c r="D130" s="115" t="s">
        <v>300</v>
      </c>
      <c r="E130" s="115">
        <v>15</v>
      </c>
      <c r="F130" s="115"/>
      <c r="G130" s="115"/>
      <c r="H130" s="115"/>
      <c r="I130" s="115">
        <v>31</v>
      </c>
      <c r="J130" s="115">
        <v>5462</v>
      </c>
      <c r="K130" s="115">
        <v>9</v>
      </c>
      <c r="L130" s="115">
        <v>109</v>
      </c>
      <c r="M130" s="115">
        <v>371</v>
      </c>
      <c r="N130" s="115">
        <v>74</v>
      </c>
      <c r="O130" s="84"/>
    </row>
    <row r="131" spans="1:15">
      <c r="A131" s="115">
        <v>64</v>
      </c>
      <c r="B131" s="115">
        <v>2</v>
      </c>
      <c r="C131" s="115">
        <v>2220</v>
      </c>
      <c r="D131" s="115" t="s">
        <v>301</v>
      </c>
      <c r="E131" s="115">
        <v>8</v>
      </c>
      <c r="F131" s="115"/>
      <c r="G131" s="115"/>
      <c r="H131" s="115"/>
      <c r="I131" s="115">
        <v>44</v>
      </c>
      <c r="J131" s="115">
        <v>7982</v>
      </c>
      <c r="K131" s="115">
        <v>9</v>
      </c>
      <c r="L131" s="115">
        <v>109</v>
      </c>
      <c r="M131" s="115">
        <v>371</v>
      </c>
      <c r="N131" s="115">
        <v>74</v>
      </c>
      <c r="O131" s="84"/>
    </row>
    <row r="132" spans="1:15">
      <c r="A132" s="115">
        <v>65</v>
      </c>
      <c r="B132" s="115">
        <v>1</v>
      </c>
      <c r="C132" s="115">
        <v>5462</v>
      </c>
      <c r="D132" s="115" t="s">
        <v>302</v>
      </c>
      <c r="E132" s="115">
        <v>14</v>
      </c>
      <c r="F132" s="115"/>
      <c r="G132" s="115"/>
      <c r="H132" s="115"/>
      <c r="I132" s="115">
        <v>30</v>
      </c>
      <c r="J132" s="115">
        <v>5462</v>
      </c>
      <c r="K132" s="115">
        <v>9</v>
      </c>
      <c r="L132" s="115">
        <v>109</v>
      </c>
      <c r="M132" s="115">
        <v>371</v>
      </c>
      <c r="N132" s="115">
        <v>74</v>
      </c>
      <c r="O132" s="84"/>
    </row>
    <row r="133" spans="1:15">
      <c r="A133" s="115">
        <v>65</v>
      </c>
      <c r="B133" s="115">
        <v>2</v>
      </c>
      <c r="C133" s="115">
        <v>2390</v>
      </c>
      <c r="D133" s="115" t="s">
        <v>303</v>
      </c>
      <c r="E133" s="115">
        <v>7</v>
      </c>
      <c r="F133" s="115"/>
      <c r="G133" s="115"/>
      <c r="H133" s="115"/>
      <c r="I133" s="115">
        <v>14</v>
      </c>
      <c r="J133" s="115">
        <v>2390</v>
      </c>
      <c r="K133" s="115">
        <v>9</v>
      </c>
      <c r="L133" s="115">
        <v>109</v>
      </c>
      <c r="M133" s="115">
        <v>371</v>
      </c>
      <c r="N133" s="115">
        <v>74</v>
      </c>
      <c r="O133" s="84"/>
    </row>
    <row r="134" spans="1:15">
      <c r="A134" s="115">
        <v>66</v>
      </c>
      <c r="B134" s="115">
        <v>1</v>
      </c>
      <c r="C134" s="115">
        <v>5437</v>
      </c>
      <c r="D134" s="115" t="s">
        <v>304</v>
      </c>
      <c r="E134" s="115">
        <v>17</v>
      </c>
      <c r="F134" s="115"/>
      <c r="G134" s="115"/>
      <c r="H134" s="115"/>
      <c r="I134" s="115">
        <v>45</v>
      </c>
      <c r="J134" s="115">
        <v>8318</v>
      </c>
      <c r="K134" s="115">
        <v>9</v>
      </c>
      <c r="L134" s="115">
        <v>109</v>
      </c>
      <c r="M134" s="115">
        <v>371</v>
      </c>
      <c r="N134" s="115">
        <v>74</v>
      </c>
      <c r="O134" s="84"/>
    </row>
    <row r="135" spans="1:15">
      <c r="A135" s="115">
        <v>66</v>
      </c>
      <c r="B135" s="115">
        <v>2</v>
      </c>
      <c r="C135" s="115">
        <v>2509</v>
      </c>
      <c r="D135" s="115" t="s">
        <v>305</v>
      </c>
      <c r="E135" s="115">
        <v>8</v>
      </c>
      <c r="F135" s="115"/>
      <c r="G135" s="115"/>
      <c r="H135" s="115"/>
      <c r="I135" s="115">
        <v>30</v>
      </c>
      <c r="J135" s="115">
        <v>5390</v>
      </c>
      <c r="K135" s="115">
        <v>9</v>
      </c>
      <c r="L135" s="115">
        <v>109</v>
      </c>
      <c r="M135" s="115">
        <v>371</v>
      </c>
      <c r="N135" s="115">
        <v>74</v>
      </c>
      <c r="O135" s="84"/>
    </row>
    <row r="136" spans="1:15">
      <c r="A136" s="115">
        <v>67</v>
      </c>
      <c r="B136" s="115">
        <v>1</v>
      </c>
      <c r="C136" s="115">
        <v>5318</v>
      </c>
      <c r="D136" s="115" t="s">
        <v>306</v>
      </c>
      <c r="E136" s="115">
        <v>13</v>
      </c>
      <c r="F136" s="115"/>
      <c r="G136" s="115"/>
      <c r="H136" s="115"/>
      <c r="I136" s="115">
        <v>30</v>
      </c>
      <c r="J136" s="115">
        <v>5318</v>
      </c>
      <c r="K136" s="115">
        <v>9</v>
      </c>
      <c r="L136" s="115">
        <v>109</v>
      </c>
      <c r="M136" s="115">
        <v>371</v>
      </c>
      <c r="N136" s="115">
        <v>74</v>
      </c>
      <c r="O136" s="84"/>
    </row>
    <row r="137" spans="1:15">
      <c r="A137" s="115">
        <v>67</v>
      </c>
      <c r="B137" s="115">
        <v>2</v>
      </c>
      <c r="C137" s="115">
        <v>2317</v>
      </c>
      <c r="D137" s="115" t="s">
        <v>307</v>
      </c>
      <c r="E137" s="115">
        <v>7</v>
      </c>
      <c r="F137" s="115"/>
      <c r="G137" s="115"/>
      <c r="H137" s="115"/>
      <c r="I137" s="115">
        <v>29</v>
      </c>
      <c r="J137" s="115">
        <v>5198</v>
      </c>
      <c r="K137" s="115">
        <v>9</v>
      </c>
      <c r="L137" s="115">
        <v>109</v>
      </c>
      <c r="M137" s="115">
        <v>371</v>
      </c>
      <c r="N137" s="115">
        <v>74</v>
      </c>
      <c r="O137" s="84"/>
    </row>
    <row r="138" spans="1:15">
      <c r="A138" s="115">
        <v>68</v>
      </c>
      <c r="B138" s="115">
        <v>1</v>
      </c>
      <c r="C138" s="115">
        <v>5486</v>
      </c>
      <c r="D138" s="115" t="s">
        <v>308</v>
      </c>
      <c r="E138" s="115">
        <v>14</v>
      </c>
      <c r="F138" s="115"/>
      <c r="G138" s="115"/>
      <c r="H138" s="115"/>
      <c r="I138" s="115">
        <v>30</v>
      </c>
      <c r="J138" s="115">
        <v>5486</v>
      </c>
      <c r="K138" s="115">
        <v>9</v>
      </c>
      <c r="L138" s="115">
        <v>109</v>
      </c>
      <c r="M138" s="115">
        <v>371</v>
      </c>
      <c r="N138" s="115">
        <v>74</v>
      </c>
      <c r="O138" s="84"/>
    </row>
    <row r="139" spans="1:15">
      <c r="A139" s="115">
        <v>68</v>
      </c>
      <c r="B139" s="115">
        <v>2</v>
      </c>
      <c r="C139" s="115">
        <v>2702</v>
      </c>
      <c r="D139" s="115" t="s">
        <v>309</v>
      </c>
      <c r="E139" s="115">
        <v>7</v>
      </c>
      <c r="F139" s="115"/>
      <c r="G139" s="115"/>
      <c r="H139" s="115"/>
      <c r="I139" s="115">
        <v>15</v>
      </c>
      <c r="J139" s="115">
        <v>2702</v>
      </c>
      <c r="K139" s="115">
        <v>9</v>
      </c>
      <c r="L139" s="115">
        <v>109</v>
      </c>
      <c r="M139" s="115">
        <v>371</v>
      </c>
      <c r="N139" s="115">
        <v>74</v>
      </c>
      <c r="O139" s="84"/>
    </row>
    <row r="140" spans="1:15">
      <c r="A140" s="115">
        <v>69</v>
      </c>
      <c r="B140" s="115">
        <v>1</v>
      </c>
      <c r="C140" s="115">
        <v>5078</v>
      </c>
      <c r="D140" s="115" t="s">
        <v>310</v>
      </c>
      <c r="E140" s="115">
        <v>14</v>
      </c>
      <c r="F140" s="115"/>
      <c r="G140" s="115"/>
      <c r="H140" s="115"/>
      <c r="I140" s="115">
        <v>28</v>
      </c>
      <c r="J140" s="115">
        <v>5078</v>
      </c>
      <c r="K140" s="115">
        <v>9</v>
      </c>
      <c r="L140" s="115">
        <v>109</v>
      </c>
      <c r="M140" s="115">
        <v>371</v>
      </c>
      <c r="N140" s="115">
        <v>74</v>
      </c>
      <c r="O140" s="84"/>
    </row>
    <row r="141" spans="1:15">
      <c r="A141" s="115">
        <v>69</v>
      </c>
      <c r="B141" s="115">
        <v>2</v>
      </c>
      <c r="C141" s="115">
        <v>2149</v>
      </c>
      <c r="D141" s="115" t="s">
        <v>311</v>
      </c>
      <c r="E141" s="115">
        <v>7</v>
      </c>
      <c r="F141" s="115"/>
      <c r="G141" s="115"/>
      <c r="H141" s="115"/>
      <c r="I141" s="115">
        <v>28</v>
      </c>
      <c r="J141" s="115">
        <v>5030</v>
      </c>
      <c r="K141" s="115">
        <v>9</v>
      </c>
      <c r="L141" s="115">
        <v>109</v>
      </c>
      <c r="M141" s="115">
        <v>371</v>
      </c>
      <c r="N141" s="115">
        <v>74</v>
      </c>
      <c r="O141" s="84"/>
    </row>
    <row r="142" spans="1:15">
      <c r="A142" s="115">
        <v>70</v>
      </c>
      <c r="B142" s="115">
        <v>1</v>
      </c>
      <c r="C142" s="115">
        <v>5870</v>
      </c>
      <c r="D142" s="115" t="s">
        <v>312</v>
      </c>
      <c r="E142" s="115">
        <v>16</v>
      </c>
      <c r="F142" s="115"/>
      <c r="G142" s="115"/>
      <c r="H142" s="115"/>
      <c r="I142" s="115">
        <v>33</v>
      </c>
      <c r="J142" s="115">
        <v>5870</v>
      </c>
      <c r="K142" s="115">
        <v>9</v>
      </c>
      <c r="L142" s="115">
        <v>109</v>
      </c>
      <c r="M142" s="115">
        <v>371</v>
      </c>
      <c r="N142" s="115">
        <v>74</v>
      </c>
      <c r="O142" s="84"/>
    </row>
    <row r="143" spans="1:15">
      <c r="A143" s="115">
        <v>70</v>
      </c>
      <c r="B143" s="115">
        <v>2</v>
      </c>
      <c r="C143" s="115">
        <v>2774</v>
      </c>
      <c r="D143" s="115" t="s">
        <v>313</v>
      </c>
      <c r="E143" s="115">
        <v>8</v>
      </c>
      <c r="F143" s="115"/>
      <c r="G143" s="115"/>
      <c r="H143" s="115"/>
      <c r="I143" s="115">
        <v>16</v>
      </c>
      <c r="J143" s="115">
        <v>2774</v>
      </c>
      <c r="K143" s="115">
        <v>9</v>
      </c>
      <c r="L143" s="115">
        <v>109</v>
      </c>
      <c r="M143" s="115">
        <v>371</v>
      </c>
      <c r="N143" s="115">
        <v>74</v>
      </c>
      <c r="O143" s="84"/>
    </row>
    <row r="144" spans="1:15">
      <c r="A144" s="115">
        <v>71</v>
      </c>
      <c r="B144" s="115">
        <v>1</v>
      </c>
      <c r="C144" s="115">
        <v>1813</v>
      </c>
      <c r="D144" s="115" t="s">
        <v>314</v>
      </c>
      <c r="E144" s="115">
        <v>7</v>
      </c>
      <c r="F144" s="115"/>
      <c r="G144" s="115"/>
      <c r="H144" s="115"/>
      <c r="I144" s="115">
        <v>27</v>
      </c>
      <c r="J144" s="115">
        <v>4694</v>
      </c>
      <c r="K144" s="115">
        <v>9</v>
      </c>
      <c r="L144" s="115">
        <v>109</v>
      </c>
      <c r="M144" s="115">
        <v>371</v>
      </c>
      <c r="N144" s="115">
        <v>74</v>
      </c>
      <c r="O144" s="84"/>
    </row>
    <row r="145" spans="1:15">
      <c r="A145" s="115">
        <v>71</v>
      </c>
      <c r="B145" s="115">
        <v>2</v>
      </c>
      <c r="C145" s="115">
        <v>1958</v>
      </c>
      <c r="D145" s="115" t="s">
        <v>315</v>
      </c>
      <c r="E145" s="115">
        <v>5</v>
      </c>
      <c r="F145" s="115"/>
      <c r="G145" s="115"/>
      <c r="H145" s="115"/>
      <c r="I145" s="115">
        <v>12</v>
      </c>
      <c r="J145" s="115">
        <v>1958</v>
      </c>
      <c r="K145" s="115">
        <v>9</v>
      </c>
      <c r="L145" s="115">
        <v>109</v>
      </c>
      <c r="M145" s="115">
        <v>371</v>
      </c>
      <c r="N145" s="115">
        <v>74</v>
      </c>
      <c r="O145" s="84"/>
    </row>
    <row r="146" spans="1:15">
      <c r="A146" s="115">
        <v>72</v>
      </c>
      <c r="B146" s="115">
        <v>1</v>
      </c>
      <c r="C146" s="115">
        <v>1909</v>
      </c>
      <c r="D146" s="115" t="s">
        <v>316</v>
      </c>
      <c r="E146" s="115">
        <v>7</v>
      </c>
      <c r="F146" s="115"/>
      <c r="G146" s="115"/>
      <c r="H146" s="115"/>
      <c r="I146" s="115">
        <v>27</v>
      </c>
      <c r="J146" s="115">
        <v>4790</v>
      </c>
      <c r="K146" s="115">
        <v>9</v>
      </c>
      <c r="L146" s="115">
        <v>109</v>
      </c>
      <c r="M146" s="115">
        <v>371</v>
      </c>
      <c r="N146" s="115">
        <v>74</v>
      </c>
      <c r="O146" s="84"/>
    </row>
    <row r="147" spans="1:15">
      <c r="A147" s="115">
        <v>72</v>
      </c>
      <c r="B147" s="115">
        <v>2</v>
      </c>
      <c r="C147" s="115">
        <v>2054</v>
      </c>
      <c r="D147" s="115" t="s">
        <v>317</v>
      </c>
      <c r="E147" s="115">
        <v>5</v>
      </c>
      <c r="F147" s="115"/>
      <c r="G147" s="115"/>
      <c r="H147" s="115"/>
      <c r="I147" s="115">
        <v>12</v>
      </c>
      <c r="J147" s="115">
        <v>2054</v>
      </c>
      <c r="K147" s="115">
        <v>9</v>
      </c>
      <c r="L147" s="115">
        <v>109</v>
      </c>
      <c r="M147" s="115">
        <v>371</v>
      </c>
      <c r="N147" s="115">
        <v>74</v>
      </c>
      <c r="O147" s="84"/>
    </row>
    <row r="148" spans="1:15">
      <c r="A148" s="115">
        <v>73</v>
      </c>
      <c r="B148" s="115">
        <v>1</v>
      </c>
      <c r="C148" s="115">
        <v>1957</v>
      </c>
      <c r="D148" s="115" t="s">
        <v>318</v>
      </c>
      <c r="E148" s="115">
        <v>7</v>
      </c>
      <c r="F148" s="115"/>
      <c r="G148" s="115"/>
      <c r="H148" s="115"/>
      <c r="I148" s="115">
        <v>28</v>
      </c>
      <c r="J148" s="115">
        <v>4838</v>
      </c>
      <c r="K148" s="115">
        <v>9</v>
      </c>
      <c r="L148" s="115">
        <v>109</v>
      </c>
      <c r="M148" s="115">
        <v>371</v>
      </c>
      <c r="N148" s="115">
        <v>74</v>
      </c>
      <c r="O148" s="84"/>
    </row>
    <row r="149" spans="1:15">
      <c r="A149" s="115">
        <v>73</v>
      </c>
      <c r="B149" s="115">
        <v>2</v>
      </c>
      <c r="C149" s="115">
        <v>2126</v>
      </c>
      <c r="D149" s="115" t="s">
        <v>319</v>
      </c>
      <c r="E149" s="115">
        <v>5</v>
      </c>
      <c r="F149" s="115"/>
      <c r="G149" s="115"/>
      <c r="H149" s="115"/>
      <c r="I149" s="115">
        <v>13</v>
      </c>
      <c r="J149" s="115">
        <v>2126</v>
      </c>
      <c r="K149" s="115">
        <v>9</v>
      </c>
      <c r="L149" s="115">
        <v>109</v>
      </c>
      <c r="M149" s="115">
        <v>371</v>
      </c>
      <c r="N149" s="115">
        <v>74</v>
      </c>
      <c r="O149" s="84"/>
    </row>
    <row r="150" spans="1:15">
      <c r="A150" s="115">
        <v>74</v>
      </c>
      <c r="B150" s="115">
        <v>1</v>
      </c>
      <c r="C150" s="115">
        <v>1789</v>
      </c>
      <c r="D150" s="115" t="s">
        <v>320</v>
      </c>
      <c r="E150" s="115">
        <v>7</v>
      </c>
      <c r="F150" s="115"/>
      <c r="G150" s="115"/>
      <c r="H150" s="115"/>
      <c r="I150" s="115">
        <v>27</v>
      </c>
      <c r="J150" s="115">
        <v>4670</v>
      </c>
      <c r="K150" s="115">
        <v>9</v>
      </c>
      <c r="L150" s="115">
        <v>109</v>
      </c>
      <c r="M150" s="115">
        <v>371</v>
      </c>
      <c r="N150" s="115">
        <v>74</v>
      </c>
      <c r="O150" s="84"/>
    </row>
    <row r="151" spans="1:15">
      <c r="A151" s="115">
        <v>74</v>
      </c>
      <c r="B151" s="115">
        <v>2</v>
      </c>
      <c r="C151" s="115">
        <v>1934</v>
      </c>
      <c r="D151" s="115" t="s">
        <v>321</v>
      </c>
      <c r="E151" s="115">
        <v>5</v>
      </c>
      <c r="F151" s="115"/>
      <c r="G151" s="115"/>
      <c r="H151" s="115"/>
      <c r="I151" s="115">
        <v>12</v>
      </c>
      <c r="J151" s="115">
        <v>1934</v>
      </c>
      <c r="K151" s="115">
        <v>9</v>
      </c>
      <c r="L151" s="115">
        <v>109</v>
      </c>
      <c r="M151" s="115">
        <v>371</v>
      </c>
      <c r="N151" s="115">
        <v>74</v>
      </c>
      <c r="O151" s="84"/>
    </row>
    <row r="152" spans="1:15">
      <c r="A152" s="115">
        <v>75</v>
      </c>
      <c r="B152" s="115">
        <v>1</v>
      </c>
      <c r="C152" s="115">
        <v>1885</v>
      </c>
      <c r="D152" s="115" t="s">
        <v>322</v>
      </c>
      <c r="E152" s="115">
        <v>7</v>
      </c>
      <c r="F152" s="115"/>
      <c r="G152" s="115"/>
      <c r="H152" s="115"/>
      <c r="I152" s="115">
        <v>27</v>
      </c>
      <c r="J152" s="115">
        <v>4766</v>
      </c>
      <c r="K152" s="115">
        <v>9</v>
      </c>
      <c r="L152" s="115">
        <v>109</v>
      </c>
      <c r="M152" s="115">
        <v>371</v>
      </c>
      <c r="N152" s="115">
        <v>74</v>
      </c>
      <c r="O152" s="84"/>
    </row>
    <row r="153" spans="1:15">
      <c r="A153" s="115">
        <v>75</v>
      </c>
      <c r="B153" s="115">
        <v>2</v>
      </c>
      <c r="C153" s="115">
        <v>2030</v>
      </c>
      <c r="D153" s="115" t="s">
        <v>323</v>
      </c>
      <c r="E153" s="115">
        <v>5</v>
      </c>
      <c r="F153" s="115"/>
      <c r="G153" s="115"/>
      <c r="H153" s="115"/>
      <c r="I153" s="115">
        <v>12</v>
      </c>
      <c r="J153" s="115">
        <v>2030</v>
      </c>
      <c r="K153" s="115">
        <v>9</v>
      </c>
      <c r="L153" s="115">
        <v>109</v>
      </c>
      <c r="M153" s="115">
        <v>371</v>
      </c>
      <c r="N153" s="115">
        <v>74</v>
      </c>
      <c r="O153" s="84"/>
    </row>
    <row r="154" spans="1:15">
      <c r="A154" s="115">
        <v>76</v>
      </c>
      <c r="B154" s="115">
        <v>1</v>
      </c>
      <c r="C154" s="115">
        <v>1933</v>
      </c>
      <c r="D154" s="115" t="s">
        <v>324</v>
      </c>
      <c r="E154" s="115">
        <v>7</v>
      </c>
      <c r="F154" s="115"/>
      <c r="G154" s="115"/>
      <c r="H154" s="115"/>
      <c r="I154" s="115">
        <v>28</v>
      </c>
      <c r="J154" s="115">
        <v>4814</v>
      </c>
      <c r="K154" s="115">
        <v>9</v>
      </c>
      <c r="L154" s="115">
        <v>109</v>
      </c>
      <c r="M154" s="115">
        <v>371</v>
      </c>
      <c r="N154" s="115">
        <v>74</v>
      </c>
      <c r="O154" s="84"/>
    </row>
    <row r="155" spans="1:15">
      <c r="A155" s="115">
        <v>76</v>
      </c>
      <c r="B155" s="115">
        <v>2</v>
      </c>
      <c r="C155" s="115">
        <v>2078</v>
      </c>
      <c r="D155" s="115" t="s">
        <v>325</v>
      </c>
      <c r="E155" s="115">
        <v>5</v>
      </c>
      <c r="F155" s="115"/>
      <c r="G155" s="115"/>
      <c r="H155" s="115"/>
      <c r="I155" s="115">
        <v>13</v>
      </c>
      <c r="J155" s="115">
        <v>2078</v>
      </c>
      <c r="K155" s="115">
        <v>9</v>
      </c>
      <c r="L155" s="115">
        <v>109</v>
      </c>
      <c r="M155" s="115">
        <v>371</v>
      </c>
      <c r="N155" s="115">
        <v>74</v>
      </c>
      <c r="O155" s="84"/>
    </row>
    <row r="156" spans="1:15">
      <c r="A156" s="115">
        <v>77</v>
      </c>
      <c r="B156" s="115">
        <v>1</v>
      </c>
      <c r="C156" s="115">
        <v>1885</v>
      </c>
      <c r="D156" s="115" t="s">
        <v>326</v>
      </c>
      <c r="E156" s="115">
        <v>7</v>
      </c>
      <c r="F156" s="115"/>
      <c r="G156" s="115"/>
      <c r="H156" s="115"/>
      <c r="I156" s="115">
        <v>27</v>
      </c>
      <c r="J156" s="115">
        <v>4766</v>
      </c>
      <c r="K156" s="115">
        <v>9</v>
      </c>
      <c r="L156" s="115">
        <v>109</v>
      </c>
      <c r="M156" s="115">
        <v>371</v>
      </c>
      <c r="N156" s="115">
        <v>74</v>
      </c>
      <c r="O156" s="84"/>
    </row>
    <row r="157" spans="1:15">
      <c r="A157" s="115">
        <v>77</v>
      </c>
      <c r="B157" s="115">
        <v>2</v>
      </c>
      <c r="C157" s="115">
        <v>2030</v>
      </c>
      <c r="D157" s="115" t="s">
        <v>327</v>
      </c>
      <c r="E157" s="115">
        <v>5</v>
      </c>
      <c r="F157" s="115"/>
      <c r="G157" s="115"/>
      <c r="H157" s="115"/>
      <c r="I157" s="115">
        <v>12</v>
      </c>
      <c r="J157" s="115">
        <v>2030</v>
      </c>
      <c r="K157" s="115">
        <v>9</v>
      </c>
      <c r="L157" s="115">
        <v>109</v>
      </c>
      <c r="M157" s="115">
        <v>371</v>
      </c>
      <c r="N157" s="115">
        <v>74</v>
      </c>
      <c r="O157" s="84"/>
    </row>
    <row r="158" spans="1:15">
      <c r="A158" s="115">
        <v>78</v>
      </c>
      <c r="B158" s="115">
        <v>1</v>
      </c>
      <c r="C158" s="115">
        <v>1933</v>
      </c>
      <c r="D158" s="115" t="s">
        <v>328</v>
      </c>
      <c r="E158" s="115">
        <v>7</v>
      </c>
      <c r="F158" s="115"/>
      <c r="G158" s="115"/>
      <c r="H158" s="115"/>
      <c r="I158" s="115">
        <v>28</v>
      </c>
      <c r="J158" s="115">
        <v>4814</v>
      </c>
      <c r="K158" s="115">
        <v>9</v>
      </c>
      <c r="L158" s="115">
        <v>109</v>
      </c>
      <c r="M158" s="115">
        <v>371</v>
      </c>
      <c r="N158" s="115">
        <v>74</v>
      </c>
      <c r="O158" s="84"/>
    </row>
    <row r="159" spans="1:15">
      <c r="A159" s="115">
        <v>78</v>
      </c>
      <c r="B159" s="115">
        <v>2</v>
      </c>
      <c r="C159" s="115">
        <v>2078</v>
      </c>
      <c r="D159" s="115" t="s">
        <v>329</v>
      </c>
      <c r="E159" s="115">
        <v>5</v>
      </c>
      <c r="F159" s="115"/>
      <c r="G159" s="115"/>
      <c r="H159" s="115"/>
      <c r="I159" s="115">
        <v>13</v>
      </c>
      <c r="J159" s="115">
        <v>2078</v>
      </c>
      <c r="K159" s="115">
        <v>9</v>
      </c>
      <c r="L159" s="115">
        <v>109</v>
      </c>
      <c r="M159" s="115">
        <v>371</v>
      </c>
      <c r="N159" s="115">
        <v>74</v>
      </c>
      <c r="O159" s="84"/>
    </row>
    <row r="160" spans="1:15">
      <c r="A160" s="115">
        <v>79</v>
      </c>
      <c r="B160" s="115">
        <v>1</v>
      </c>
      <c r="C160" s="115">
        <v>1885</v>
      </c>
      <c r="D160" s="115" t="s">
        <v>330</v>
      </c>
      <c r="E160" s="115">
        <v>7</v>
      </c>
      <c r="F160" s="115"/>
      <c r="G160" s="115"/>
      <c r="H160" s="115"/>
      <c r="I160" s="115">
        <v>135</v>
      </c>
      <c r="J160" s="115">
        <v>4766</v>
      </c>
      <c r="K160" s="115">
        <v>9</v>
      </c>
      <c r="L160" s="115">
        <v>109</v>
      </c>
      <c r="M160" s="115">
        <v>371</v>
      </c>
      <c r="N160" s="115">
        <v>74</v>
      </c>
      <c r="O160" s="84"/>
    </row>
    <row r="161" spans="1:15">
      <c r="A161" s="115">
        <v>79</v>
      </c>
      <c r="B161" s="115">
        <v>2</v>
      </c>
      <c r="C161" s="115">
        <v>2054</v>
      </c>
      <c r="D161" s="115" t="s">
        <v>331</v>
      </c>
      <c r="E161" s="115">
        <v>5</v>
      </c>
      <c r="F161" s="115"/>
      <c r="G161" s="115"/>
      <c r="H161" s="115"/>
      <c r="I161" s="115">
        <v>75</v>
      </c>
      <c r="J161" s="115">
        <v>2054</v>
      </c>
      <c r="K161" s="115">
        <v>9</v>
      </c>
      <c r="L161" s="115">
        <v>109</v>
      </c>
      <c r="M161" s="115">
        <v>371</v>
      </c>
      <c r="N161" s="115">
        <v>74</v>
      </c>
      <c r="O161" s="84"/>
    </row>
    <row r="162" spans="1:15">
      <c r="A162" s="115">
        <v>80</v>
      </c>
      <c r="B162" s="115">
        <v>1</v>
      </c>
      <c r="C162" s="115">
        <v>1885</v>
      </c>
      <c r="D162" s="115" t="s">
        <v>332</v>
      </c>
      <c r="E162" s="115">
        <v>7</v>
      </c>
      <c r="F162" s="115"/>
      <c r="G162" s="115"/>
      <c r="H162" s="115"/>
      <c r="I162" s="115">
        <v>135</v>
      </c>
      <c r="J162" s="115">
        <v>4766</v>
      </c>
      <c r="K162" s="115">
        <v>9</v>
      </c>
      <c r="L162" s="115">
        <v>109</v>
      </c>
      <c r="M162" s="115">
        <v>371</v>
      </c>
      <c r="N162" s="115">
        <v>74</v>
      </c>
      <c r="O162" s="84"/>
    </row>
    <row r="163" spans="1:15">
      <c r="A163" s="115">
        <v>80</v>
      </c>
      <c r="B163" s="115">
        <v>2</v>
      </c>
      <c r="C163" s="115">
        <v>2030</v>
      </c>
      <c r="D163" s="115" t="s">
        <v>333</v>
      </c>
      <c r="E163" s="115">
        <v>5</v>
      </c>
      <c r="F163" s="115"/>
      <c r="G163" s="115"/>
      <c r="H163" s="115"/>
      <c r="I163" s="115">
        <v>75</v>
      </c>
      <c r="J163" s="115">
        <v>2030</v>
      </c>
      <c r="K163" s="115">
        <v>9</v>
      </c>
      <c r="L163" s="115">
        <v>109</v>
      </c>
      <c r="M163" s="115">
        <v>371</v>
      </c>
      <c r="N163" s="115">
        <v>74</v>
      </c>
      <c r="O163" s="84"/>
    </row>
    <row r="164" spans="1:15">
      <c r="A164" s="84"/>
      <c r="B164" s="84"/>
      <c r="C164" s="84">
        <f>AVERAGE(C4:C163)</f>
        <v>3486.8937500000002</v>
      </c>
      <c r="D164" s="84"/>
      <c r="E164" s="84"/>
      <c r="F164" s="84"/>
      <c r="G164" s="84"/>
      <c r="H164" s="84"/>
      <c r="I164" s="133">
        <f>AVERAGE(I4:I163)</f>
        <v>104.1</v>
      </c>
      <c r="J164" s="84">
        <f>AVERAGE(J4:J163)</f>
        <v>15677.125</v>
      </c>
      <c r="K164" s="84"/>
      <c r="L164" s="84"/>
      <c r="M164" s="84"/>
      <c r="N164" s="84"/>
      <c r="O164" s="84"/>
    </row>
    <row r="165" spans="1:15">
      <c r="A165" s="84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</row>
    <row r="166" spans="1:15">
      <c r="A166" s="84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</row>
  </sheetData>
  <phoneticPr fontId="50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2"/>
  <dimension ref="A1:G161"/>
  <sheetViews>
    <sheetView workbookViewId="0">
      <selection activeCell="M10" sqref="M10"/>
    </sheetView>
  </sheetViews>
  <sheetFormatPr defaultColWidth="11" defaultRowHeight="13.5"/>
  <sheetData>
    <row r="1" spans="1:7">
      <c r="A1" s="40" t="s">
        <v>334</v>
      </c>
      <c r="B1" s="40" t="s">
        <v>335</v>
      </c>
      <c r="C1" s="40" t="s">
        <v>218</v>
      </c>
      <c r="D1" s="40" t="s">
        <v>336</v>
      </c>
      <c r="E1" s="40" t="s">
        <v>337</v>
      </c>
      <c r="F1" s="40" t="s">
        <v>338</v>
      </c>
      <c r="G1" s="40" t="s">
        <v>339</v>
      </c>
    </row>
    <row r="2" spans="1:7">
      <c r="A2" s="40">
        <v>1</v>
      </c>
      <c r="B2" s="40" t="s">
        <v>340</v>
      </c>
      <c r="C2" s="40" t="s">
        <v>341</v>
      </c>
      <c r="D2" s="40" t="s">
        <v>208</v>
      </c>
      <c r="E2" s="40">
        <v>1</v>
      </c>
      <c r="F2" s="40">
        <v>61</v>
      </c>
      <c r="G2">
        <v>10884.5</v>
      </c>
    </row>
    <row r="3" spans="1:7">
      <c r="A3" s="40">
        <v>2</v>
      </c>
      <c r="B3" s="40" t="s">
        <v>340</v>
      </c>
      <c r="C3" s="40" t="s">
        <v>341</v>
      </c>
      <c r="D3" s="40" t="s">
        <v>207</v>
      </c>
      <c r="E3" s="40">
        <v>1</v>
      </c>
      <c r="F3" s="40">
        <v>28</v>
      </c>
      <c r="G3">
        <v>664.48299999999995</v>
      </c>
    </row>
    <row r="4" spans="1:7">
      <c r="A4" s="40">
        <v>3</v>
      </c>
      <c r="B4" s="40" t="s">
        <v>340</v>
      </c>
      <c r="C4" s="40" t="s">
        <v>341</v>
      </c>
      <c r="D4" s="40" t="s">
        <v>208</v>
      </c>
      <c r="E4" s="40">
        <v>2</v>
      </c>
      <c r="F4" s="40">
        <v>40</v>
      </c>
      <c r="G4">
        <v>3397.9</v>
      </c>
    </row>
    <row r="5" spans="1:7">
      <c r="A5" s="40">
        <v>4</v>
      </c>
      <c r="B5" s="40" t="s">
        <v>340</v>
      </c>
      <c r="C5" s="40" t="s">
        <v>341</v>
      </c>
      <c r="D5" s="40" t="s">
        <v>207</v>
      </c>
      <c r="E5" s="40">
        <v>2</v>
      </c>
      <c r="F5" s="40">
        <v>21</v>
      </c>
      <c r="G5">
        <v>866.87800000000004</v>
      </c>
    </row>
    <row r="6" spans="1:7">
      <c r="A6" s="40">
        <v>5</v>
      </c>
      <c r="B6" s="40" t="s">
        <v>340</v>
      </c>
      <c r="C6" s="40" t="s">
        <v>341</v>
      </c>
      <c r="D6" s="40" t="s">
        <v>208</v>
      </c>
      <c r="E6" s="40">
        <v>3</v>
      </c>
      <c r="F6" s="40">
        <v>66</v>
      </c>
      <c r="G6">
        <v>5553.44</v>
      </c>
    </row>
    <row r="7" spans="1:7">
      <c r="A7" s="40">
        <v>6</v>
      </c>
      <c r="B7" s="40" t="s">
        <v>340</v>
      </c>
      <c r="C7" s="40" t="s">
        <v>341</v>
      </c>
      <c r="D7" s="40" t="s">
        <v>207</v>
      </c>
      <c r="E7" s="40">
        <v>3</v>
      </c>
      <c r="F7" s="40">
        <v>23</v>
      </c>
      <c r="G7">
        <v>516.17399999999998</v>
      </c>
    </row>
    <row r="8" spans="1:7">
      <c r="A8" s="40">
        <v>7</v>
      </c>
      <c r="B8" s="40" t="s">
        <v>340</v>
      </c>
      <c r="C8" s="40" t="s">
        <v>341</v>
      </c>
      <c r="D8" s="40" t="s">
        <v>208</v>
      </c>
      <c r="E8" s="40">
        <v>4</v>
      </c>
      <c r="F8" s="40">
        <v>89</v>
      </c>
      <c r="G8">
        <v>44863.6</v>
      </c>
    </row>
    <row r="9" spans="1:7">
      <c r="A9" s="40">
        <v>8</v>
      </c>
      <c r="B9" s="40" t="s">
        <v>340</v>
      </c>
      <c r="C9" s="40" t="s">
        <v>341</v>
      </c>
      <c r="D9" s="40" t="s">
        <v>207</v>
      </c>
      <c r="E9" s="40">
        <v>4</v>
      </c>
      <c r="F9" s="40">
        <v>29</v>
      </c>
      <c r="G9">
        <v>924.55200000000002</v>
      </c>
    </row>
    <row r="10" spans="1:7">
      <c r="A10" s="40">
        <v>9</v>
      </c>
      <c r="B10" s="40" t="s">
        <v>340</v>
      </c>
      <c r="C10" s="40" t="s">
        <v>341</v>
      </c>
      <c r="D10" s="40" t="s">
        <v>208</v>
      </c>
      <c r="E10" s="40">
        <v>5</v>
      </c>
      <c r="F10" s="40">
        <v>64</v>
      </c>
      <c r="G10">
        <v>7882.8</v>
      </c>
    </row>
    <row r="11" spans="1:7">
      <c r="A11" s="40">
        <v>10</v>
      </c>
      <c r="B11" s="40" t="s">
        <v>340</v>
      </c>
      <c r="C11" s="40" t="s">
        <v>341</v>
      </c>
      <c r="D11" s="40" t="s">
        <v>207</v>
      </c>
      <c r="E11" s="40">
        <v>5</v>
      </c>
      <c r="F11" s="40">
        <v>20</v>
      </c>
      <c r="G11">
        <v>689.03800000000001</v>
      </c>
    </row>
    <row r="12" spans="1:7">
      <c r="A12" s="40">
        <v>11</v>
      </c>
      <c r="B12" s="40" t="s">
        <v>340</v>
      </c>
      <c r="C12" s="40" t="s">
        <v>341</v>
      </c>
      <c r="D12" s="40" t="s">
        <v>208</v>
      </c>
      <c r="E12" s="40">
        <v>6</v>
      </c>
      <c r="F12" s="40">
        <v>61</v>
      </c>
      <c r="G12">
        <v>1965.4</v>
      </c>
    </row>
    <row r="13" spans="1:7">
      <c r="A13" s="40">
        <v>12</v>
      </c>
      <c r="B13" s="40" t="s">
        <v>340</v>
      </c>
      <c r="C13" s="40" t="s">
        <v>341</v>
      </c>
      <c r="D13" s="40" t="s">
        <v>207</v>
      </c>
      <c r="E13" s="40">
        <v>6</v>
      </c>
      <c r="F13" s="40">
        <v>21</v>
      </c>
      <c r="G13">
        <v>513.81799999999998</v>
      </c>
    </row>
    <row r="14" spans="1:7">
      <c r="A14" s="40">
        <v>13</v>
      </c>
      <c r="B14" s="40" t="s">
        <v>340</v>
      </c>
      <c r="C14" s="40" t="s">
        <v>341</v>
      </c>
      <c r="D14" s="40" t="s">
        <v>208</v>
      </c>
      <c r="E14" s="40">
        <v>7</v>
      </c>
      <c r="F14" s="40">
        <v>153</v>
      </c>
      <c r="G14">
        <v>150.10300000000001</v>
      </c>
    </row>
    <row r="15" spans="1:7">
      <c r="A15" s="40">
        <v>14</v>
      </c>
      <c r="B15" s="40" t="s">
        <v>340</v>
      </c>
      <c r="C15" s="40" t="s">
        <v>341</v>
      </c>
      <c r="D15" s="40" t="s">
        <v>207</v>
      </c>
      <c r="E15" s="40">
        <v>7</v>
      </c>
      <c r="F15" s="40">
        <v>31</v>
      </c>
      <c r="G15">
        <v>673.65599999999995</v>
      </c>
    </row>
    <row r="16" spans="1:7">
      <c r="A16" s="40">
        <v>15</v>
      </c>
      <c r="B16" s="40" t="s">
        <v>340</v>
      </c>
      <c r="C16" s="40" t="s">
        <v>341</v>
      </c>
      <c r="D16" s="40" t="s">
        <v>208</v>
      </c>
      <c r="E16" s="40">
        <v>8</v>
      </c>
      <c r="F16" s="40">
        <v>38</v>
      </c>
      <c r="G16">
        <v>2606.11</v>
      </c>
    </row>
    <row r="17" spans="1:7">
      <c r="A17" s="40">
        <v>16</v>
      </c>
      <c r="B17" s="40" t="s">
        <v>340</v>
      </c>
      <c r="C17" s="40" t="s">
        <v>341</v>
      </c>
      <c r="D17" s="40" t="s">
        <v>207</v>
      </c>
      <c r="E17" s="40">
        <v>8</v>
      </c>
      <c r="F17" s="40">
        <v>19</v>
      </c>
      <c r="G17">
        <v>868.53200000000004</v>
      </c>
    </row>
    <row r="18" spans="1:7">
      <c r="A18" s="40">
        <v>17</v>
      </c>
      <c r="B18" s="40" t="s">
        <v>340</v>
      </c>
      <c r="C18" s="40" t="s">
        <v>341</v>
      </c>
      <c r="D18" s="40" t="s">
        <v>208</v>
      </c>
      <c r="E18" s="40">
        <v>9</v>
      </c>
      <c r="F18" s="40">
        <v>62</v>
      </c>
      <c r="G18">
        <v>1672</v>
      </c>
    </row>
    <row r="19" spans="1:7">
      <c r="A19" s="40">
        <v>18</v>
      </c>
      <c r="B19" s="40" t="s">
        <v>340</v>
      </c>
      <c r="C19" s="40" t="s">
        <v>341</v>
      </c>
      <c r="D19" s="40" t="s">
        <v>207</v>
      </c>
      <c r="E19" s="40">
        <v>9</v>
      </c>
      <c r="F19" s="40">
        <v>26</v>
      </c>
      <c r="G19">
        <v>586.40499999999997</v>
      </c>
    </row>
    <row r="20" spans="1:7">
      <c r="A20" s="40">
        <v>19</v>
      </c>
      <c r="B20" s="40" t="s">
        <v>340</v>
      </c>
      <c r="C20" s="40" t="s">
        <v>341</v>
      </c>
      <c r="D20" s="40" t="s">
        <v>208</v>
      </c>
      <c r="E20" s="40">
        <v>10</v>
      </c>
      <c r="F20" s="40">
        <v>60</v>
      </c>
      <c r="G20">
        <v>5934.34</v>
      </c>
    </row>
    <row r="21" spans="1:7">
      <c r="A21" s="40">
        <v>20</v>
      </c>
      <c r="B21" s="40" t="s">
        <v>340</v>
      </c>
      <c r="C21" s="40" t="s">
        <v>341</v>
      </c>
      <c r="D21" s="40" t="s">
        <v>207</v>
      </c>
      <c r="E21" s="40">
        <v>10</v>
      </c>
      <c r="F21" s="40">
        <v>21</v>
      </c>
      <c r="G21">
        <v>527.87400000000002</v>
      </c>
    </row>
    <row r="22" spans="1:7">
      <c r="A22" s="40">
        <v>21</v>
      </c>
      <c r="B22" s="40" t="s">
        <v>342</v>
      </c>
      <c r="C22" s="40" t="s">
        <v>341</v>
      </c>
      <c r="D22" s="40" t="s">
        <v>208</v>
      </c>
      <c r="E22" s="40">
        <v>1</v>
      </c>
      <c r="F22" s="40">
        <v>15</v>
      </c>
      <c r="G22">
        <v>858.48500000000001</v>
      </c>
    </row>
    <row r="23" spans="1:7">
      <c r="A23" s="40">
        <v>22</v>
      </c>
      <c r="B23" s="40" t="s">
        <v>342</v>
      </c>
      <c r="C23" s="40" t="s">
        <v>341</v>
      </c>
      <c r="D23" s="40" t="s">
        <v>207</v>
      </c>
      <c r="E23" s="40">
        <v>1</v>
      </c>
      <c r="F23" s="40">
        <v>7</v>
      </c>
      <c r="G23">
        <v>260.53699999999998</v>
      </c>
    </row>
    <row r="24" spans="1:7">
      <c r="A24" s="40">
        <v>23</v>
      </c>
      <c r="B24" s="40" t="s">
        <v>342</v>
      </c>
      <c r="C24" s="40" t="s">
        <v>341</v>
      </c>
      <c r="D24" s="40" t="s">
        <v>208</v>
      </c>
      <c r="E24" s="40">
        <v>2</v>
      </c>
      <c r="F24" s="40">
        <v>13</v>
      </c>
      <c r="G24">
        <v>714.66800000000001</v>
      </c>
    </row>
    <row r="25" spans="1:7">
      <c r="A25" s="40">
        <v>24</v>
      </c>
      <c r="B25" s="40" t="s">
        <v>342</v>
      </c>
      <c r="C25" s="40" t="s">
        <v>341</v>
      </c>
      <c r="D25" s="40" t="s">
        <v>207</v>
      </c>
      <c r="E25" s="40">
        <v>2</v>
      </c>
      <c r="F25" s="40">
        <v>7</v>
      </c>
      <c r="G25">
        <v>326.66500000000002</v>
      </c>
    </row>
    <row r="26" spans="1:7">
      <c r="A26" s="40">
        <v>25</v>
      </c>
      <c r="B26" s="40" t="s">
        <v>342</v>
      </c>
      <c r="C26" s="40" t="s">
        <v>341</v>
      </c>
      <c r="D26" s="40" t="s">
        <v>208</v>
      </c>
      <c r="E26" s="40">
        <v>3</v>
      </c>
      <c r="F26" s="40">
        <v>15</v>
      </c>
      <c r="G26">
        <v>634.23500000000001</v>
      </c>
    </row>
    <row r="27" spans="1:7">
      <c r="A27" s="40">
        <v>26</v>
      </c>
      <c r="B27" s="40" t="s">
        <v>342</v>
      </c>
      <c r="C27" s="40" t="s">
        <v>341</v>
      </c>
      <c r="D27" s="40" t="s">
        <v>207</v>
      </c>
      <c r="E27" s="40">
        <v>3</v>
      </c>
      <c r="F27" s="40">
        <v>8</v>
      </c>
      <c r="G27">
        <v>352.85700000000003</v>
      </c>
    </row>
    <row r="28" spans="1:7">
      <c r="A28" s="40">
        <v>27</v>
      </c>
      <c r="B28" s="40" t="s">
        <v>342</v>
      </c>
      <c r="C28" s="40" t="s">
        <v>341</v>
      </c>
      <c r="D28" s="40" t="s">
        <v>208</v>
      </c>
      <c r="E28" s="40">
        <v>4</v>
      </c>
      <c r="F28" s="40">
        <v>17</v>
      </c>
      <c r="G28">
        <v>853.79</v>
      </c>
    </row>
    <row r="29" spans="1:7">
      <c r="A29" s="40">
        <v>28</v>
      </c>
      <c r="B29" s="40" t="s">
        <v>342</v>
      </c>
      <c r="C29" s="40" t="s">
        <v>341</v>
      </c>
      <c r="D29" s="40" t="s">
        <v>207</v>
      </c>
      <c r="E29" s="40">
        <v>4</v>
      </c>
      <c r="F29" s="40">
        <v>8</v>
      </c>
      <c r="G29">
        <v>254.452</v>
      </c>
    </row>
    <row r="30" spans="1:7">
      <c r="A30" s="40">
        <v>29</v>
      </c>
      <c r="B30" s="40" t="s">
        <v>342</v>
      </c>
      <c r="C30" s="40" t="s">
        <v>341</v>
      </c>
      <c r="D30" s="40" t="s">
        <v>208</v>
      </c>
      <c r="E30" s="40">
        <v>5</v>
      </c>
      <c r="F30" s="40">
        <v>12</v>
      </c>
      <c r="G30">
        <v>1150.5999999999999</v>
      </c>
    </row>
    <row r="31" spans="1:7">
      <c r="A31" s="40">
        <v>30</v>
      </c>
      <c r="B31" s="40" t="s">
        <v>342</v>
      </c>
      <c r="C31" s="40" t="s">
        <v>341</v>
      </c>
      <c r="D31" s="40" t="s">
        <v>207</v>
      </c>
      <c r="E31" s="40">
        <v>5</v>
      </c>
      <c r="F31" s="40">
        <v>7</v>
      </c>
      <c r="G31">
        <v>218.77500000000001</v>
      </c>
    </row>
    <row r="32" spans="1:7">
      <c r="A32" s="40">
        <v>31</v>
      </c>
      <c r="B32" s="40" t="s">
        <v>342</v>
      </c>
      <c r="C32" s="40" t="s">
        <v>341</v>
      </c>
      <c r="D32" s="40" t="s">
        <v>208</v>
      </c>
      <c r="E32" s="40">
        <v>6</v>
      </c>
      <c r="F32" s="40">
        <v>12</v>
      </c>
      <c r="G32">
        <v>859.21799999999996</v>
      </c>
    </row>
    <row r="33" spans="1:7">
      <c r="A33" s="40">
        <v>32</v>
      </c>
      <c r="B33" s="40" t="s">
        <v>342</v>
      </c>
      <c r="C33" s="40" t="s">
        <v>341</v>
      </c>
      <c r="D33" s="40" t="s">
        <v>207</v>
      </c>
      <c r="E33" s="40">
        <v>6</v>
      </c>
      <c r="F33" s="40">
        <v>7</v>
      </c>
      <c r="G33">
        <v>388.03500000000003</v>
      </c>
    </row>
    <row r="34" spans="1:7">
      <c r="A34" s="40">
        <v>33</v>
      </c>
      <c r="B34" s="40" t="s">
        <v>342</v>
      </c>
      <c r="C34" s="40" t="s">
        <v>341</v>
      </c>
      <c r="D34" s="40" t="s">
        <v>208</v>
      </c>
      <c r="E34" s="40">
        <v>7</v>
      </c>
      <c r="F34" s="40">
        <v>13</v>
      </c>
      <c r="G34">
        <v>747.28800000000001</v>
      </c>
    </row>
    <row r="35" spans="1:7">
      <c r="A35" s="40">
        <v>34</v>
      </c>
      <c r="B35" s="40" t="s">
        <v>342</v>
      </c>
      <c r="C35" s="40" t="s">
        <v>341</v>
      </c>
      <c r="D35" s="40" t="s">
        <v>207</v>
      </c>
      <c r="E35" s="40">
        <v>7</v>
      </c>
      <c r="F35" s="40">
        <v>7</v>
      </c>
      <c r="G35">
        <v>221.614</v>
      </c>
    </row>
    <row r="36" spans="1:7">
      <c r="A36" s="40">
        <v>35</v>
      </c>
      <c r="B36" s="40" t="s">
        <v>342</v>
      </c>
      <c r="C36" s="40" t="s">
        <v>341</v>
      </c>
      <c r="D36" s="40" t="s">
        <v>208</v>
      </c>
      <c r="E36" s="40">
        <v>8</v>
      </c>
      <c r="F36" s="40">
        <v>17</v>
      </c>
      <c r="G36">
        <v>679.88099999999997</v>
      </c>
    </row>
    <row r="37" spans="1:7">
      <c r="A37" s="40">
        <v>36</v>
      </c>
      <c r="B37" s="40" t="s">
        <v>342</v>
      </c>
      <c r="C37" s="40" t="s">
        <v>341</v>
      </c>
      <c r="D37" s="40" t="s">
        <v>207</v>
      </c>
      <c r="E37" s="40">
        <v>8</v>
      </c>
      <c r="F37" s="40">
        <v>8</v>
      </c>
      <c r="G37">
        <v>283.63900000000001</v>
      </c>
    </row>
    <row r="38" spans="1:7">
      <c r="A38" s="40">
        <v>37</v>
      </c>
      <c r="B38" s="40" t="s">
        <v>342</v>
      </c>
      <c r="C38" s="40" t="s">
        <v>341</v>
      </c>
      <c r="D38" s="40" t="s">
        <v>208</v>
      </c>
      <c r="E38" s="40">
        <v>9</v>
      </c>
      <c r="F38" s="40">
        <v>14</v>
      </c>
      <c r="G38">
        <v>873.32100000000003</v>
      </c>
    </row>
    <row r="39" spans="1:7">
      <c r="A39" s="40">
        <v>38</v>
      </c>
      <c r="B39" s="40" t="s">
        <v>342</v>
      </c>
      <c r="C39" s="40" t="s">
        <v>341</v>
      </c>
      <c r="D39" s="40" t="s">
        <v>207</v>
      </c>
      <c r="E39" s="40">
        <v>9</v>
      </c>
      <c r="F39" s="40">
        <v>7</v>
      </c>
      <c r="G39">
        <v>341.40600000000001</v>
      </c>
    </row>
    <row r="40" spans="1:7">
      <c r="A40" s="40">
        <v>39</v>
      </c>
      <c r="B40" s="40" t="s">
        <v>342</v>
      </c>
      <c r="C40" s="40" t="s">
        <v>341</v>
      </c>
      <c r="D40" s="40" t="s">
        <v>208</v>
      </c>
      <c r="E40" s="40">
        <v>10</v>
      </c>
      <c r="F40" s="40">
        <v>12</v>
      </c>
      <c r="G40">
        <v>661.23800000000006</v>
      </c>
    </row>
    <row r="41" spans="1:7">
      <c r="A41" s="40">
        <v>40</v>
      </c>
      <c r="B41" s="40" t="s">
        <v>342</v>
      </c>
      <c r="C41" s="40" t="s">
        <v>341</v>
      </c>
      <c r="D41" s="40" t="s">
        <v>207</v>
      </c>
      <c r="E41" s="40">
        <v>10</v>
      </c>
      <c r="F41" s="40">
        <v>7</v>
      </c>
      <c r="G41">
        <v>367.00599999999997</v>
      </c>
    </row>
    <row r="42" spans="1:7">
      <c r="A42" s="40">
        <v>41</v>
      </c>
      <c r="B42" s="40" t="s">
        <v>343</v>
      </c>
      <c r="C42" s="40" t="s">
        <v>341</v>
      </c>
      <c r="D42" s="40" t="s">
        <v>208</v>
      </c>
      <c r="E42" s="40">
        <v>1</v>
      </c>
      <c r="F42" s="40">
        <v>17</v>
      </c>
      <c r="G42">
        <v>573.81600000000003</v>
      </c>
    </row>
    <row r="43" spans="1:7">
      <c r="A43" s="40">
        <v>42</v>
      </c>
      <c r="B43" s="40" t="s">
        <v>343</v>
      </c>
      <c r="C43" s="40" t="s">
        <v>341</v>
      </c>
      <c r="D43" s="40" t="s">
        <v>207</v>
      </c>
      <c r="E43" s="40">
        <v>1</v>
      </c>
      <c r="F43" s="40">
        <v>9</v>
      </c>
      <c r="G43">
        <v>179.947</v>
      </c>
    </row>
    <row r="44" spans="1:7">
      <c r="A44" s="40">
        <v>43</v>
      </c>
      <c r="B44" s="40" t="s">
        <v>343</v>
      </c>
      <c r="C44" s="40" t="s">
        <v>341</v>
      </c>
      <c r="D44" s="40" t="s">
        <v>208</v>
      </c>
      <c r="E44" s="40">
        <v>2</v>
      </c>
      <c r="F44" s="40">
        <v>17</v>
      </c>
      <c r="G44">
        <v>345.01</v>
      </c>
    </row>
    <row r="45" spans="1:7">
      <c r="A45" s="40">
        <v>44</v>
      </c>
      <c r="B45" s="40" t="s">
        <v>343</v>
      </c>
      <c r="C45" s="40" t="s">
        <v>341</v>
      </c>
      <c r="D45" s="40" t="s">
        <v>207</v>
      </c>
      <c r="E45" s="40">
        <v>2</v>
      </c>
      <c r="F45" s="40">
        <v>9</v>
      </c>
      <c r="G45">
        <v>130.63499999999999</v>
      </c>
    </row>
    <row r="46" spans="1:7">
      <c r="A46" s="40">
        <v>45</v>
      </c>
      <c r="B46" s="40" t="s">
        <v>343</v>
      </c>
      <c r="C46" s="40" t="s">
        <v>341</v>
      </c>
      <c r="D46" s="40" t="s">
        <v>208</v>
      </c>
      <c r="E46" s="40">
        <v>3</v>
      </c>
      <c r="F46" s="40">
        <v>20</v>
      </c>
      <c r="G46">
        <v>429.93599999999998</v>
      </c>
    </row>
    <row r="47" spans="1:7">
      <c r="A47" s="40">
        <v>46</v>
      </c>
      <c r="B47" s="40" t="s">
        <v>343</v>
      </c>
      <c r="C47" s="40" t="s">
        <v>341</v>
      </c>
      <c r="D47" s="40" t="s">
        <v>207</v>
      </c>
      <c r="E47" s="40">
        <v>3</v>
      </c>
      <c r="F47" s="40">
        <v>9</v>
      </c>
      <c r="G47">
        <v>132.881</v>
      </c>
    </row>
    <row r="48" spans="1:7">
      <c r="A48" s="40">
        <v>47</v>
      </c>
      <c r="B48" s="40" t="s">
        <v>343</v>
      </c>
      <c r="C48" s="40" t="s">
        <v>341</v>
      </c>
      <c r="D48" s="40" t="s">
        <v>208</v>
      </c>
      <c r="E48" s="40">
        <v>4</v>
      </c>
      <c r="F48" s="40">
        <v>16</v>
      </c>
      <c r="G48">
        <v>465.536</v>
      </c>
    </row>
    <row r="49" spans="1:7">
      <c r="A49" s="40">
        <v>48</v>
      </c>
      <c r="B49" s="40" t="s">
        <v>343</v>
      </c>
      <c r="C49" s="40" t="s">
        <v>341</v>
      </c>
      <c r="D49" s="40" t="s">
        <v>207</v>
      </c>
      <c r="E49" s="40">
        <v>4</v>
      </c>
      <c r="F49" s="40">
        <v>8</v>
      </c>
      <c r="G49">
        <v>62.976999999999997</v>
      </c>
    </row>
    <row r="50" spans="1:7">
      <c r="A50" s="40">
        <v>49</v>
      </c>
      <c r="B50" s="40" t="s">
        <v>343</v>
      </c>
      <c r="C50" s="40" t="s">
        <v>341</v>
      </c>
      <c r="D50" s="40" t="s">
        <v>208</v>
      </c>
      <c r="E50" s="40">
        <v>5</v>
      </c>
      <c r="F50" s="40">
        <v>21</v>
      </c>
      <c r="G50">
        <v>509.23099999999999</v>
      </c>
    </row>
    <row r="51" spans="1:7">
      <c r="A51" s="40">
        <v>50</v>
      </c>
      <c r="B51" s="40" t="s">
        <v>343</v>
      </c>
      <c r="C51" s="40" t="s">
        <v>341</v>
      </c>
      <c r="D51" s="40" t="s">
        <v>207</v>
      </c>
      <c r="E51" s="40">
        <v>5</v>
      </c>
      <c r="F51" s="40">
        <v>9</v>
      </c>
      <c r="G51">
        <v>293.79500000000002</v>
      </c>
    </row>
    <row r="52" spans="1:7">
      <c r="A52" s="40">
        <v>51</v>
      </c>
      <c r="B52" s="40" t="s">
        <v>343</v>
      </c>
      <c r="C52" s="40" t="s">
        <v>341</v>
      </c>
      <c r="D52" s="40" t="s">
        <v>208</v>
      </c>
      <c r="E52" s="40">
        <v>6</v>
      </c>
      <c r="F52" s="40">
        <v>24</v>
      </c>
      <c r="G52">
        <v>759.26900000000001</v>
      </c>
    </row>
    <row r="53" spans="1:7">
      <c r="A53" s="40">
        <v>52</v>
      </c>
      <c r="B53" s="40" t="s">
        <v>343</v>
      </c>
      <c r="C53" s="40" t="s">
        <v>341</v>
      </c>
      <c r="D53" s="40" t="s">
        <v>207</v>
      </c>
      <c r="E53" s="40">
        <v>6</v>
      </c>
      <c r="F53" s="40">
        <v>9</v>
      </c>
      <c r="G53">
        <v>200.41300000000001</v>
      </c>
    </row>
    <row r="54" spans="1:7">
      <c r="A54" s="40">
        <v>53</v>
      </c>
      <c r="B54" s="40" t="s">
        <v>343</v>
      </c>
      <c r="C54" s="40" t="s">
        <v>341</v>
      </c>
      <c r="D54" s="40" t="s">
        <v>208</v>
      </c>
      <c r="E54" s="40">
        <v>7</v>
      </c>
      <c r="F54" s="40">
        <v>15</v>
      </c>
      <c r="G54">
        <v>442.58800000000002</v>
      </c>
    </row>
    <row r="55" spans="1:7">
      <c r="A55" s="40">
        <v>54</v>
      </c>
      <c r="B55" s="40" t="s">
        <v>343</v>
      </c>
      <c r="C55" s="40" t="s">
        <v>341</v>
      </c>
      <c r="D55" s="40" t="s">
        <v>207</v>
      </c>
      <c r="E55" s="40">
        <v>7</v>
      </c>
      <c r="F55" s="40">
        <v>8</v>
      </c>
      <c r="G55">
        <v>133.67699999999999</v>
      </c>
    </row>
    <row r="56" spans="1:7">
      <c r="A56" s="40">
        <v>55</v>
      </c>
      <c r="B56" s="40" t="s">
        <v>343</v>
      </c>
      <c r="C56" s="40" t="s">
        <v>341</v>
      </c>
      <c r="D56" s="40" t="s">
        <v>208</v>
      </c>
      <c r="E56" s="40">
        <v>8</v>
      </c>
      <c r="F56" s="40">
        <v>14</v>
      </c>
      <c r="G56">
        <v>395.74099999999999</v>
      </c>
    </row>
    <row r="57" spans="1:7">
      <c r="A57" s="40">
        <v>56</v>
      </c>
      <c r="B57" s="40" t="s">
        <v>343</v>
      </c>
      <c r="C57" s="40" t="s">
        <v>341</v>
      </c>
      <c r="D57" s="40" t="s">
        <v>207</v>
      </c>
      <c r="E57" s="40">
        <v>8</v>
      </c>
      <c r="F57" s="40">
        <v>8</v>
      </c>
      <c r="G57">
        <v>343.52800000000002</v>
      </c>
    </row>
    <row r="58" spans="1:7">
      <c r="A58" s="40">
        <v>57</v>
      </c>
      <c r="B58" s="40" t="s">
        <v>343</v>
      </c>
      <c r="C58" s="40" t="s">
        <v>341</v>
      </c>
      <c r="D58" s="40" t="s">
        <v>208</v>
      </c>
      <c r="E58" s="40">
        <v>9</v>
      </c>
      <c r="F58" s="40">
        <v>15</v>
      </c>
      <c r="G58">
        <v>347.64699999999999</v>
      </c>
    </row>
    <row r="59" spans="1:7">
      <c r="A59" s="40">
        <v>58</v>
      </c>
      <c r="B59" s="40" t="s">
        <v>343</v>
      </c>
      <c r="C59" s="40" t="s">
        <v>341</v>
      </c>
      <c r="D59" s="40" t="s">
        <v>207</v>
      </c>
      <c r="E59" s="40">
        <v>9</v>
      </c>
      <c r="F59" s="40">
        <v>8</v>
      </c>
      <c r="G59">
        <v>158.06</v>
      </c>
    </row>
    <row r="60" spans="1:7">
      <c r="A60" s="40">
        <v>59</v>
      </c>
      <c r="B60" s="40" t="s">
        <v>343</v>
      </c>
      <c r="C60" s="40" t="s">
        <v>341</v>
      </c>
      <c r="D60" s="40" t="s">
        <v>208</v>
      </c>
      <c r="E60" s="40">
        <v>10</v>
      </c>
      <c r="F60" s="40">
        <v>25</v>
      </c>
      <c r="G60">
        <v>288.101</v>
      </c>
    </row>
    <row r="61" spans="1:7">
      <c r="A61" s="40">
        <v>60</v>
      </c>
      <c r="B61" s="40" t="s">
        <v>343</v>
      </c>
      <c r="C61" s="40" t="s">
        <v>341</v>
      </c>
      <c r="D61" s="40" t="s">
        <v>207</v>
      </c>
      <c r="E61" s="40">
        <v>10</v>
      </c>
      <c r="F61" s="40">
        <v>9</v>
      </c>
      <c r="G61">
        <v>168.90199999999999</v>
      </c>
    </row>
    <row r="62" spans="1:7">
      <c r="A62" s="40">
        <v>61</v>
      </c>
      <c r="B62" s="40" t="s">
        <v>344</v>
      </c>
      <c r="C62" s="40" t="s">
        <v>341</v>
      </c>
      <c r="D62" s="40" t="s">
        <v>208</v>
      </c>
      <c r="E62" s="40">
        <v>1</v>
      </c>
      <c r="F62" s="40">
        <v>13</v>
      </c>
      <c r="G62">
        <v>781.452</v>
      </c>
    </row>
    <row r="63" spans="1:7">
      <c r="A63" s="40">
        <v>62</v>
      </c>
      <c r="B63" s="40" t="s">
        <v>344</v>
      </c>
      <c r="C63" s="40" t="s">
        <v>341</v>
      </c>
      <c r="D63" s="40" t="s">
        <v>207</v>
      </c>
      <c r="E63" s="40">
        <v>1</v>
      </c>
      <c r="F63" s="40">
        <v>7</v>
      </c>
      <c r="G63">
        <v>229.61699999999999</v>
      </c>
    </row>
    <row r="64" spans="1:7">
      <c r="A64" s="40">
        <v>63</v>
      </c>
      <c r="B64" s="40" t="s">
        <v>344</v>
      </c>
      <c r="C64" s="40" t="s">
        <v>341</v>
      </c>
      <c r="D64" s="40" t="s">
        <v>208</v>
      </c>
      <c r="E64" s="40">
        <v>2</v>
      </c>
      <c r="F64" s="40">
        <v>12</v>
      </c>
      <c r="G64">
        <v>564.03499999999997</v>
      </c>
    </row>
    <row r="65" spans="1:7">
      <c r="A65" s="40">
        <v>64</v>
      </c>
      <c r="B65" s="40" t="s">
        <v>344</v>
      </c>
      <c r="C65" s="40" t="s">
        <v>341</v>
      </c>
      <c r="D65" s="40" t="s">
        <v>207</v>
      </c>
      <c r="E65" s="40">
        <v>2</v>
      </c>
      <c r="F65" s="40">
        <v>7</v>
      </c>
      <c r="G65">
        <v>169.38499999999999</v>
      </c>
    </row>
    <row r="66" spans="1:7">
      <c r="A66" s="40">
        <v>65</v>
      </c>
      <c r="B66" s="40" t="s">
        <v>344</v>
      </c>
      <c r="C66" s="40" t="s">
        <v>341</v>
      </c>
      <c r="D66" s="40" t="s">
        <v>208</v>
      </c>
      <c r="E66" s="40">
        <v>3</v>
      </c>
      <c r="F66" s="40">
        <v>12</v>
      </c>
      <c r="G66">
        <v>721.01800000000003</v>
      </c>
    </row>
    <row r="67" spans="1:7">
      <c r="A67" s="40">
        <v>66</v>
      </c>
      <c r="B67" s="40" t="s">
        <v>344</v>
      </c>
      <c r="C67" s="40" t="s">
        <v>341</v>
      </c>
      <c r="D67" s="40" t="s">
        <v>207</v>
      </c>
      <c r="E67" s="40">
        <v>3</v>
      </c>
      <c r="F67" s="40">
        <v>7</v>
      </c>
      <c r="G67">
        <v>275.90199999999999</v>
      </c>
    </row>
    <row r="68" spans="1:7">
      <c r="A68" s="40">
        <v>67</v>
      </c>
      <c r="B68" s="40" t="s">
        <v>344</v>
      </c>
      <c r="C68" s="40" t="s">
        <v>341</v>
      </c>
      <c r="D68" s="40" t="s">
        <v>208</v>
      </c>
      <c r="E68" s="40">
        <v>4</v>
      </c>
      <c r="F68" s="40">
        <v>15</v>
      </c>
      <c r="G68">
        <v>701.25300000000004</v>
      </c>
    </row>
    <row r="69" spans="1:7">
      <c r="A69" s="40">
        <v>68</v>
      </c>
      <c r="B69" s="40" t="s">
        <v>344</v>
      </c>
      <c r="C69" s="40" t="s">
        <v>341</v>
      </c>
      <c r="D69" s="40" t="s">
        <v>207</v>
      </c>
      <c r="E69" s="40">
        <v>4</v>
      </c>
      <c r="F69" s="40">
        <v>8</v>
      </c>
      <c r="G69">
        <v>378.75299999999999</v>
      </c>
    </row>
    <row r="70" spans="1:7">
      <c r="A70" s="40">
        <v>69</v>
      </c>
      <c r="B70" s="40" t="s">
        <v>344</v>
      </c>
      <c r="C70" s="40" t="s">
        <v>341</v>
      </c>
      <c r="D70" s="40" t="s">
        <v>208</v>
      </c>
      <c r="E70" s="40">
        <v>5</v>
      </c>
      <c r="F70" s="40">
        <v>14</v>
      </c>
      <c r="G70">
        <v>459.577</v>
      </c>
    </row>
    <row r="71" spans="1:7">
      <c r="A71" s="40">
        <v>70</v>
      </c>
      <c r="B71" s="40" t="s">
        <v>344</v>
      </c>
      <c r="C71" s="40" t="s">
        <v>341</v>
      </c>
      <c r="D71" s="40" t="s">
        <v>207</v>
      </c>
      <c r="E71" s="40">
        <v>5</v>
      </c>
      <c r="F71" s="40">
        <v>7</v>
      </c>
      <c r="G71">
        <v>278.86599999999999</v>
      </c>
    </row>
    <row r="72" spans="1:7">
      <c r="A72" s="40">
        <v>71</v>
      </c>
      <c r="B72" s="40" t="s">
        <v>344</v>
      </c>
      <c r="C72" s="40" t="s">
        <v>341</v>
      </c>
      <c r="D72" s="40" t="s">
        <v>208</v>
      </c>
      <c r="E72" s="40">
        <v>6</v>
      </c>
      <c r="F72" s="40">
        <v>17</v>
      </c>
      <c r="G72">
        <v>435.459</v>
      </c>
    </row>
    <row r="73" spans="1:7">
      <c r="A73" s="40">
        <v>72</v>
      </c>
      <c r="B73" s="40" t="s">
        <v>344</v>
      </c>
      <c r="C73" s="40" t="s">
        <v>341</v>
      </c>
      <c r="D73" s="40" t="s">
        <v>207</v>
      </c>
      <c r="E73" s="40">
        <v>6</v>
      </c>
      <c r="F73" s="40">
        <v>8</v>
      </c>
      <c r="G73">
        <v>236.512</v>
      </c>
    </row>
    <row r="74" spans="1:7">
      <c r="A74" s="40">
        <v>73</v>
      </c>
      <c r="B74" s="40" t="s">
        <v>344</v>
      </c>
      <c r="C74" s="40" t="s">
        <v>341</v>
      </c>
      <c r="D74" s="40" t="s">
        <v>208</v>
      </c>
      <c r="E74" s="40">
        <v>7</v>
      </c>
      <c r="F74" s="40">
        <v>13</v>
      </c>
      <c r="G74">
        <v>662.73599999999999</v>
      </c>
    </row>
    <row r="75" spans="1:7">
      <c r="A75" s="40">
        <v>74</v>
      </c>
      <c r="B75" s="40" t="s">
        <v>344</v>
      </c>
      <c r="C75" s="40" t="s">
        <v>341</v>
      </c>
      <c r="D75" s="40" t="s">
        <v>207</v>
      </c>
      <c r="E75" s="40">
        <v>7</v>
      </c>
      <c r="F75" s="40">
        <v>7</v>
      </c>
      <c r="G75">
        <v>195.29599999999999</v>
      </c>
    </row>
    <row r="76" spans="1:7">
      <c r="A76" s="40">
        <v>75</v>
      </c>
      <c r="B76" s="40" t="s">
        <v>344</v>
      </c>
      <c r="C76" s="40" t="s">
        <v>341</v>
      </c>
      <c r="D76" s="40" t="s">
        <v>208</v>
      </c>
      <c r="E76" s="40">
        <v>8</v>
      </c>
      <c r="F76" s="40">
        <v>14</v>
      </c>
      <c r="G76">
        <v>950.94600000000003</v>
      </c>
    </row>
    <row r="77" spans="1:7">
      <c r="A77" s="40">
        <v>76</v>
      </c>
      <c r="B77" s="40" t="s">
        <v>344</v>
      </c>
      <c r="C77" s="40" t="s">
        <v>341</v>
      </c>
      <c r="D77" s="40" t="s">
        <v>207</v>
      </c>
      <c r="E77" s="40">
        <v>8</v>
      </c>
      <c r="F77" s="40">
        <v>7</v>
      </c>
      <c r="G77">
        <v>259.31900000000002</v>
      </c>
    </row>
    <row r="78" spans="1:7">
      <c r="A78" s="40">
        <v>77</v>
      </c>
      <c r="B78" s="40" t="s">
        <v>344</v>
      </c>
      <c r="C78" s="40" t="s">
        <v>341</v>
      </c>
      <c r="D78" s="40" t="s">
        <v>208</v>
      </c>
      <c r="E78" s="40">
        <v>9</v>
      </c>
      <c r="F78" s="40">
        <v>14</v>
      </c>
      <c r="G78">
        <v>558.60599999999999</v>
      </c>
    </row>
    <row r="79" spans="1:7">
      <c r="A79" s="40">
        <v>78</v>
      </c>
      <c r="B79" s="40" t="s">
        <v>344</v>
      </c>
      <c r="C79" s="40" t="s">
        <v>341</v>
      </c>
      <c r="D79" s="40" t="s">
        <v>207</v>
      </c>
      <c r="E79" s="40">
        <v>9</v>
      </c>
      <c r="F79" s="40">
        <v>7</v>
      </c>
      <c r="G79">
        <v>236.48099999999999</v>
      </c>
    </row>
    <row r="80" spans="1:7">
      <c r="A80" s="40">
        <v>79</v>
      </c>
      <c r="B80" s="40" t="s">
        <v>344</v>
      </c>
      <c r="C80" s="40" t="s">
        <v>341</v>
      </c>
      <c r="D80" s="40" t="s">
        <v>208</v>
      </c>
      <c r="E80" s="40">
        <v>10</v>
      </c>
      <c r="F80" s="40">
        <v>16</v>
      </c>
      <c r="G80">
        <v>955.73599999999999</v>
      </c>
    </row>
    <row r="81" spans="1:7">
      <c r="A81" s="40">
        <v>80</v>
      </c>
      <c r="B81" s="40" t="s">
        <v>344</v>
      </c>
      <c r="C81" s="40" t="s">
        <v>341</v>
      </c>
      <c r="D81" s="40" t="s">
        <v>207</v>
      </c>
      <c r="E81" s="40">
        <v>10</v>
      </c>
      <c r="F81" s="40">
        <v>8</v>
      </c>
      <c r="G81">
        <v>345.74299999999999</v>
      </c>
    </row>
    <row r="82" spans="1:7">
      <c r="A82" s="40">
        <v>81</v>
      </c>
      <c r="B82" s="40" t="s">
        <v>340</v>
      </c>
      <c r="C82" s="40" t="s">
        <v>345</v>
      </c>
      <c r="D82" s="40" t="s">
        <v>208</v>
      </c>
      <c r="E82" s="40">
        <v>1</v>
      </c>
      <c r="F82" s="40">
        <v>18</v>
      </c>
      <c r="G82">
        <v>124.72199999999999</v>
      </c>
    </row>
    <row r="83" spans="1:7">
      <c r="A83" s="40">
        <v>82</v>
      </c>
      <c r="B83" s="40" t="s">
        <v>340</v>
      </c>
      <c r="C83" s="40" t="s">
        <v>345</v>
      </c>
      <c r="D83" s="40" t="s">
        <v>207</v>
      </c>
      <c r="E83" s="40">
        <v>1</v>
      </c>
      <c r="F83" s="40">
        <v>9</v>
      </c>
      <c r="G83">
        <v>30.545000000000002</v>
      </c>
    </row>
    <row r="84" spans="1:7">
      <c r="A84" s="40">
        <v>83</v>
      </c>
      <c r="B84" s="40" t="s">
        <v>340</v>
      </c>
      <c r="C84" s="40" t="s">
        <v>345</v>
      </c>
      <c r="D84" s="40" t="s">
        <v>208</v>
      </c>
      <c r="E84" s="40">
        <v>2</v>
      </c>
      <c r="F84" s="40">
        <v>18</v>
      </c>
      <c r="G84">
        <v>89.653999999999996</v>
      </c>
    </row>
    <row r="85" spans="1:7">
      <c r="A85" s="40">
        <v>84</v>
      </c>
      <c r="B85" s="40" t="s">
        <v>340</v>
      </c>
      <c r="C85" s="40" t="s">
        <v>345</v>
      </c>
      <c r="D85" s="40" t="s">
        <v>207</v>
      </c>
      <c r="E85" s="40">
        <v>2</v>
      </c>
      <c r="F85" s="40">
        <v>9</v>
      </c>
      <c r="G85">
        <v>73.475999999999999</v>
      </c>
    </row>
    <row r="86" spans="1:7">
      <c r="A86" s="40">
        <v>85</v>
      </c>
      <c r="B86" s="40" t="s">
        <v>340</v>
      </c>
      <c r="C86" s="40" t="s">
        <v>345</v>
      </c>
      <c r="D86" s="40" t="s">
        <v>208</v>
      </c>
      <c r="E86" s="40">
        <v>3</v>
      </c>
      <c r="F86" s="40">
        <v>17</v>
      </c>
      <c r="G86">
        <v>110.869</v>
      </c>
    </row>
    <row r="87" spans="1:7">
      <c r="A87" s="40">
        <v>86</v>
      </c>
      <c r="B87" s="40" t="s">
        <v>340</v>
      </c>
      <c r="C87" s="40" t="s">
        <v>345</v>
      </c>
      <c r="D87" s="40" t="s">
        <v>207</v>
      </c>
      <c r="E87" s="40">
        <v>3</v>
      </c>
      <c r="F87" s="40">
        <v>9</v>
      </c>
      <c r="G87">
        <v>24.742000000000001</v>
      </c>
    </row>
    <row r="88" spans="1:7">
      <c r="A88" s="40">
        <v>87</v>
      </c>
      <c r="B88" s="40" t="s">
        <v>340</v>
      </c>
      <c r="C88" s="40" t="s">
        <v>345</v>
      </c>
      <c r="D88" s="40" t="s">
        <v>208</v>
      </c>
      <c r="E88" s="40">
        <v>4</v>
      </c>
      <c r="F88" s="40">
        <v>16</v>
      </c>
      <c r="G88">
        <v>95.394000000000005</v>
      </c>
    </row>
    <row r="89" spans="1:7">
      <c r="A89" s="40">
        <v>88</v>
      </c>
      <c r="B89" s="40" t="s">
        <v>340</v>
      </c>
      <c r="C89" s="40" t="s">
        <v>345</v>
      </c>
      <c r="D89" s="40" t="s">
        <v>207</v>
      </c>
      <c r="E89" s="40">
        <v>4</v>
      </c>
      <c r="F89" s="40">
        <v>8</v>
      </c>
      <c r="G89">
        <v>11.185</v>
      </c>
    </row>
    <row r="90" spans="1:7">
      <c r="A90" s="40">
        <v>89</v>
      </c>
      <c r="B90" s="40" t="s">
        <v>340</v>
      </c>
      <c r="C90" s="40" t="s">
        <v>345</v>
      </c>
      <c r="D90" s="40" t="s">
        <v>208</v>
      </c>
      <c r="E90" s="40">
        <v>5</v>
      </c>
      <c r="F90" s="40">
        <v>17</v>
      </c>
      <c r="G90">
        <v>94.77</v>
      </c>
    </row>
    <row r="91" spans="1:7">
      <c r="A91" s="40">
        <v>90</v>
      </c>
      <c r="B91" s="40" t="s">
        <v>340</v>
      </c>
      <c r="C91" s="40" t="s">
        <v>345</v>
      </c>
      <c r="D91" s="40" t="s">
        <v>207</v>
      </c>
      <c r="E91" s="40">
        <v>5</v>
      </c>
      <c r="F91" s="40">
        <v>9</v>
      </c>
      <c r="G91">
        <v>27.378</v>
      </c>
    </row>
    <row r="92" spans="1:7">
      <c r="A92" s="40">
        <v>91</v>
      </c>
      <c r="B92" s="40" t="s">
        <v>340</v>
      </c>
      <c r="C92" s="40" t="s">
        <v>345</v>
      </c>
      <c r="D92" s="40" t="s">
        <v>208</v>
      </c>
      <c r="E92" s="40">
        <v>6</v>
      </c>
      <c r="F92" s="40">
        <v>21</v>
      </c>
      <c r="G92">
        <v>215.54599999999999</v>
      </c>
    </row>
    <row r="93" spans="1:7">
      <c r="A93" s="40">
        <v>92</v>
      </c>
      <c r="B93" s="40" t="s">
        <v>340</v>
      </c>
      <c r="C93" s="40" t="s">
        <v>345</v>
      </c>
      <c r="D93" s="40" t="s">
        <v>207</v>
      </c>
      <c r="E93" s="40">
        <v>6</v>
      </c>
      <c r="F93" s="40">
        <v>9</v>
      </c>
      <c r="G93">
        <v>26.738</v>
      </c>
    </row>
    <row r="94" spans="1:7">
      <c r="A94" s="40">
        <v>93</v>
      </c>
      <c r="B94" s="40" t="s">
        <v>340</v>
      </c>
      <c r="C94" s="40" t="s">
        <v>345</v>
      </c>
      <c r="D94" s="40" t="s">
        <v>208</v>
      </c>
      <c r="E94" s="40">
        <v>7</v>
      </c>
      <c r="F94" s="40">
        <v>16</v>
      </c>
      <c r="G94">
        <v>113.069</v>
      </c>
    </row>
    <row r="95" spans="1:7">
      <c r="A95" s="40">
        <v>94</v>
      </c>
      <c r="B95" s="40" t="s">
        <v>340</v>
      </c>
      <c r="C95" s="40" t="s">
        <v>345</v>
      </c>
      <c r="D95" s="40" t="s">
        <v>207</v>
      </c>
      <c r="E95" s="40">
        <v>7</v>
      </c>
      <c r="F95" s="40">
        <v>8</v>
      </c>
      <c r="G95">
        <v>14.087</v>
      </c>
    </row>
    <row r="96" spans="1:7">
      <c r="A96" s="40">
        <v>95</v>
      </c>
      <c r="B96" s="40" t="s">
        <v>340</v>
      </c>
      <c r="C96" s="40" t="s">
        <v>345</v>
      </c>
      <c r="D96" s="40" t="s">
        <v>208</v>
      </c>
      <c r="E96" s="40">
        <v>8</v>
      </c>
      <c r="F96" s="40">
        <v>19</v>
      </c>
      <c r="G96">
        <v>93.007999999999996</v>
      </c>
    </row>
    <row r="97" spans="1:7">
      <c r="A97" s="40">
        <v>96</v>
      </c>
      <c r="B97" s="40" t="s">
        <v>340</v>
      </c>
      <c r="C97" s="40" t="s">
        <v>345</v>
      </c>
      <c r="D97" s="40" t="s">
        <v>207</v>
      </c>
      <c r="E97" s="40">
        <v>8</v>
      </c>
      <c r="F97" s="40">
        <v>9</v>
      </c>
      <c r="G97">
        <v>30.779</v>
      </c>
    </row>
    <row r="98" spans="1:7">
      <c r="A98" s="40">
        <v>97</v>
      </c>
      <c r="B98" s="40" t="s">
        <v>340</v>
      </c>
      <c r="C98" s="40" t="s">
        <v>345</v>
      </c>
      <c r="D98" s="40" t="s">
        <v>208</v>
      </c>
      <c r="E98" s="40">
        <v>9</v>
      </c>
      <c r="F98" s="40">
        <v>17</v>
      </c>
      <c r="G98">
        <v>93.272999999999996</v>
      </c>
    </row>
    <row r="99" spans="1:7">
      <c r="A99" s="40">
        <v>98</v>
      </c>
      <c r="B99" s="40" t="s">
        <v>340</v>
      </c>
      <c r="C99" s="40" t="s">
        <v>345</v>
      </c>
      <c r="D99" s="40" t="s">
        <v>207</v>
      </c>
      <c r="E99" s="40">
        <v>9</v>
      </c>
      <c r="F99" s="40">
        <v>9</v>
      </c>
      <c r="G99">
        <v>29.625</v>
      </c>
    </row>
    <row r="100" spans="1:7">
      <c r="A100" s="40">
        <v>99</v>
      </c>
      <c r="B100" s="40" t="s">
        <v>340</v>
      </c>
      <c r="C100" s="40" t="s">
        <v>345</v>
      </c>
      <c r="D100" s="40" t="s">
        <v>208</v>
      </c>
      <c r="E100" s="40">
        <v>10</v>
      </c>
      <c r="F100" s="40">
        <v>18</v>
      </c>
      <c r="G100">
        <v>88.233999999999995</v>
      </c>
    </row>
    <row r="101" spans="1:7">
      <c r="A101" s="40">
        <v>100</v>
      </c>
      <c r="B101" s="40" t="s">
        <v>340</v>
      </c>
      <c r="C101" s="40" t="s">
        <v>345</v>
      </c>
      <c r="D101" s="40" t="s">
        <v>207</v>
      </c>
      <c r="E101" s="40">
        <v>10</v>
      </c>
      <c r="F101" s="40">
        <v>9</v>
      </c>
      <c r="G101">
        <v>25.225000000000001</v>
      </c>
    </row>
    <row r="102" spans="1:7">
      <c r="A102" s="40">
        <v>101</v>
      </c>
      <c r="B102" s="40" t="s">
        <v>342</v>
      </c>
      <c r="C102" s="40" t="s">
        <v>345</v>
      </c>
      <c r="D102" s="40" t="s">
        <v>208</v>
      </c>
      <c r="E102" s="40">
        <v>1</v>
      </c>
      <c r="F102" s="40">
        <v>7</v>
      </c>
      <c r="G102">
        <v>78.763999999999996</v>
      </c>
    </row>
    <row r="103" spans="1:7">
      <c r="A103" s="40">
        <v>102</v>
      </c>
      <c r="B103" s="40" t="s">
        <v>342</v>
      </c>
      <c r="C103" s="40" t="s">
        <v>345</v>
      </c>
      <c r="D103" s="40" t="s">
        <v>207</v>
      </c>
      <c r="E103" s="40">
        <v>1</v>
      </c>
      <c r="F103" s="40">
        <v>5</v>
      </c>
      <c r="G103">
        <v>9.875</v>
      </c>
    </row>
    <row r="104" spans="1:7">
      <c r="A104" s="40">
        <v>103</v>
      </c>
      <c r="B104" s="40" t="s">
        <v>342</v>
      </c>
      <c r="C104" s="40" t="s">
        <v>345</v>
      </c>
      <c r="D104" s="40" t="s">
        <v>208</v>
      </c>
      <c r="E104" s="40">
        <v>2</v>
      </c>
      <c r="F104" s="40">
        <v>7</v>
      </c>
      <c r="G104">
        <v>65.971999999999994</v>
      </c>
    </row>
    <row r="105" spans="1:7">
      <c r="A105" s="40">
        <v>104</v>
      </c>
      <c r="B105" s="40" t="s">
        <v>342</v>
      </c>
      <c r="C105" s="40" t="s">
        <v>345</v>
      </c>
      <c r="D105" s="40" t="s">
        <v>207</v>
      </c>
      <c r="E105" s="40">
        <v>2</v>
      </c>
      <c r="F105" s="40">
        <v>5</v>
      </c>
      <c r="G105">
        <v>9.11</v>
      </c>
    </row>
    <row r="106" spans="1:7">
      <c r="A106" s="40">
        <v>105</v>
      </c>
      <c r="B106" s="40" t="s">
        <v>342</v>
      </c>
      <c r="C106" s="40" t="s">
        <v>345</v>
      </c>
      <c r="D106" s="40" t="s">
        <v>208</v>
      </c>
      <c r="E106" s="40">
        <v>3</v>
      </c>
      <c r="F106" s="40">
        <v>7</v>
      </c>
      <c r="G106">
        <v>129.04300000000001</v>
      </c>
    </row>
    <row r="107" spans="1:7">
      <c r="A107" s="40">
        <v>106</v>
      </c>
      <c r="B107" s="40" t="s">
        <v>342</v>
      </c>
      <c r="C107" s="40" t="s">
        <v>345</v>
      </c>
      <c r="D107" s="40" t="s">
        <v>207</v>
      </c>
      <c r="E107" s="40">
        <v>3</v>
      </c>
      <c r="F107" s="40">
        <v>5</v>
      </c>
      <c r="G107">
        <v>8.9550000000000001</v>
      </c>
    </row>
    <row r="108" spans="1:7">
      <c r="A108" s="40">
        <v>107</v>
      </c>
      <c r="B108" s="40" t="s">
        <v>342</v>
      </c>
      <c r="C108" s="40" t="s">
        <v>345</v>
      </c>
      <c r="D108" s="40" t="s">
        <v>208</v>
      </c>
      <c r="E108" s="40">
        <v>4</v>
      </c>
      <c r="F108" s="40">
        <v>7</v>
      </c>
      <c r="G108">
        <v>94.256</v>
      </c>
    </row>
    <row r="109" spans="1:7">
      <c r="A109" s="40">
        <v>108</v>
      </c>
      <c r="B109" s="40" t="s">
        <v>342</v>
      </c>
      <c r="C109" s="40" t="s">
        <v>345</v>
      </c>
      <c r="D109" s="40" t="s">
        <v>207</v>
      </c>
      <c r="E109" s="40">
        <v>4</v>
      </c>
      <c r="F109" s="40">
        <v>5</v>
      </c>
      <c r="G109">
        <v>8.9540000000000006</v>
      </c>
    </row>
    <row r="110" spans="1:7">
      <c r="A110" s="40">
        <v>109</v>
      </c>
      <c r="B110" s="40" t="s">
        <v>342</v>
      </c>
      <c r="C110" s="40" t="s">
        <v>345</v>
      </c>
      <c r="D110" s="40" t="s">
        <v>208</v>
      </c>
      <c r="E110" s="40">
        <v>5</v>
      </c>
      <c r="F110" s="40">
        <v>7</v>
      </c>
      <c r="G110">
        <v>76.236999999999995</v>
      </c>
    </row>
    <row r="111" spans="1:7">
      <c r="A111" s="40">
        <v>110</v>
      </c>
      <c r="B111" s="40" t="s">
        <v>342</v>
      </c>
      <c r="C111" s="40" t="s">
        <v>345</v>
      </c>
      <c r="D111" s="40" t="s">
        <v>207</v>
      </c>
      <c r="E111" s="40">
        <v>5</v>
      </c>
      <c r="F111" s="40">
        <v>5</v>
      </c>
      <c r="G111">
        <v>8.4090000000000007</v>
      </c>
    </row>
    <row r="112" spans="1:7">
      <c r="A112" s="40">
        <v>111</v>
      </c>
      <c r="B112" s="40" t="s">
        <v>342</v>
      </c>
      <c r="C112" s="40" t="s">
        <v>345</v>
      </c>
      <c r="D112" s="40" t="s">
        <v>208</v>
      </c>
      <c r="E112" s="40">
        <v>6</v>
      </c>
      <c r="F112" s="40">
        <v>7</v>
      </c>
      <c r="G112">
        <v>87.516000000000005</v>
      </c>
    </row>
    <row r="113" spans="1:7">
      <c r="A113" s="40">
        <v>112</v>
      </c>
      <c r="B113" s="40" t="s">
        <v>342</v>
      </c>
      <c r="C113" s="40" t="s">
        <v>345</v>
      </c>
      <c r="D113" s="40" t="s">
        <v>207</v>
      </c>
      <c r="E113" s="40">
        <v>6</v>
      </c>
      <c r="F113" s="40">
        <v>5</v>
      </c>
      <c r="G113">
        <v>9.391</v>
      </c>
    </row>
    <row r="114" spans="1:7">
      <c r="A114" s="40">
        <v>113</v>
      </c>
      <c r="B114" s="40" t="s">
        <v>342</v>
      </c>
      <c r="C114" s="40" t="s">
        <v>345</v>
      </c>
      <c r="D114" s="40" t="s">
        <v>208</v>
      </c>
      <c r="E114" s="40">
        <v>7</v>
      </c>
      <c r="F114" s="40">
        <v>7</v>
      </c>
      <c r="G114">
        <v>61.838999999999999</v>
      </c>
    </row>
    <row r="115" spans="1:7">
      <c r="A115" s="40">
        <v>114</v>
      </c>
      <c r="B115" s="40" t="s">
        <v>342</v>
      </c>
      <c r="C115" s="40" t="s">
        <v>345</v>
      </c>
      <c r="D115" s="40" t="s">
        <v>207</v>
      </c>
      <c r="E115" s="40">
        <v>7</v>
      </c>
      <c r="F115" s="40">
        <v>5</v>
      </c>
      <c r="G115">
        <v>10.061999999999999</v>
      </c>
    </row>
    <row r="116" spans="1:7">
      <c r="A116" s="40">
        <v>115</v>
      </c>
      <c r="B116" s="40" t="s">
        <v>342</v>
      </c>
      <c r="C116" s="40" t="s">
        <v>345</v>
      </c>
      <c r="D116" s="40" t="s">
        <v>208</v>
      </c>
      <c r="E116" s="40">
        <v>8</v>
      </c>
      <c r="F116" s="40">
        <v>7</v>
      </c>
      <c r="G116">
        <v>101.369</v>
      </c>
    </row>
    <row r="117" spans="1:7">
      <c r="A117" s="40">
        <v>116</v>
      </c>
      <c r="B117" s="40" t="s">
        <v>342</v>
      </c>
      <c r="C117" s="40" t="s">
        <v>345</v>
      </c>
      <c r="D117" s="40" t="s">
        <v>207</v>
      </c>
      <c r="E117" s="40">
        <v>8</v>
      </c>
      <c r="F117" s="40">
        <v>5</v>
      </c>
      <c r="G117">
        <v>8.7210000000000001</v>
      </c>
    </row>
    <row r="118" spans="1:7">
      <c r="A118" s="40">
        <v>117</v>
      </c>
      <c r="B118" s="40" t="s">
        <v>342</v>
      </c>
      <c r="C118" s="40" t="s">
        <v>345</v>
      </c>
      <c r="D118" s="40" t="s">
        <v>208</v>
      </c>
      <c r="E118" s="40">
        <v>9</v>
      </c>
      <c r="F118" s="40">
        <v>7</v>
      </c>
      <c r="G118">
        <v>58.125999999999998</v>
      </c>
    </row>
    <row r="119" spans="1:7">
      <c r="A119" s="40">
        <v>118</v>
      </c>
      <c r="B119" s="40" t="s">
        <v>342</v>
      </c>
      <c r="C119" s="40" t="s">
        <v>345</v>
      </c>
      <c r="D119" s="40" t="s">
        <v>207</v>
      </c>
      <c r="E119" s="40">
        <v>9</v>
      </c>
      <c r="F119" s="40">
        <v>5</v>
      </c>
      <c r="G119">
        <v>9.048</v>
      </c>
    </row>
    <row r="120" spans="1:7">
      <c r="A120" s="40">
        <v>119</v>
      </c>
      <c r="B120" s="40" t="s">
        <v>342</v>
      </c>
      <c r="C120" s="40" t="s">
        <v>345</v>
      </c>
      <c r="D120" s="40" t="s">
        <v>208</v>
      </c>
      <c r="E120" s="40">
        <v>10</v>
      </c>
      <c r="F120" s="40">
        <v>7</v>
      </c>
      <c r="G120">
        <v>98.14</v>
      </c>
    </row>
    <row r="121" spans="1:7">
      <c r="A121" s="40">
        <v>120</v>
      </c>
      <c r="B121" s="40" t="s">
        <v>342</v>
      </c>
      <c r="C121" s="40" t="s">
        <v>345</v>
      </c>
      <c r="D121" s="40" t="s">
        <v>207</v>
      </c>
      <c r="E121" s="40">
        <v>10</v>
      </c>
      <c r="F121" s="40">
        <v>5</v>
      </c>
      <c r="G121">
        <v>9.1880000000000006</v>
      </c>
    </row>
    <row r="122" spans="1:7">
      <c r="A122" s="40">
        <v>121</v>
      </c>
      <c r="B122" s="40" t="s">
        <v>343</v>
      </c>
      <c r="C122" s="40" t="s">
        <v>345</v>
      </c>
      <c r="D122" s="40" t="s">
        <v>208</v>
      </c>
      <c r="E122" s="40">
        <v>1</v>
      </c>
      <c r="F122" s="40">
        <v>8</v>
      </c>
      <c r="G122">
        <v>47.314999999999998</v>
      </c>
    </row>
    <row r="123" spans="1:7">
      <c r="A123" s="40">
        <v>122</v>
      </c>
      <c r="B123" s="40" t="s">
        <v>343</v>
      </c>
      <c r="C123" s="40" t="s">
        <v>345</v>
      </c>
      <c r="D123" s="40" t="s">
        <v>207</v>
      </c>
      <c r="E123" s="40">
        <v>1</v>
      </c>
      <c r="F123" s="40">
        <v>6</v>
      </c>
      <c r="G123">
        <v>12.417999999999999</v>
      </c>
    </row>
    <row r="124" spans="1:7">
      <c r="A124" s="40">
        <v>123</v>
      </c>
      <c r="B124" s="40" t="s">
        <v>343</v>
      </c>
      <c r="C124" s="40" t="s">
        <v>345</v>
      </c>
      <c r="D124" s="40" t="s">
        <v>208</v>
      </c>
      <c r="E124" s="40">
        <v>2</v>
      </c>
      <c r="F124" s="40">
        <v>8</v>
      </c>
      <c r="G124">
        <v>55.348999999999997</v>
      </c>
    </row>
    <row r="125" spans="1:7">
      <c r="A125" s="40">
        <v>124</v>
      </c>
      <c r="B125" s="40" t="s">
        <v>343</v>
      </c>
      <c r="C125" s="40" t="s">
        <v>345</v>
      </c>
      <c r="D125" s="40" t="s">
        <v>207</v>
      </c>
      <c r="E125" s="40">
        <v>2</v>
      </c>
      <c r="F125" s="40">
        <v>6</v>
      </c>
      <c r="G125">
        <v>11.388</v>
      </c>
    </row>
    <row r="126" spans="1:7">
      <c r="A126" s="40">
        <v>125</v>
      </c>
      <c r="B126" s="40" t="s">
        <v>343</v>
      </c>
      <c r="C126" s="40" t="s">
        <v>345</v>
      </c>
      <c r="D126" s="40" t="s">
        <v>208</v>
      </c>
      <c r="E126" s="40">
        <v>3</v>
      </c>
      <c r="F126" s="40">
        <v>8</v>
      </c>
      <c r="G126">
        <v>49.232999999999997</v>
      </c>
    </row>
    <row r="127" spans="1:7">
      <c r="A127" s="40">
        <v>126</v>
      </c>
      <c r="B127" s="40" t="s">
        <v>343</v>
      </c>
      <c r="C127" s="40" t="s">
        <v>345</v>
      </c>
      <c r="D127" s="40" t="s">
        <v>207</v>
      </c>
      <c r="E127" s="40">
        <v>3</v>
      </c>
      <c r="F127" s="40">
        <v>6</v>
      </c>
      <c r="G127">
        <v>13.307</v>
      </c>
    </row>
    <row r="128" spans="1:7">
      <c r="A128" s="40">
        <v>127</v>
      </c>
      <c r="B128" s="40" t="s">
        <v>343</v>
      </c>
      <c r="C128" s="40" t="s">
        <v>345</v>
      </c>
      <c r="D128" s="40" t="s">
        <v>208</v>
      </c>
      <c r="E128" s="40">
        <v>4</v>
      </c>
      <c r="F128" s="40">
        <v>8</v>
      </c>
      <c r="G128">
        <v>60.372</v>
      </c>
    </row>
    <row r="129" spans="1:7">
      <c r="A129" s="40">
        <v>128</v>
      </c>
      <c r="B129" s="40" t="s">
        <v>343</v>
      </c>
      <c r="C129" s="40" t="s">
        <v>345</v>
      </c>
      <c r="D129" s="40" t="s">
        <v>207</v>
      </c>
      <c r="E129" s="40">
        <v>4</v>
      </c>
      <c r="F129" s="40">
        <v>6</v>
      </c>
      <c r="G129">
        <v>12.808</v>
      </c>
    </row>
    <row r="130" spans="1:7">
      <c r="A130" s="40">
        <v>129</v>
      </c>
      <c r="B130" s="40" t="s">
        <v>343</v>
      </c>
      <c r="C130" s="40" t="s">
        <v>345</v>
      </c>
      <c r="D130" s="40" t="s">
        <v>208</v>
      </c>
      <c r="E130" s="40">
        <v>5</v>
      </c>
      <c r="F130" s="40">
        <v>8</v>
      </c>
      <c r="G130">
        <v>78.326999999999998</v>
      </c>
    </row>
    <row r="131" spans="1:7">
      <c r="A131" s="40">
        <v>130</v>
      </c>
      <c r="B131" s="40" t="s">
        <v>343</v>
      </c>
      <c r="C131" s="40" t="s">
        <v>345</v>
      </c>
      <c r="D131" s="40" t="s">
        <v>207</v>
      </c>
      <c r="E131" s="40">
        <v>5</v>
      </c>
      <c r="F131" s="40">
        <v>6</v>
      </c>
      <c r="G131">
        <v>11.856</v>
      </c>
    </row>
    <row r="132" spans="1:7">
      <c r="A132" s="40">
        <v>131</v>
      </c>
      <c r="B132" s="40" t="s">
        <v>343</v>
      </c>
      <c r="C132" s="40" t="s">
        <v>345</v>
      </c>
      <c r="D132" s="40" t="s">
        <v>208</v>
      </c>
      <c r="E132" s="40">
        <v>6</v>
      </c>
      <c r="F132" s="40">
        <v>8</v>
      </c>
      <c r="G132">
        <v>74.896000000000001</v>
      </c>
    </row>
    <row r="133" spans="1:7">
      <c r="A133" s="40">
        <v>132</v>
      </c>
      <c r="B133" s="40" t="s">
        <v>343</v>
      </c>
      <c r="C133" s="40" t="s">
        <v>345</v>
      </c>
      <c r="D133" s="40" t="s">
        <v>207</v>
      </c>
      <c r="E133" s="40">
        <v>6</v>
      </c>
      <c r="F133" s="40">
        <v>6</v>
      </c>
      <c r="G133">
        <v>10.997999999999999</v>
      </c>
    </row>
    <row r="134" spans="1:7">
      <c r="A134" s="40">
        <v>133</v>
      </c>
      <c r="B134" s="40" t="s">
        <v>343</v>
      </c>
      <c r="C134" s="40" t="s">
        <v>345</v>
      </c>
      <c r="D134" s="40" t="s">
        <v>208</v>
      </c>
      <c r="E134" s="40">
        <v>7</v>
      </c>
      <c r="F134" s="40">
        <v>8</v>
      </c>
      <c r="G134">
        <v>56.69</v>
      </c>
    </row>
    <row r="135" spans="1:7">
      <c r="A135" s="40">
        <v>134</v>
      </c>
      <c r="B135" s="40" t="s">
        <v>343</v>
      </c>
      <c r="C135" s="40" t="s">
        <v>345</v>
      </c>
      <c r="D135" s="40" t="s">
        <v>207</v>
      </c>
      <c r="E135" s="40">
        <v>7</v>
      </c>
      <c r="F135" s="40">
        <v>6</v>
      </c>
      <c r="G135">
        <v>12.276999999999999</v>
      </c>
    </row>
    <row r="136" spans="1:7">
      <c r="A136" s="40">
        <v>135</v>
      </c>
      <c r="B136" s="40" t="s">
        <v>343</v>
      </c>
      <c r="C136" s="40" t="s">
        <v>345</v>
      </c>
      <c r="D136" s="40" t="s">
        <v>208</v>
      </c>
      <c r="E136" s="40">
        <v>8</v>
      </c>
      <c r="F136" s="40">
        <v>8</v>
      </c>
      <c r="G136">
        <v>81.822000000000003</v>
      </c>
    </row>
    <row r="137" spans="1:7">
      <c r="A137" s="40">
        <v>136</v>
      </c>
      <c r="B137" s="40" t="s">
        <v>343</v>
      </c>
      <c r="C137" s="40" t="s">
        <v>345</v>
      </c>
      <c r="D137" s="40" t="s">
        <v>207</v>
      </c>
      <c r="E137" s="40">
        <v>8</v>
      </c>
      <c r="F137" s="40">
        <v>6</v>
      </c>
      <c r="G137">
        <v>10.359</v>
      </c>
    </row>
    <row r="138" spans="1:7">
      <c r="A138" s="40">
        <v>137</v>
      </c>
      <c r="B138" s="40" t="s">
        <v>343</v>
      </c>
      <c r="C138" s="40" t="s">
        <v>345</v>
      </c>
      <c r="D138" s="40" t="s">
        <v>208</v>
      </c>
      <c r="E138" s="40">
        <v>9</v>
      </c>
      <c r="F138" s="40">
        <v>8</v>
      </c>
      <c r="G138">
        <v>84.927000000000007</v>
      </c>
    </row>
    <row r="139" spans="1:7">
      <c r="A139" s="40">
        <v>138</v>
      </c>
      <c r="B139" s="40" t="s">
        <v>343</v>
      </c>
      <c r="C139" s="40" t="s">
        <v>345</v>
      </c>
      <c r="D139" s="40" t="s">
        <v>207</v>
      </c>
      <c r="E139" s="40">
        <v>9</v>
      </c>
      <c r="F139" s="40">
        <v>6</v>
      </c>
      <c r="G139">
        <v>11.215999999999999</v>
      </c>
    </row>
    <row r="140" spans="1:7">
      <c r="A140" s="40">
        <v>139</v>
      </c>
      <c r="B140" s="40" t="s">
        <v>343</v>
      </c>
      <c r="C140" s="40" t="s">
        <v>345</v>
      </c>
      <c r="D140" s="40" t="s">
        <v>208</v>
      </c>
      <c r="E140" s="40">
        <v>10</v>
      </c>
      <c r="F140" s="40">
        <v>8</v>
      </c>
      <c r="G140">
        <v>49.280999999999999</v>
      </c>
    </row>
    <row r="141" spans="1:7">
      <c r="A141" s="40">
        <v>140</v>
      </c>
      <c r="B141" s="40" t="s">
        <v>343</v>
      </c>
      <c r="C141" s="40" t="s">
        <v>345</v>
      </c>
      <c r="D141" s="40" t="s">
        <v>207</v>
      </c>
      <c r="E141" s="40">
        <v>10</v>
      </c>
      <c r="F141" s="40">
        <v>6</v>
      </c>
      <c r="G141">
        <v>9.875</v>
      </c>
    </row>
    <row r="142" spans="1:7">
      <c r="A142" s="40">
        <v>141</v>
      </c>
      <c r="B142" s="40" t="s">
        <v>344</v>
      </c>
      <c r="C142" s="40" t="s">
        <v>345</v>
      </c>
      <c r="D142" s="40" t="s">
        <v>208</v>
      </c>
      <c r="E142" s="40">
        <v>1</v>
      </c>
      <c r="F142" s="40">
        <v>7</v>
      </c>
      <c r="G142">
        <v>90.153000000000006</v>
      </c>
    </row>
    <row r="143" spans="1:7">
      <c r="A143" s="40">
        <v>142</v>
      </c>
      <c r="B143" s="40" t="s">
        <v>344</v>
      </c>
      <c r="C143" s="40" t="s">
        <v>345</v>
      </c>
      <c r="D143" s="40" t="s">
        <v>207</v>
      </c>
      <c r="E143" s="40">
        <v>1</v>
      </c>
      <c r="F143" s="40">
        <v>5</v>
      </c>
      <c r="G143">
        <v>10.452</v>
      </c>
    </row>
    <row r="144" spans="1:7">
      <c r="A144" s="40">
        <v>143</v>
      </c>
      <c r="B144" s="40" t="s">
        <v>344</v>
      </c>
      <c r="C144" s="40" t="s">
        <v>345</v>
      </c>
      <c r="D144" s="40" t="s">
        <v>208</v>
      </c>
      <c r="E144" s="40">
        <v>2</v>
      </c>
      <c r="F144" s="40">
        <v>7</v>
      </c>
      <c r="G144">
        <v>94.209000000000003</v>
      </c>
    </row>
    <row r="145" spans="1:7">
      <c r="A145" s="40">
        <v>144</v>
      </c>
      <c r="B145" s="40" t="s">
        <v>344</v>
      </c>
      <c r="C145" s="40" t="s">
        <v>345</v>
      </c>
      <c r="D145" s="40" t="s">
        <v>207</v>
      </c>
      <c r="E145" s="40">
        <v>2</v>
      </c>
      <c r="F145" s="40">
        <v>5</v>
      </c>
      <c r="G145">
        <v>9.75</v>
      </c>
    </row>
    <row r="146" spans="1:7">
      <c r="A146" s="40">
        <v>145</v>
      </c>
      <c r="B146" s="40" t="s">
        <v>344</v>
      </c>
      <c r="C146" s="40" t="s">
        <v>345</v>
      </c>
      <c r="D146" s="40" t="s">
        <v>208</v>
      </c>
      <c r="E146" s="40">
        <v>3</v>
      </c>
      <c r="F146" s="40">
        <v>7</v>
      </c>
      <c r="G146">
        <v>93.787000000000006</v>
      </c>
    </row>
    <row r="147" spans="1:7">
      <c r="A147" s="40">
        <v>146</v>
      </c>
      <c r="B147" s="40" t="s">
        <v>344</v>
      </c>
      <c r="C147" s="40" t="s">
        <v>345</v>
      </c>
      <c r="D147" s="40" t="s">
        <v>207</v>
      </c>
      <c r="E147" s="40">
        <v>3</v>
      </c>
      <c r="F147" s="40">
        <v>5</v>
      </c>
      <c r="G147">
        <v>9.7029999999999994</v>
      </c>
    </row>
    <row r="148" spans="1:7">
      <c r="A148" s="40">
        <v>147</v>
      </c>
      <c r="B148" s="40" t="s">
        <v>344</v>
      </c>
      <c r="C148" s="40" t="s">
        <v>345</v>
      </c>
      <c r="D148" s="40" t="s">
        <v>208</v>
      </c>
      <c r="E148" s="40">
        <v>4</v>
      </c>
      <c r="F148" s="40">
        <v>7</v>
      </c>
      <c r="G148">
        <v>104.973</v>
      </c>
    </row>
    <row r="149" spans="1:7">
      <c r="A149" s="40">
        <v>148</v>
      </c>
      <c r="B149" s="40" t="s">
        <v>344</v>
      </c>
      <c r="C149" s="40" t="s">
        <v>345</v>
      </c>
      <c r="D149" s="40" t="s">
        <v>207</v>
      </c>
      <c r="E149" s="40">
        <v>4</v>
      </c>
      <c r="F149" s="40">
        <v>5</v>
      </c>
      <c r="G149">
        <v>11.045</v>
      </c>
    </row>
    <row r="150" spans="1:7">
      <c r="A150" s="40">
        <v>149</v>
      </c>
      <c r="B150" s="40" t="s">
        <v>344</v>
      </c>
      <c r="C150" s="40" t="s">
        <v>345</v>
      </c>
      <c r="D150" s="40" t="s">
        <v>208</v>
      </c>
      <c r="E150" s="40">
        <v>5</v>
      </c>
      <c r="F150" s="40">
        <v>7</v>
      </c>
      <c r="G150">
        <v>95.488</v>
      </c>
    </row>
    <row r="151" spans="1:7">
      <c r="A151" s="40">
        <v>150</v>
      </c>
      <c r="B151" s="40" t="s">
        <v>344</v>
      </c>
      <c r="C151" s="40" t="s">
        <v>345</v>
      </c>
      <c r="D151" s="40" t="s">
        <v>207</v>
      </c>
      <c r="E151" s="40">
        <v>5</v>
      </c>
      <c r="F151" s="40">
        <v>5</v>
      </c>
      <c r="G151">
        <v>9.173</v>
      </c>
    </row>
    <row r="152" spans="1:7">
      <c r="A152" s="40">
        <v>151</v>
      </c>
      <c r="B152" s="40" t="s">
        <v>344</v>
      </c>
      <c r="C152" s="40" t="s">
        <v>345</v>
      </c>
      <c r="D152" s="40" t="s">
        <v>208</v>
      </c>
      <c r="E152" s="40">
        <v>6</v>
      </c>
      <c r="F152" s="40">
        <v>7</v>
      </c>
      <c r="G152">
        <v>98.015000000000001</v>
      </c>
    </row>
    <row r="153" spans="1:7">
      <c r="A153" s="40">
        <v>152</v>
      </c>
      <c r="B153" s="40" t="s">
        <v>344</v>
      </c>
      <c r="C153" s="40" t="s">
        <v>345</v>
      </c>
      <c r="D153" s="40" t="s">
        <v>207</v>
      </c>
      <c r="E153" s="40">
        <v>6</v>
      </c>
      <c r="F153" s="40">
        <v>5</v>
      </c>
      <c r="G153">
        <v>8.6270000000000007</v>
      </c>
    </row>
    <row r="154" spans="1:7">
      <c r="A154" s="40">
        <v>153</v>
      </c>
      <c r="B154" s="40" t="s">
        <v>344</v>
      </c>
      <c r="C154" s="40" t="s">
        <v>345</v>
      </c>
      <c r="D154" s="40" t="s">
        <v>208</v>
      </c>
      <c r="E154" s="40">
        <v>7</v>
      </c>
      <c r="F154" s="40">
        <v>7</v>
      </c>
      <c r="G154">
        <v>82.180999999999997</v>
      </c>
    </row>
    <row r="155" spans="1:7">
      <c r="A155" s="40">
        <v>154</v>
      </c>
      <c r="B155" s="40" t="s">
        <v>344</v>
      </c>
      <c r="C155" s="40" t="s">
        <v>345</v>
      </c>
      <c r="D155" s="40" t="s">
        <v>207</v>
      </c>
      <c r="E155" s="40">
        <v>7</v>
      </c>
      <c r="F155" s="40">
        <v>5</v>
      </c>
      <c r="G155">
        <v>9.5630000000000006</v>
      </c>
    </row>
    <row r="156" spans="1:7">
      <c r="A156" s="40">
        <v>155</v>
      </c>
      <c r="B156" s="40" t="s">
        <v>344</v>
      </c>
      <c r="C156" s="40" t="s">
        <v>345</v>
      </c>
      <c r="D156" s="40" t="s">
        <v>208</v>
      </c>
      <c r="E156" s="40">
        <v>8</v>
      </c>
      <c r="F156" s="40">
        <v>7</v>
      </c>
      <c r="G156">
        <v>78.061999999999998</v>
      </c>
    </row>
    <row r="157" spans="1:7">
      <c r="A157" s="40">
        <v>156</v>
      </c>
      <c r="B157" s="40" t="s">
        <v>344</v>
      </c>
      <c r="C157" s="40" t="s">
        <v>345</v>
      </c>
      <c r="D157" s="40" t="s">
        <v>207</v>
      </c>
      <c r="E157" s="40">
        <v>8</v>
      </c>
      <c r="F157" s="40">
        <v>5</v>
      </c>
      <c r="G157">
        <v>9.048</v>
      </c>
    </row>
    <row r="158" spans="1:7">
      <c r="A158" s="40">
        <v>157</v>
      </c>
      <c r="B158" s="40" t="s">
        <v>344</v>
      </c>
      <c r="C158" s="40" t="s">
        <v>345</v>
      </c>
      <c r="D158" s="40" t="s">
        <v>208</v>
      </c>
      <c r="E158" s="40">
        <v>9</v>
      </c>
      <c r="F158" s="40">
        <v>7</v>
      </c>
      <c r="G158">
        <v>91.432000000000002</v>
      </c>
    </row>
    <row r="159" spans="1:7">
      <c r="A159" s="40">
        <v>158</v>
      </c>
      <c r="B159" s="40" t="s">
        <v>344</v>
      </c>
      <c r="C159" s="40" t="s">
        <v>345</v>
      </c>
      <c r="D159" s="40" t="s">
        <v>207</v>
      </c>
      <c r="E159" s="40">
        <v>9</v>
      </c>
      <c r="F159" s="40">
        <v>5</v>
      </c>
      <c r="G159">
        <v>9.1419999999999995</v>
      </c>
    </row>
    <row r="160" spans="1:7">
      <c r="A160" s="40">
        <v>159</v>
      </c>
      <c r="B160" s="40" t="s">
        <v>344</v>
      </c>
      <c r="C160" s="40" t="s">
        <v>345</v>
      </c>
      <c r="D160" s="40" t="s">
        <v>208</v>
      </c>
      <c r="E160" s="40">
        <v>10</v>
      </c>
      <c r="F160" s="40">
        <v>7</v>
      </c>
      <c r="G160">
        <v>93.397000000000006</v>
      </c>
    </row>
    <row r="161" spans="1:7">
      <c r="A161" s="40">
        <v>160</v>
      </c>
      <c r="B161" s="40" t="s">
        <v>344</v>
      </c>
      <c r="C161" s="40" t="s">
        <v>345</v>
      </c>
      <c r="D161" s="40" t="s">
        <v>207</v>
      </c>
      <c r="E161" s="40">
        <v>10</v>
      </c>
      <c r="F161" s="40">
        <v>5</v>
      </c>
      <c r="G161">
        <v>9.516</v>
      </c>
    </row>
  </sheetData>
  <phoneticPr fontId="5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9E115B52-2CBB-45E2-9510-B7A345845DA1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834EF592-7137-49D5-98B6-614C404B43CB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Problem</vt:lpstr>
      <vt:lpstr>Settings</vt:lpstr>
      <vt:lpstr>process time</vt:lpstr>
      <vt:lpstr>PSO_results</vt:lpstr>
      <vt:lpstr>GA_results</vt:lpstr>
      <vt:lpstr>DE_results</vt:lpstr>
      <vt:lpstr>MTS_results</vt:lpstr>
      <vt:lpstr>teta</vt:lpstr>
      <vt:lpstr>times</vt:lpstr>
      <vt:lpstr>ANALYSIS</vt:lpstr>
      <vt:lpstr>BS</vt:lpstr>
      <vt:lpstr>CPLEX</vt:lpstr>
    </vt:vector>
  </TitlesOfParts>
  <Company>UNIVERSITA' DI CATANIA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COSTA</dc:creator>
  <cp:lastModifiedBy>mengyi zhang</cp:lastModifiedBy>
  <dcterms:created xsi:type="dcterms:W3CDTF">2011-10-06T14:04:45Z</dcterms:created>
  <dcterms:modified xsi:type="dcterms:W3CDTF">2020-10-07T07:31:31Z</dcterms:modified>
</cp:coreProperties>
</file>